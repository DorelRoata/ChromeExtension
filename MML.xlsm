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1"/>
  <bookViews>
    <workbookView visibility="visible" minimized="0" showHorizontalScroll="1" showVerticalScroll="1" showSheetTabs="1" xWindow="14040" yWindow="2360" windowWidth="28800" windowHeight="15410" tabRatio="500" firstSheet="0" activeTab="0" autoFilterDateGrouping="1"/>
  </bookViews>
  <sheets>
    <sheet name="Purchase Parts" sheetId="1" state="visible" r:id="rId1"/>
    <sheet name="Microplastics Spacers" sheetId="2" state="visible" r:id="rId2"/>
    <sheet name="error" sheetId="3" state="visible" r:id="rId3"/>
    <sheet name="update manually" sheetId="4" state="visible" r:id="rId4"/>
  </sheets>
  <definedNames>
    <definedName name="_xlnm.Print_Area" localSheetId="0">'Purchase Parts'!$A$2:$H$149</definedName>
    <definedName name="_xlnm._FilterDatabase" localSheetId="3" hidden="1">'update manually'!$A$1:$K$12</definedName>
  </definedNames>
  <calcPr calcId="181029" fullCalcOnLoad="1" iterateDelta="0.0001"/>
</workbook>
</file>

<file path=xl/styles.xml><?xml version="1.0" encoding="utf-8"?>
<styleSheet xmlns="http://schemas.openxmlformats.org/spreadsheetml/2006/main">
  <numFmts count="4">
    <numFmt numFmtId="164" formatCode="_(\$* #,##0.00_);_(\$* \(#,##0.00\);_(\$* \-??_);_(@_)"/>
    <numFmt numFmtId="165" formatCode="\$#,##0.00_);&quot;($&quot;#,##0.00\)"/>
    <numFmt numFmtId="166" formatCode="\$#,##0.00_);[Red]&quot;($&quot;#,##0.00\)"/>
    <numFmt numFmtId="167" formatCode="_(&quot;$&quot;* #,##0.00_);_(&quot;$&quot;* \(#,##0.00\);_(&quot;$&quot;* &quot;-&quot;??_);_(@_)"/>
  </numFmts>
  <fonts count="11">
    <font>
      <name val="Arial"/>
      <charset val="1"/>
      <sz val="10"/>
    </font>
    <font>
      <name val="Arial"/>
      <charset val="1"/>
      <family val="2"/>
      <sz val="10"/>
    </font>
    <font>
      <name val="Calibri"/>
      <charset val="1"/>
      <family val="2"/>
      <color theme="1"/>
      <sz val="11"/>
    </font>
    <font>
      <name val="Arial"/>
      <charset val="1"/>
      <family val="2"/>
      <b val="1"/>
      <color rgb="FFFFFFFF"/>
      <sz val="10"/>
    </font>
    <font>
      <name val="Arial Unicode MS"/>
      <charset val="1"/>
      <family val="2"/>
      <sz val="10"/>
    </font>
    <font>
      <name val="Calibri"/>
      <charset val="1"/>
      <family val="2"/>
      <color theme="1"/>
      <sz val="12"/>
    </font>
    <font>
      <name val="Arial Unicode MS"/>
      <charset val="1"/>
      <family val="2"/>
      <color theme="0"/>
      <sz val="10"/>
    </font>
    <font>
      <name val="Arial"/>
      <charset val="1"/>
      <family val="2"/>
      <color theme="0"/>
      <sz val="10"/>
    </font>
    <font>
      <name val="Arial Unicode MS"/>
      <charset val="1"/>
      <family val="2"/>
      <b val="1"/>
      <color rgb="FFFF0000"/>
      <sz val="10"/>
    </font>
    <font>
      <name val="Trebuchet MS"/>
      <charset val="1"/>
      <family val="2"/>
      <color rgb="FF333333"/>
      <sz val="6"/>
    </font>
    <font>
      <name val="Arial"/>
      <charset val="1"/>
      <family val="2"/>
      <b val="1"/>
      <sz val="10"/>
    </font>
  </fonts>
  <fills count="9">
    <fill>
      <patternFill/>
    </fill>
    <fill>
      <patternFill patternType="gray125"/>
    </fill>
    <fill>
      <patternFill patternType="solid">
        <fgColor rgb="FF800000"/>
        <bgColor rgb="FF800000"/>
      </patternFill>
    </fill>
    <fill>
      <patternFill patternType="solid">
        <fgColor rgb="FFFFFF99"/>
        <bgColor rgb="FFFFFFCC"/>
      </patternFill>
    </fill>
    <fill>
      <patternFill patternType="solid">
        <fgColor rgb="FFFFCC99"/>
        <bgColor rgb="FFC0C0C0"/>
      </patternFill>
    </fill>
    <fill>
      <patternFill patternType="solid">
        <fgColor rgb="FFFFFFFF"/>
        <bgColor rgb="FFFFFFCC"/>
      </patternFill>
    </fill>
    <fill>
      <patternFill patternType="solid">
        <fgColor theme="1"/>
        <bgColor rgb="FF003300"/>
      </patternFill>
    </fill>
    <fill>
      <patternFill patternType="solid">
        <fgColor rgb="FFC0C0C0"/>
        <bgColor rgb="FFCCCCFF"/>
      </patternFill>
    </fill>
    <fill>
      <patternFill patternType="solid">
        <fgColor rgb="FFFFFF00"/>
        <bgColor rgb="FFFFFF00"/>
      </patternFill>
    </fill>
  </fills>
  <borders count="6">
    <border>
      <left/>
      <right/>
      <top/>
      <bottom/>
      <diagonal/>
    </border>
    <border>
      <left style="thin">
        <color rgb="FFFFFFFF"/>
      </left>
      <right style="thin">
        <color rgb="FFFFFFFF"/>
      </right>
      <top style="thin">
        <color rgb="FFFFFFFF"/>
      </top>
      <bottom style="thin">
        <color rgb="FFFFFFFF"/>
      </bottom>
      <diagonal/>
    </border>
    <border>
      <left style="thin">
        <color auto="1"/>
      </left>
      <right style="thin">
        <color auto="1"/>
      </right>
      <top style="medium">
        <color auto="1"/>
      </top>
      <bottom style="thin">
        <color auto="1"/>
      </bottom>
      <diagonal/>
    </border>
    <border>
      <left style="thin">
        <color rgb="FFFFFFFF"/>
      </left>
      <right style="thin">
        <color rgb="FFFFFFFF"/>
      </right>
      <top/>
      <bottom style="thin">
        <color rgb="FFFFFFFF"/>
      </bottom>
      <diagonal/>
    </border>
    <border>
      <left style="thin">
        <color auto="1"/>
      </left>
      <right style="thin">
        <color auto="1"/>
      </right>
      <top style="thin">
        <color auto="1"/>
      </top>
      <bottom style="thin">
        <color auto="1"/>
      </bottom>
      <diagonal/>
    </border>
    <border>
      <left style="thin">
        <color rgb="FFFFFFFF"/>
      </left>
      <right/>
      <top style="thin">
        <color rgb="FFFFFFFF"/>
      </top>
      <bottom style="thin">
        <color rgb="FFFFFFFF"/>
      </bottom>
      <diagonal/>
    </border>
  </borders>
  <cellStyleXfs count="24">
    <xf numFmtId="0" fontId="0" fillId="0" borderId="0"/>
    <xf numFmtId="164" fontId="1" fillId="0" borderId="0"/>
    <xf numFmtId="9"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2" fillId="0" borderId="0"/>
    <xf numFmtId="164" fontId="2" fillId="0" borderId="0"/>
    <xf numFmtId="164"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2" fillId="0" borderId="0"/>
    <xf numFmtId="9" fontId="2" fillId="0" borderId="0"/>
    <xf numFmtId="9" fontId="2" fillId="0" borderId="0"/>
  </cellStyleXfs>
  <cellXfs count="103">
    <xf numFmtId="0" fontId="0" fillId="0" borderId="0" pivotButton="0" quotePrefix="0" xfId="0"/>
    <xf numFmtId="0" fontId="1" fillId="0" borderId="1" applyAlignment="1" pivotButton="0" quotePrefix="0" xfId="0">
      <alignment horizontal="center"/>
    </xf>
    <xf numFmtId="0" fontId="1" fillId="0" borderId="1" applyAlignment="1" pivotButton="0" quotePrefix="0" xfId="0">
      <alignment horizontal="center" vertical="center" shrinkToFit="1"/>
    </xf>
    <xf numFmtId="164" fontId="1" fillId="0" borderId="1" applyAlignment="1" pivotButton="0" quotePrefix="0" xfId="1">
      <alignment horizontal="center"/>
    </xf>
    <xf numFmtId="0" fontId="1" fillId="0" borderId="1" applyAlignment="1" pivotButton="0" quotePrefix="0" xfId="2">
      <alignment horizontal="center"/>
    </xf>
    <xf numFmtId="14" fontId="1" fillId="0" borderId="1" applyAlignment="1" pivotButton="0" quotePrefix="0" xfId="0">
      <alignment horizontal="center"/>
    </xf>
    <xf numFmtId="0" fontId="1" fillId="0" borderId="1" applyAlignment="1" pivotButton="0" quotePrefix="0" xfId="0">
      <alignment horizontal="left" vertical="top"/>
    </xf>
    <xf numFmtId="0" fontId="3" fillId="2" borderId="2" applyAlignment="1" pivotButton="0" quotePrefix="0" xfId="0">
      <alignment horizontal="center" vertical="center"/>
    </xf>
    <xf numFmtId="0" fontId="3" fillId="2" borderId="2" applyAlignment="1" pivotButton="0" quotePrefix="0" xfId="0">
      <alignment horizontal="center" vertical="center" shrinkToFit="1"/>
    </xf>
    <xf numFmtId="164" fontId="3" fillId="2" borderId="2" applyAlignment="1" pivotButton="0" quotePrefix="0" xfId="1">
      <alignment horizontal="center" vertical="center"/>
    </xf>
    <xf numFmtId="0" fontId="3" fillId="2" borderId="2" applyAlignment="1" pivotButton="0" quotePrefix="0" xfId="2">
      <alignment horizontal="left" vertical="center"/>
    </xf>
    <xf numFmtId="164" fontId="3" fillId="2" borderId="2" applyAlignment="1" pivotButton="0" quotePrefix="0" xfId="1">
      <alignment horizontal="left" vertical="center"/>
    </xf>
    <xf numFmtId="14" fontId="3" fillId="2" borderId="2" applyAlignment="1" pivotButton="0" quotePrefix="0" xfId="0">
      <alignment horizontal="left" vertical="center"/>
    </xf>
    <xf numFmtId="0" fontId="1" fillId="0" borderId="3" applyAlignment="1" pivotButton="0" quotePrefix="0" xfId="0">
      <alignment horizontal="center"/>
    </xf>
    <xf numFmtId="0" fontId="4" fillId="3" borderId="4" applyAlignment="1" pivotButton="0" quotePrefix="0" xfId="0">
      <alignment horizontal="center" vertical="center" wrapText="1"/>
    </xf>
    <xf numFmtId="0" fontId="4" fillId="0" borderId="4" applyAlignment="1" pivotButton="0" quotePrefix="0" xfId="0">
      <alignment horizontal="center" vertical="center" wrapText="1"/>
    </xf>
    <xf numFmtId="0" fontId="4" fillId="0" borderId="4" applyAlignment="1" pivotButton="0" quotePrefix="0" xfId="0">
      <alignment horizontal="center" vertical="center" shrinkToFit="1"/>
    </xf>
    <xf numFmtId="0" fontId="4" fillId="4" borderId="4" applyAlignment="1" pivotButton="0" quotePrefix="0" xfId="0">
      <alignment horizontal="center" vertical="center" wrapText="1"/>
    </xf>
    <xf numFmtId="164" fontId="4" fillId="4" borderId="4" applyAlignment="1" pivotButton="0" quotePrefix="0" xfId="1">
      <alignment horizontal="center" vertical="center" wrapText="1"/>
    </xf>
    <xf numFmtId="0" fontId="4" fillId="3" borderId="4" applyAlignment="1" pivotButton="0" quotePrefix="0" xfId="2">
      <alignment horizontal="center" vertical="center" wrapText="1"/>
    </xf>
    <xf numFmtId="164" fontId="4" fillId="3" borderId="4" applyAlignment="1" pivotButton="0" quotePrefix="0" xfId="1">
      <alignment horizontal="center" vertical="center" wrapText="1"/>
    </xf>
    <xf numFmtId="14" fontId="4" fillId="3" borderId="4" applyAlignment="1" pivotButton="0" quotePrefix="0" xfId="0">
      <alignment horizontal="center" vertical="center" wrapText="1"/>
    </xf>
    <xf numFmtId="0" fontId="4" fillId="3" borderId="4" applyAlignment="1" pivotButton="0" quotePrefix="0" xfId="0">
      <alignment horizontal="left" vertical="top" wrapText="1"/>
    </xf>
    <xf numFmtId="164" fontId="0" fillId="0" borderId="4" applyAlignment="1" pivotButton="0" quotePrefix="0" xfId="1">
      <alignment horizontal="center" vertical="center"/>
    </xf>
    <xf numFmtId="164" fontId="4" fillId="0" borderId="4" applyAlignment="1" pivotButton="0" quotePrefix="0" xfId="1">
      <alignment horizontal="center" vertical="center" wrapText="1"/>
    </xf>
    <xf numFmtId="0" fontId="4" fillId="0" borderId="4" applyAlignment="1" pivotButton="0" quotePrefix="0" xfId="0">
      <alignment horizontal="center" vertical="distributed" wrapText="1" shrinkToFit="1"/>
    </xf>
    <xf numFmtId="0" fontId="1" fillId="0" borderId="4" applyAlignment="1" pivotButton="0" quotePrefix="0" xfId="0">
      <alignment horizontal="center" vertical="center" shrinkToFit="1"/>
    </xf>
    <xf numFmtId="0" fontId="4" fillId="0" borderId="5"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4" applyAlignment="1" pivotButton="0" quotePrefix="0" xfId="0">
      <alignment horizontal="center" vertical="center" shrinkToFit="1"/>
    </xf>
    <xf numFmtId="0" fontId="4" fillId="0" borderId="4" applyAlignment="1" pivotButton="0" quotePrefix="0" xfId="0">
      <alignment horizontal="center" vertical="center" wrapText="1" shrinkToFit="1"/>
    </xf>
    <xf numFmtId="165" fontId="4" fillId="3" borderId="4" applyAlignment="1" pivotButton="0" quotePrefix="0" xfId="1">
      <alignment horizontal="center" vertical="center" wrapText="1"/>
    </xf>
    <xf numFmtId="164" fontId="1" fillId="0" borderId="1" applyAlignment="1" pivotButton="0" quotePrefix="0" xfId="0">
      <alignment horizontal="center"/>
    </xf>
    <xf numFmtId="0" fontId="0" fillId="0" borderId="4" applyAlignment="1" pivotButton="0" quotePrefix="0" xfId="1">
      <alignment horizontal="center" vertical="center"/>
    </xf>
    <xf numFmtId="164" fontId="1" fillId="0" borderId="4" applyAlignment="1" pivotButton="0" quotePrefix="0" xfId="1">
      <alignment horizontal="center" vertical="center"/>
    </xf>
    <xf numFmtId="49" fontId="4" fillId="3" borderId="4" applyAlignment="1" pivotButton="0" quotePrefix="0" xfId="0">
      <alignment horizontal="center" vertical="center" wrapText="1"/>
    </xf>
    <xf numFmtId="0" fontId="1" fillId="5" borderId="4" applyAlignment="1" pivotButton="0" quotePrefix="0" xfId="0">
      <alignment horizontal="center" vertical="center"/>
    </xf>
    <xf numFmtId="0" fontId="4" fillId="3" borderId="4" applyAlignment="1" pivotButton="0" quotePrefix="0" xfId="16">
      <alignment horizontal="center" vertical="center" wrapText="1"/>
    </xf>
    <xf numFmtId="0" fontId="4" fillId="0" borderId="4" applyAlignment="1" pivotButton="0" quotePrefix="0" xfId="16">
      <alignment horizontal="center" vertical="center" wrapText="1"/>
    </xf>
    <xf numFmtId="0" fontId="4" fillId="4" borderId="4" applyAlignment="1" pivotButton="0" quotePrefix="0" xfId="16">
      <alignment horizontal="center" vertical="center" wrapText="1"/>
    </xf>
    <xf numFmtId="164" fontId="4" fillId="4" borderId="4" applyAlignment="1" pivotButton="0" quotePrefix="0" xfId="4">
      <alignment horizontal="center" vertical="center" wrapText="1"/>
    </xf>
    <xf numFmtId="14" fontId="4" fillId="3" borderId="4" applyAlignment="1" pivotButton="0" quotePrefix="0" xfId="16">
      <alignment horizontal="center" vertical="center" wrapText="1"/>
    </xf>
    <xf numFmtId="0" fontId="4" fillId="3" borderId="4" applyAlignment="1" pivotButton="0" quotePrefix="0" xfId="16">
      <alignment horizontal="left" vertical="top" wrapText="1"/>
    </xf>
    <xf numFmtId="0" fontId="0" fillId="3" borderId="4" applyAlignment="1" pivotButton="0" quotePrefix="0" xfId="0">
      <alignment horizontal="center" vertical="center" wrapText="1"/>
    </xf>
    <xf numFmtId="0" fontId="0" fillId="0" borderId="4" applyAlignment="1" pivotButton="0" quotePrefix="0" xfId="0">
      <alignment horizontal="center" vertical="center" wrapText="1"/>
    </xf>
    <xf numFmtId="0" fontId="1" fillId="0" borderId="4" applyAlignment="1" pivotButton="0" quotePrefix="0" xfId="0">
      <alignment horizontal="center" vertical="center" wrapText="1"/>
    </xf>
    <xf numFmtId="14" fontId="0" fillId="3" borderId="4" applyAlignment="1" pivotButton="0" quotePrefix="0" xfId="0">
      <alignment horizontal="center" vertical="center" wrapText="1"/>
    </xf>
    <xf numFmtId="0" fontId="0" fillId="3" borderId="4" applyAlignment="1" pivotButton="0" quotePrefix="0" xfId="2">
      <alignment horizontal="center" vertical="center" wrapText="1"/>
    </xf>
    <xf numFmtId="164" fontId="0" fillId="3" borderId="4" applyAlignment="1" pivotButton="0" quotePrefix="0" xfId="1">
      <alignment horizontal="center" vertical="center" wrapText="1"/>
    </xf>
    <xf numFmtId="0" fontId="0" fillId="3" borderId="4" applyAlignment="1" pivotButton="0" quotePrefix="0" xfId="0">
      <alignment horizontal="left" vertical="top" wrapText="1"/>
    </xf>
    <xf numFmtId="0" fontId="5" fillId="0" borderId="4" applyAlignment="1" pivotButton="0" quotePrefix="0" xfId="0">
      <alignment horizontal="center" vertical="center"/>
    </xf>
    <xf numFmtId="0" fontId="1" fillId="3" borderId="4" applyAlignment="1" pivotButton="0" quotePrefix="0" xfId="0">
      <alignment horizontal="center" vertical="center" wrapText="1"/>
    </xf>
    <xf numFmtId="0" fontId="2" fillId="3" borderId="4" applyAlignment="1" pivotButton="0" quotePrefix="0" xfId="18">
      <alignment horizontal="center" vertical="center" wrapText="1"/>
    </xf>
    <xf numFmtId="0" fontId="4" fillId="3" borderId="4" applyAlignment="1" pivotButton="0" quotePrefix="0" xfId="20">
      <alignment horizontal="center" vertical="center" wrapText="1"/>
    </xf>
    <xf numFmtId="0" fontId="4" fillId="0" borderId="4" applyAlignment="1" pivotButton="0" quotePrefix="0" xfId="20">
      <alignment horizontal="center" vertical="center" wrapText="1"/>
    </xf>
    <xf numFmtId="0" fontId="4" fillId="0" borderId="4" applyAlignment="1" pivotButton="0" quotePrefix="0" xfId="20">
      <alignment horizontal="center" vertical="center" shrinkToFit="1"/>
    </xf>
    <xf numFmtId="164" fontId="4" fillId="4" borderId="4" applyAlignment="1" pivotButton="0" quotePrefix="0" xfId="13">
      <alignment horizontal="center" vertical="center" wrapText="1"/>
    </xf>
    <xf numFmtId="14" fontId="4" fillId="3" borderId="4" applyAlignment="1" pivotButton="0" quotePrefix="0" xfId="20">
      <alignment horizontal="center" vertical="center" wrapText="1"/>
    </xf>
    <xf numFmtId="0" fontId="1" fillId="0" borderId="4" applyAlignment="1" pivotButton="0" quotePrefix="0" xfId="20">
      <alignment horizontal="center" vertical="center" shrinkToFit="1"/>
    </xf>
    <xf numFmtId="164" fontId="4" fillId="3" borderId="4" applyAlignment="1" pivotButton="0" quotePrefix="0" xfId="13">
      <alignment horizontal="center" vertical="center" wrapText="1"/>
    </xf>
    <xf numFmtId="0" fontId="4" fillId="0" borderId="4" applyAlignment="1" pivotButton="0" quotePrefix="0" xfId="20">
      <alignment horizontal="center" vertical="center" wrapText="1" shrinkToFit="1"/>
    </xf>
    <xf numFmtId="49" fontId="4" fillId="3" borderId="4" applyAlignment="1" pivotButton="0" quotePrefix="0" xfId="20">
      <alignment horizontal="center" vertical="center" wrapText="1"/>
    </xf>
    <xf numFmtId="49" fontId="4" fillId="0" borderId="4" applyAlignment="1" pivotButton="0" quotePrefix="0" xfId="20">
      <alignment horizontal="center" vertical="center" wrapText="1"/>
    </xf>
    <xf numFmtId="0" fontId="5" fillId="0" borderId="4" applyAlignment="1" pivotButton="0" quotePrefix="0" xfId="20">
      <alignment horizontal="center" vertical="center"/>
    </xf>
    <xf numFmtId="0" fontId="1" fillId="0" borderId="4" applyAlignment="1" pivotButton="0" quotePrefix="0" xfId="20">
      <alignment horizontal="center" vertical="center" wrapText="1"/>
    </xf>
    <xf numFmtId="0" fontId="1" fillId="3" borderId="4" applyAlignment="1" pivotButton="0" quotePrefix="0" xfId="20">
      <alignment horizontal="center" vertical="center" wrapText="1"/>
    </xf>
    <xf numFmtId="14" fontId="1" fillId="3" borderId="4" applyAlignment="1" pivotButton="0" quotePrefix="0" xfId="20">
      <alignment horizontal="center" vertical="center" wrapText="1"/>
    </xf>
    <xf numFmtId="0" fontId="2" fillId="3" borderId="4" applyAlignment="1" pivotButton="0" quotePrefix="0" xfId="19">
      <alignment horizontal="center" vertical="center" wrapText="1"/>
    </xf>
    <xf numFmtId="0" fontId="6" fillId="3" borderId="4" applyAlignment="1" pivotButton="0" quotePrefix="0" xfId="20">
      <alignment horizontal="center" vertical="center" wrapText="1"/>
    </xf>
    <xf numFmtId="0" fontId="6" fillId="0" borderId="4" applyAlignment="1" pivotButton="0" quotePrefix="0" xfId="20">
      <alignment horizontal="center" vertical="center" wrapText="1"/>
    </xf>
    <xf numFmtId="0" fontId="6" fillId="0" borderId="4" applyAlignment="1" pivotButton="0" quotePrefix="0" xfId="0">
      <alignment horizontal="center" vertical="center" wrapText="1"/>
    </xf>
    <xf numFmtId="0" fontId="6" fillId="4" borderId="4" applyAlignment="1" pivotButton="0" quotePrefix="0" xfId="0">
      <alignment horizontal="center" vertical="center" wrapText="1"/>
    </xf>
    <xf numFmtId="164" fontId="6" fillId="4" borderId="4" applyAlignment="1" pivotButton="0" quotePrefix="0" xfId="13">
      <alignment horizontal="center" vertical="center" wrapText="1"/>
    </xf>
    <xf numFmtId="14" fontId="6" fillId="3" borderId="4" applyAlignment="1" pivotButton="0" quotePrefix="0" xfId="20">
      <alignment horizontal="center" vertical="center" wrapText="1"/>
    </xf>
    <xf numFmtId="0" fontId="6" fillId="3" borderId="4" applyAlignment="1" pivotButton="0" quotePrefix="0" xfId="2">
      <alignment horizontal="center" vertical="center" wrapText="1"/>
    </xf>
    <xf numFmtId="164" fontId="6" fillId="3" borderId="4" applyAlignment="1" pivotButton="0" quotePrefix="0" xfId="1">
      <alignment horizontal="center" vertical="center" wrapText="1"/>
    </xf>
    <xf numFmtId="14" fontId="6" fillId="3" borderId="4" applyAlignment="1" pivotButton="0" quotePrefix="0" xfId="0">
      <alignment horizontal="center" vertical="center" wrapText="1"/>
    </xf>
    <xf numFmtId="0" fontId="6" fillId="3" borderId="4" applyAlignment="1" pivotButton="0" quotePrefix="0" xfId="0">
      <alignment horizontal="left" vertical="top" wrapText="1"/>
    </xf>
    <xf numFmtId="164" fontId="6" fillId="0" borderId="4" applyAlignment="1" pivotButton="0" quotePrefix="0" xfId="1">
      <alignment horizontal="center" vertical="center" wrapText="1"/>
    </xf>
    <xf numFmtId="0" fontId="7" fillId="0" borderId="1" applyAlignment="1" pivotButton="0" quotePrefix="0" xfId="0">
      <alignment horizontal="center"/>
    </xf>
    <xf numFmtId="0" fontId="8" fillId="6" borderId="4" applyAlignment="1" pivotButton="0" quotePrefix="0" xfId="20">
      <alignment horizontal="center" vertical="center" wrapText="1"/>
    </xf>
    <xf numFmtId="0" fontId="9" fillId="0" borderId="0" pivotButton="0" quotePrefix="0" xfId="0"/>
    <xf numFmtId="166" fontId="4" fillId="4" borderId="4" applyAlignment="1" pivotButton="0" quotePrefix="0" xfId="13">
      <alignment horizontal="center" vertical="center" wrapText="1"/>
    </xf>
    <xf numFmtId="164" fontId="4" fillId="4" borderId="4" applyAlignment="1" pivotButton="0" quotePrefix="0" xfId="0">
      <alignment horizontal="center" vertical="center" wrapText="1"/>
    </xf>
    <xf numFmtId="164" fontId="4" fillId="3" borderId="4" applyAlignment="1" pivotButton="0" quotePrefix="0" xfId="0">
      <alignment horizontal="center" vertical="center" wrapText="1"/>
    </xf>
    <xf numFmtId="0" fontId="10" fillId="7" borderId="4" applyAlignment="1" pivotButton="0" quotePrefix="0" xfId="0">
      <alignment horizontal="center" wrapText="1"/>
    </xf>
    <xf numFmtId="0" fontId="0" fillId="0" borderId="4" applyAlignment="1" pivotButton="0" quotePrefix="0" xfId="0">
      <alignment horizontal="center" wrapText="1"/>
    </xf>
    <xf numFmtId="0" fontId="0" fillId="8" borderId="4" applyAlignment="1" pivotButton="0" quotePrefix="0" xfId="0">
      <alignment horizontal="center" wrapText="1"/>
    </xf>
    <xf numFmtId="0" fontId="1" fillId="8" borderId="4" applyAlignment="1" pivotButton="0" quotePrefix="0" xfId="0">
      <alignment horizontal="center" wrapText="1"/>
    </xf>
    <xf numFmtId="0" fontId="1" fillId="0" borderId="4" applyAlignment="1" pivotButton="0" quotePrefix="0" xfId="0">
      <alignment horizontal="center" wrapText="1"/>
    </xf>
    <xf numFmtId="0" fontId="3" fillId="2" borderId="2" applyAlignment="1" pivotButton="0" quotePrefix="0" xfId="0">
      <alignment horizontal="left" vertical="center"/>
    </xf>
    <xf numFmtId="10" fontId="3" fillId="2" borderId="2" applyAlignment="1" pivotButton="0" quotePrefix="0" xfId="0">
      <alignment horizontal="left" vertical="center"/>
    </xf>
    <xf numFmtId="0" fontId="0" fillId="0" borderId="0" applyAlignment="1" pivotButton="0" quotePrefix="0" xfId="0">
      <alignment wrapText="1"/>
    </xf>
    <xf numFmtId="0" fontId="1" fillId="0" borderId="0" applyAlignment="1" pivotButton="0" quotePrefix="0" xfId="0">
      <alignment wrapText="1"/>
    </xf>
    <xf numFmtId="10" fontId="4" fillId="5" borderId="4" applyAlignment="1" pivotButton="0" quotePrefix="0" xfId="0">
      <alignment horizontal="center" vertical="center" wrapText="1"/>
    </xf>
    <xf numFmtId="0" fontId="4" fillId="5" borderId="4" applyAlignment="1" pivotButton="0" quotePrefix="0" xfId="0">
      <alignment horizontal="center" vertical="center" wrapText="1"/>
    </xf>
    <xf numFmtId="164" fontId="4" fillId="5" borderId="4" applyAlignment="1" pivotButton="0" quotePrefix="0" xfId="1">
      <alignment horizontal="center" vertical="center" wrapText="1"/>
    </xf>
    <xf numFmtId="0" fontId="4" fillId="5" borderId="4" applyAlignment="1" pivotButton="0" quotePrefix="0" xfId="20">
      <alignment horizontal="center" vertical="center" wrapText="1"/>
    </xf>
    <xf numFmtId="167" fontId="4" fillId="4" borderId="4" applyAlignment="1" pivotButton="0" quotePrefix="0" xfId="0">
      <alignment horizontal="center" vertical="center" wrapText="1"/>
    </xf>
    <xf numFmtId="167" fontId="4" fillId="3" borderId="4" applyAlignment="1" pivotButton="0" quotePrefix="0" xfId="0">
      <alignment horizontal="center" vertical="center" wrapText="1"/>
    </xf>
    <xf numFmtId="167" fontId="4" fillId="4" borderId="4" applyAlignment="1" pivotButton="0" quotePrefix="0" xfId="13">
      <alignment horizontal="center" vertical="center" wrapText="1"/>
    </xf>
    <xf numFmtId="167" fontId="4" fillId="3" borderId="4" applyAlignment="1" pivotButton="0" quotePrefix="0" xfId="1">
      <alignment horizontal="center" vertical="center" wrapText="1"/>
    </xf>
    <xf numFmtId="167" fontId="4" fillId="4" borderId="4" applyAlignment="1" pivotButton="0" quotePrefix="0" xfId="1">
      <alignment horizontal="center" vertical="center" wrapText="1"/>
    </xf>
  </cellXfs>
  <cellStyles count="24">
    <cellStyle name="Normal" xfId="0" builtinId="0"/>
    <cellStyle name="Currency" xfId="1" builtinId="4"/>
    <cellStyle name="Percent" xfId="2" builtinId="5"/>
    <cellStyle name="Currency 2" xfId="3"/>
    <cellStyle name="Currency 2 2" xfId="4"/>
    <cellStyle name="Currency 3" xfId="5"/>
    <cellStyle name="Currency 3 2" xfId="6"/>
    <cellStyle name="Currency 3 3" xfId="7"/>
    <cellStyle name="Currency 4" xfId="8"/>
    <cellStyle name="Currency 4 2" xfId="9"/>
    <cellStyle name="Currency 5" xfId="10"/>
    <cellStyle name="Currency 6" xfId="11"/>
    <cellStyle name="Currency 6 2" xfId="12"/>
    <cellStyle name="Currency 7" xfId="13"/>
    <cellStyle name="Normal 2" xfId="14"/>
    <cellStyle name="Normal 3" xfId="15"/>
    <cellStyle name="Normal 4" xfId="16"/>
    <cellStyle name="Normal 4 2" xfId="17"/>
    <cellStyle name="Normal 5" xfId="18"/>
    <cellStyle name="Normal 5 2" xfId="19"/>
    <cellStyle name="Normal 6" xfId="20"/>
    <cellStyle name="Normal 7" xfId="21"/>
    <cellStyle name="Percent 2" xfId="22"/>
    <cellStyle name="Percent 2 2" xfId="23"/>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theme/theme1.xml><?xml version="1.0" encoding="utf-8"?>
<a:theme xmlns:a="http://schemas.openxmlformats.org/drawingml/2006/main"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tabColor rgb="FF800000"/>
    <outlinePr summaryBelow="1" summaryRight="1"/>
    <pageSetUpPr fitToPage="1"/>
  </sheetPr>
  <dimension ref="A1:ZX1143"/>
  <sheetViews>
    <sheetView tabSelected="1" zoomScale="85" zoomScaleNormal="85" workbookViewId="0">
      <pane ySplit="1" topLeftCell="A726" activePane="bottomLeft" state="frozen"/>
      <selection pane="bottomLeft" activeCell="A737" sqref="A737"/>
    </sheetView>
  </sheetViews>
  <sheetFormatPr baseColWidth="8" defaultColWidth="9.26953125" defaultRowHeight="20.25" customHeight="1"/>
  <cols>
    <col width="23.81640625" customWidth="1" style="1" min="1" max="1"/>
    <col width="22.81640625" customWidth="1" style="1" min="2" max="2"/>
    <col width="19.81640625" customWidth="1" style="1" min="3" max="3"/>
    <col width="87.1796875" customWidth="1" style="2" min="4" max="4"/>
    <col width="4.81640625" customWidth="1" style="2" min="5" max="5"/>
    <col width="11.453125" customWidth="1" style="1" min="6" max="6"/>
    <col width="18.54296875" customWidth="1" style="1" min="7" max="7"/>
    <col width="20.7265625" customWidth="1" style="1" min="8" max="9"/>
    <col width="12.1796875" customWidth="1" style="3" min="10" max="10"/>
    <col width="15.54296875" customWidth="1" style="1" min="11" max="11"/>
    <col width="12" customWidth="1" style="4" min="12" max="12"/>
    <col width="10.1796875" customWidth="1" style="3" min="13" max="13"/>
    <col width="12.26953125" customWidth="1" style="5" min="14" max="14"/>
    <col width="16.453125" customWidth="1" style="6" min="15" max="15"/>
    <col width="12.1796875" customWidth="1" style="3" min="16" max="16"/>
    <col width="9.26953125" customWidth="1" style="1" min="17" max="16384"/>
  </cols>
  <sheetData>
    <row r="1" ht="20.25" customFormat="1" customHeight="1" s="13">
      <c r="A1" s="7" t="inlineStr">
        <is>
          <t>Advantage Order #</t>
        </is>
      </c>
      <c r="B1" s="7" t="inlineStr">
        <is>
          <t>Mfr. Part No.</t>
        </is>
      </c>
      <c r="C1" s="7" t="inlineStr">
        <is>
          <t>Mfr.</t>
        </is>
      </c>
      <c r="D1" s="8" t="inlineStr">
        <is>
          <t>Description</t>
        </is>
      </c>
      <c r="E1" s="8" t="inlineStr">
        <is>
          <t>Qty</t>
        </is>
      </c>
      <c r="F1" s="7" t="inlineStr">
        <is>
          <t>Per</t>
        </is>
      </c>
      <c r="G1" s="7" t="inlineStr">
        <is>
          <t>Vendor</t>
        </is>
      </c>
      <c r="H1" s="7" t="inlineStr">
        <is>
          <t>Vendor Part No.</t>
        </is>
      </c>
      <c r="I1" s="7" t="inlineStr">
        <is>
          <t>Legacy</t>
        </is>
      </c>
      <c r="J1" s="9" t="inlineStr">
        <is>
          <t>Unit Price</t>
        </is>
      </c>
      <c r="K1" s="7" t="inlineStr">
        <is>
          <t>Updated</t>
        </is>
      </c>
      <c r="L1" s="10" t="inlineStr">
        <is>
          <t>Pct. Change</t>
        </is>
      </c>
      <c r="M1" s="11" t="inlineStr">
        <is>
          <t>Old Price</t>
        </is>
      </c>
      <c r="N1" s="12" t="inlineStr">
        <is>
          <t>Last Updated</t>
        </is>
      </c>
      <c r="O1" s="12" t="inlineStr">
        <is>
          <t>Price History CSV</t>
        </is>
      </c>
      <c r="P1" s="9" t="inlineStr">
        <is>
          <t>Spare Parts</t>
        </is>
      </c>
      <c r="ZX1" s="13" t="inlineStr">
        <is>
          <t xml:space="preserve">, , </t>
        </is>
      </c>
    </row>
    <row r="2" ht="37.5" customHeight="1">
      <c r="A2" s="14" t="inlineStr">
        <is>
          <t>001</t>
        </is>
      </c>
      <c r="B2" s="15" t="inlineStr">
        <is>
          <t>ABC123</t>
        </is>
      </c>
      <c r="C2" s="15" t="inlineStr">
        <is>
          <t>BrandX</t>
        </is>
      </c>
      <c r="D2" s="16" t="inlineStr">
        <is>
          <t>Sample Description</t>
        </is>
      </c>
      <c r="E2" s="16" t="inlineStr">
        <is>
          <t>10</t>
        </is>
      </c>
      <c r="F2" s="17" t="inlineStr">
        <is>
          <t>pcs</t>
        </is>
      </c>
      <c r="G2" s="15" t="inlineStr">
        <is>
          <t>VendorX</t>
        </is>
      </c>
      <c r="H2" s="15" t="inlineStr">
        <is>
          <t>12345</t>
        </is>
      </c>
      <c r="I2" s="15" t="inlineStr">
        <is>
          <t>Legacy</t>
        </is>
      </c>
      <c r="J2" s="18" t="inlineStr">
        <is>
          <t>100.00</t>
        </is>
      </c>
      <c r="K2" s="14" t="inlineStr">
        <is>
          <t>5%</t>
        </is>
      </c>
      <c r="L2" s="19" t="inlineStr">
        <is>
          <t>09/22/2023</t>
        </is>
      </c>
      <c r="M2" s="20" t="n"/>
      <c r="N2" s="21" t="n"/>
      <c r="O2" s="22" t="n"/>
      <c r="P2" s="23" t="n"/>
    </row>
    <row r="3" ht="37.5" customHeight="1">
      <c r="A3" s="14" t="inlineStr">
        <is>
          <t>SA47-SDMM</t>
        </is>
      </c>
      <c r="B3" s="15" t="inlineStr">
        <is>
          <t>SA47-SDMM</t>
        </is>
      </c>
      <c r="C3" s="15" t="inlineStr">
        <is>
          <t>Advantage Conveyor, Inc.</t>
        </is>
      </c>
      <c r="D3" s="16" t="inlineStr">
        <is>
          <t>Advantage Conveyor Standard Motor Mount (7 Ga.) - 02.09.09</t>
        </is>
      </c>
      <c r="E3" s="16" t="n"/>
      <c r="F3" s="17" t="n">
        <v>1</v>
      </c>
      <c r="G3" s="15" t="inlineStr">
        <is>
          <t>Stainless Steel Specialties</t>
        </is>
      </c>
      <c r="H3" s="15" t="inlineStr">
        <is>
          <t>N/A</t>
        </is>
      </c>
      <c r="I3" s="15" t="inlineStr">
        <is>
          <t>NO</t>
        </is>
      </c>
      <c r="J3" s="18" t="n">
        <v>40</v>
      </c>
      <c r="K3" s="14" t="n"/>
      <c r="L3" s="19" t="n"/>
      <c r="M3" s="20" t="n"/>
      <c r="N3" s="21" t="n"/>
      <c r="O3" s="22" t="n"/>
      <c r="P3" s="23" t="n"/>
    </row>
    <row r="4" ht="37.5" customHeight="1">
      <c r="A4" s="14" t="inlineStr">
        <is>
          <t>6MN37</t>
        </is>
      </c>
      <c r="B4" s="15" t="inlineStr">
        <is>
          <t>958PPNI-4B</t>
        </is>
      </c>
      <c r="C4" s="15" t="inlineStr">
        <is>
          <t>Anderson Fittings</t>
        </is>
      </c>
      <c r="D4" s="16" t="inlineStr">
        <is>
          <t>Flow Control Valve, Push To Connect, Tube Size 1/4 In, Pipe Size 1/4 In, Material of Construction Nickel Plated Brass, Flow Out, Knob Adjustment, Pressure Range 0 To 250 PSI, Temp Range 0 To 160 F - Price Checked: 5.21.14</t>
        </is>
      </c>
      <c r="E4" s="16" t="n">
        <v>1</v>
      </c>
      <c r="F4" s="17" t="inlineStr">
        <is>
          <t>each</t>
        </is>
      </c>
      <c r="G4" s="15" t="inlineStr">
        <is>
          <t>Grainger</t>
        </is>
      </c>
      <c r="H4" s="15" t="inlineStr">
        <is>
          <t>6MN37</t>
        </is>
      </c>
      <c r="I4" s="15" t="inlineStr">
        <is>
          <t>NO</t>
        </is>
      </c>
      <c r="J4" s="18" t="n">
        <v>21.29</v>
      </c>
      <c r="K4" s="21" t="n">
        <v>45413</v>
      </c>
      <c r="L4" s="19" t="n">
        <v>0.119936875328774</v>
      </c>
      <c r="M4" s="20" t="n">
        <v>22.23</v>
      </c>
      <c r="N4" s="21" t="n">
        <v>45348</v>
      </c>
      <c r="O4" s="22" t="inlineStr">
        <is>
          <t>, 2/15/2024, 19.01, 2/26/2024, 22.23</t>
        </is>
      </c>
      <c r="P4" s="24" t="n"/>
    </row>
    <row r="5" ht="37.5" customHeight="1">
      <c r="A5" s="14" t="inlineStr">
        <is>
          <t>2F971</t>
        </is>
      </c>
      <c r="B5" s="15" t="inlineStr">
        <is>
          <t>A212PD</t>
        </is>
      </c>
      <c r="C5" s="15" t="inlineStr">
        <is>
          <t>ARO</t>
        </is>
      </c>
      <c r="D5" s="16" t="inlineStr">
        <is>
          <t>ARO Pilot Air Control Valve: Alpha Series, Four-Way / Two-Position, 5 Ports, 1/4 in Female NPT Pilot</t>
        </is>
      </c>
      <c r="E5" s="16" t="inlineStr">
        <is>
          <t>1</t>
        </is>
      </c>
      <c r="F5" s="17" t="inlineStr">
        <is>
          <t>each</t>
        </is>
      </c>
      <c r="G5" s="15" t="inlineStr">
        <is>
          <t>Grainger</t>
        </is>
      </c>
      <c r="H5" s="15" t="inlineStr">
        <is>
          <t>2F971</t>
        </is>
      </c>
      <c r="I5" s="15" t="inlineStr">
        <is>
          <t>NO</t>
        </is>
      </c>
      <c r="J5" s="102" t="n">
        <v>114.54</v>
      </c>
      <c r="K5" s="21" t="n">
        <v>45972</v>
      </c>
      <c r="L5" s="19" t="n">
        <v>-0.44</v>
      </c>
      <c r="M5" s="101" t="n">
        <v>53.73</v>
      </c>
      <c r="N5" s="21" t="n"/>
      <c r="O5" s="22" t="inlineStr">
        <is>
          <t>, 2/15/2024, 53.73</t>
        </is>
      </c>
      <c r="P5" s="23" t="n"/>
    </row>
    <row r="6" ht="37.5" customHeight="1">
      <c r="A6" s="14" t="inlineStr">
        <is>
          <t>2G501</t>
        </is>
      </c>
      <c r="B6" s="15" t="inlineStr">
        <is>
          <t>CDW</t>
        </is>
      </c>
      <c r="C6" s="15" t="inlineStr">
        <is>
          <t>Aro</t>
        </is>
      </c>
      <c r="D6" s="16" t="inlineStr">
        <is>
          <t>Aro Body Ported 22 mm Solenoid Coil Connectors - Quote Expires 5.21.14</t>
        </is>
      </c>
      <c r="E6" s="16" t="n">
        <v>1</v>
      </c>
      <c r="F6" s="17" t="inlineStr">
        <is>
          <t>each</t>
        </is>
      </c>
      <c r="G6" s="15" t="inlineStr">
        <is>
          <t>Grainger</t>
        </is>
      </c>
      <c r="H6" s="15" t="inlineStr">
        <is>
          <t>2G501</t>
        </is>
      </c>
      <c r="I6" s="15" t="inlineStr">
        <is>
          <t>NO</t>
        </is>
      </c>
      <c r="J6" s="18" t="n">
        <v>26.44</v>
      </c>
      <c r="K6" s="21" t="n">
        <v>45413</v>
      </c>
      <c r="L6" s="19" t="n">
        <v>1.16366612111293</v>
      </c>
      <c r="M6" s="20" t="n">
        <v>27.27</v>
      </c>
      <c r="N6" s="21" t="n">
        <v>45348</v>
      </c>
      <c r="O6" s="22" t="inlineStr">
        <is>
          <t>, 2/15/2024, 12.22, 2/26/2024, 27.27</t>
        </is>
      </c>
      <c r="P6" s="24" t="n"/>
    </row>
    <row r="7" ht="37.5" customHeight="1">
      <c r="A7" s="14" t="inlineStr">
        <is>
          <t>4XT34</t>
        </is>
      </c>
      <c r="B7" s="15" t="inlineStr">
        <is>
          <t>A212SS-024-D</t>
        </is>
      </c>
      <c r="C7" s="15" t="inlineStr">
        <is>
          <t>Aro</t>
        </is>
      </c>
      <c r="D7" s="16" t="inlineStr">
        <is>
          <t>Aro 5 Ported 4 Way Valve with 1/4" NPT Ports and 24 VDC Coil - Quote Expires 5.21.14</t>
        </is>
      </c>
      <c r="E7" s="16" t="n">
        <v>1</v>
      </c>
      <c r="F7" s="17" t="inlineStr">
        <is>
          <t>each</t>
        </is>
      </c>
      <c r="G7" s="15" t="inlineStr">
        <is>
          <t>Grainger</t>
        </is>
      </c>
      <c r="H7" s="15" t="inlineStr">
        <is>
          <t>4XT34</t>
        </is>
      </c>
      <c r="I7" s="15" t="inlineStr">
        <is>
          <t>NO</t>
        </is>
      </c>
      <c r="J7" s="18" t="n">
        <v>186.56</v>
      </c>
      <c r="K7" s="21" t="n">
        <v>45413</v>
      </c>
      <c r="L7" s="19" t="n">
        <v>1.49545211342964</v>
      </c>
      <c r="M7" s="20" t="n">
        <v>183.65</v>
      </c>
      <c r="N7" s="21" t="n">
        <v>45348</v>
      </c>
      <c r="O7" s="22" t="inlineStr">
        <is>
          <t>, 2/15/2024, 74.76, 2/26/2024, 183.65</t>
        </is>
      </c>
      <c r="P7" s="24" t="n"/>
    </row>
    <row r="8" ht="37.5" customHeight="1">
      <c r="A8" s="14" t="inlineStr">
        <is>
          <t>4HM08</t>
        </is>
      </c>
      <c r="B8" s="15" t="inlineStr">
        <is>
          <t>N14-NA</t>
        </is>
      </c>
      <c r="C8" s="15" t="inlineStr">
        <is>
          <t>ATP</t>
        </is>
      </c>
      <c r="D8" s="16" t="inlineStr">
        <is>
          <t xml:space="preserve">Tubing, Inside Dia. .180 In, Outside Dia. 1/4 In, Material of Construction Nylon, Wall Thickness .035 In, Temp. Range -60 to 200 F, Max. Pressure 250 PSI, Burst Pressure 750 PSI, Length 100 Ft., Color Natural </t>
        </is>
      </c>
      <c r="E8" s="16" t="n">
        <v>1</v>
      </c>
      <c r="F8" s="17" t="inlineStr">
        <is>
          <t>each</t>
        </is>
      </c>
      <c r="G8" s="15" t="inlineStr">
        <is>
          <t>Grainger</t>
        </is>
      </c>
      <c r="H8" s="15" t="inlineStr">
        <is>
          <t>4HM08</t>
        </is>
      </c>
      <c r="I8" s="15" t="inlineStr">
        <is>
          <t>NO</t>
        </is>
      </c>
      <c r="J8" s="18" t="n">
        <v>76.38</v>
      </c>
      <c r="K8" s="21" t="n">
        <v>45420</v>
      </c>
      <c r="L8" s="19" t="n">
        <v>0</v>
      </c>
      <c r="M8" s="20" t="n">
        <v>76.38</v>
      </c>
      <c r="N8" s="21" t="n">
        <v>45413</v>
      </c>
      <c r="O8" s="22" t="inlineStr">
        <is>
          <t>, 2/15/2024, 70.87, 2/26/2024, 76.32, 5/8/2024, 76.38</t>
        </is>
      </c>
      <c r="P8" s="24" t="n"/>
    </row>
    <row r="9" ht="37.5" customHeight="1">
      <c r="A9" s="14" t="inlineStr">
        <is>
          <t>4HM11</t>
        </is>
      </c>
      <c r="B9" s="15" t="inlineStr">
        <is>
          <t>N532-NA</t>
        </is>
      </c>
      <c r="C9" s="15" t="inlineStr">
        <is>
          <t>ATP</t>
        </is>
      </c>
      <c r="D9" s="25" t="inlineStr">
        <is>
          <t>Nylon Tubing, OD 5/32 Inch, Inside Diameter 0.106 Inch, Maximum Working Pressure @ 70 Degree Fahrenheit 250 PSI, Minimum Bend Radius 1.000 Inch, Roll Length 100 Feet - Quote Expires 03/11/11</t>
        </is>
      </c>
      <c r="E9" s="25" t="n">
        <v>1</v>
      </c>
      <c r="F9" s="17" t="inlineStr">
        <is>
          <t>each</t>
        </is>
      </c>
      <c r="G9" s="15" t="inlineStr">
        <is>
          <t>Grainger</t>
        </is>
      </c>
      <c r="H9" s="15" t="inlineStr">
        <is>
          <t>4HM11</t>
        </is>
      </c>
      <c r="I9" s="15" t="inlineStr">
        <is>
          <t>NO</t>
        </is>
      </c>
      <c r="J9" s="18" t="n">
        <v>44.61</v>
      </c>
      <c r="K9" s="21" t="n">
        <v>45413</v>
      </c>
      <c r="L9" s="19" t="n">
        <v>1.31020196789228</v>
      </c>
      <c r="M9" s="20" t="n">
        <v>42</v>
      </c>
      <c r="N9" s="21" t="n">
        <v>45348</v>
      </c>
      <c r="O9" s="22" t="inlineStr">
        <is>
          <t>, 2/15/2024, 19.31, 2/26/2024, 42</t>
        </is>
      </c>
      <c r="P9" s="23" t="n"/>
    </row>
    <row r="10" ht="37.5" customHeight="1">
      <c r="A10" s="14" t="inlineStr">
        <is>
          <t>024-DXP</t>
        </is>
      </c>
      <c r="B10" s="15" t="inlineStr">
        <is>
          <t>024-DXP</t>
        </is>
      </c>
      <c r="C10" s="15" t="inlineStr">
        <is>
          <t>Bimba</t>
        </is>
      </c>
      <c r="D10" s="16" t="inlineStr">
        <is>
          <t>Bimba 9/16" dia. bore x 4" Stk. cylinder</t>
        </is>
      </c>
      <c r="E10" s="16" t="n"/>
      <c r="F10" s="17" t="n"/>
      <c r="G10" s="15" t="inlineStr">
        <is>
          <t>Scott Equipment Company</t>
        </is>
      </c>
      <c r="H10" s="15" t="inlineStr">
        <is>
          <t>N/A</t>
        </is>
      </c>
      <c r="I10" s="15" t="inlineStr">
        <is>
          <t>NO</t>
        </is>
      </c>
      <c r="J10" s="18" t="inlineStr">
        <is>
          <t>CALL FOR QUOTE</t>
        </is>
      </c>
      <c r="K10" s="14" t="n"/>
      <c r="L10" s="19" t="n"/>
      <c r="M10" s="20" t="n"/>
      <c r="N10" s="21" t="n"/>
      <c r="O10" s="22" t="n"/>
      <c r="P10" s="23" t="n"/>
    </row>
    <row r="11" ht="37.5" customHeight="1">
      <c r="A11" s="14" t="inlineStr">
        <is>
          <t>D-850</t>
        </is>
      </c>
      <c r="B11" s="15" t="inlineStr">
        <is>
          <t>D-850</t>
        </is>
      </c>
      <c r="C11" s="15" t="inlineStr">
        <is>
          <t>Bimba</t>
        </is>
      </c>
      <c r="D11" s="16" t="inlineStr">
        <is>
          <t>Bimba Rod Clevis</t>
        </is>
      </c>
      <c r="E11" s="16" t="n"/>
      <c r="F11" s="17" t="n"/>
      <c r="G11" s="15" t="inlineStr">
        <is>
          <t>Scott Equipment Company</t>
        </is>
      </c>
      <c r="H11" s="15" t="inlineStr">
        <is>
          <t>N/A</t>
        </is>
      </c>
      <c r="I11" s="15" t="inlineStr">
        <is>
          <t>NO</t>
        </is>
      </c>
      <c r="J11" s="18" t="inlineStr">
        <is>
          <t>CALL FOR QUOTE</t>
        </is>
      </c>
      <c r="K11" s="14" t="n"/>
      <c r="L11" s="19" t="n"/>
      <c r="M11" s="20" t="n"/>
      <c r="N11" s="21" t="n"/>
      <c r="O11" s="22" t="n"/>
      <c r="P11" s="23" t="n"/>
    </row>
    <row r="12" ht="37.5" customHeight="1">
      <c r="A12" s="14" t="inlineStr">
        <is>
          <t>250-6-SS-SF-BP-GF</t>
        </is>
      </c>
      <c r="B12" s="15" t="inlineStr">
        <is>
          <t>250-6-SS-SF-BP-GF</t>
        </is>
      </c>
      <c r="C12" s="15" t="inlineStr">
        <is>
          <t>Bryant Industrial</t>
        </is>
      </c>
      <c r="D12" s="16" t="inlineStr">
        <is>
          <t>Bryant Industrial Series 250 Stainless Steel Telescoper with 6" Stroke and Grease Fittings</t>
        </is>
      </c>
      <c r="E12" s="16" t="n"/>
      <c r="F12" s="17" t="n">
        <v>2</v>
      </c>
      <c r="G12" s="15" t="inlineStr">
        <is>
          <t>Holland Industrial</t>
        </is>
      </c>
      <c r="H12" s="15" t="inlineStr">
        <is>
          <t>N/A</t>
        </is>
      </c>
      <c r="I12" s="15" t="inlineStr">
        <is>
          <t>NO</t>
        </is>
      </c>
      <c r="J12" s="18" t="inlineStr">
        <is>
          <t>CALL FOR QUOTE</t>
        </is>
      </c>
      <c r="K12" s="14" t="n"/>
      <c r="L12" s="19" t="n"/>
      <c r="M12" s="20" t="n"/>
      <c r="N12" s="21" t="n"/>
      <c r="O12" s="22" t="n"/>
      <c r="P12" s="23" t="n"/>
    </row>
    <row r="13" ht="37.5" customHeight="1">
      <c r="A13" s="14" t="inlineStr">
        <is>
          <t>2X740</t>
        </is>
      </c>
      <c r="B13" s="15" t="inlineStr">
        <is>
          <t>2X74010037</t>
        </is>
      </c>
      <c r="C13" s="15" t="inlineStr">
        <is>
          <t>Dayton</t>
        </is>
      </c>
      <c r="D13" s="16" t="inlineStr">
        <is>
          <t>Shaft Collar, Inside Diameter 1 1/4 Inches, OD 2 Inches, Set Screw Size 3/8-16 Inch, Width 11/16 Inch, Zinc Plated Steel - Price Checked: 5.22.13</t>
        </is>
      </c>
      <c r="E13" s="16" t="n">
        <v>1</v>
      </c>
      <c r="F13" s="17" t="inlineStr">
        <is>
          <t>each</t>
        </is>
      </c>
      <c r="G13" s="15" t="inlineStr">
        <is>
          <t>Grainger</t>
        </is>
      </c>
      <c r="H13" s="15" t="inlineStr">
        <is>
          <t>2X740</t>
        </is>
      </c>
      <c r="I13" s="15" t="inlineStr">
        <is>
          <t>NO</t>
        </is>
      </c>
      <c r="J13" s="18" t="n">
        <v>8.42</v>
      </c>
      <c r="K13" s="21" t="n">
        <v>45413</v>
      </c>
      <c r="L13" s="19" t="n">
        <v>1.05365853658537</v>
      </c>
      <c r="M13" s="20" t="n">
        <v>7.8</v>
      </c>
      <c r="N13" s="21" t="n">
        <v>45348</v>
      </c>
      <c r="O13" s="22" t="inlineStr">
        <is>
          <t>, 2/15/2024, 4.1, 2/26/2024, 7.8</t>
        </is>
      </c>
      <c r="P13" s="24" t="n"/>
    </row>
    <row r="14" ht="37.5" customHeight="1">
      <c r="A14" s="14" t="inlineStr">
        <is>
          <t>5071A57</t>
        </is>
      </c>
      <c r="B14" s="15" t="inlineStr">
        <is>
          <t>5071A57</t>
        </is>
      </c>
      <c r="C14" s="15" t="inlineStr">
        <is>
          <t>Destaco</t>
        </is>
      </c>
      <c r="D14" s="16" t="inlineStr">
        <is>
          <t>Latch-Style Toggle Clamp, U-Style Arm, 18-8 Stainless Steel, 360 lbs. Capacity, 4-1/4" Overall Length</t>
        </is>
      </c>
      <c r="E14" s="16" t="n">
        <v>1</v>
      </c>
      <c r="F14" s="17" t="inlineStr">
        <is>
          <t>Each</t>
        </is>
      </c>
      <c r="G14" s="15" t="inlineStr">
        <is>
          <t>McMaster-Carr</t>
        </is>
      </c>
      <c r="H14" s="15" t="inlineStr">
        <is>
          <t>5071A57</t>
        </is>
      </c>
      <c r="I14" s="15" t="inlineStr">
        <is>
          <t>NO</t>
        </is>
      </c>
      <c r="J14" s="18" t="n">
        <v>37.1</v>
      </c>
      <c r="K14" s="21" t="n">
        <v>45348</v>
      </c>
      <c r="L14" s="19" t="n">
        <v>0</v>
      </c>
      <c r="M14" s="20" t="n">
        <v>37.1</v>
      </c>
      <c r="N14" s="21" t="n">
        <v>45348</v>
      </c>
      <c r="O14" s="22" t="inlineStr">
        <is>
          <t>, 2/26/2024, 37.1</t>
        </is>
      </c>
      <c r="P14" s="23" t="n"/>
    </row>
    <row r="15" ht="55.5" customHeight="1">
      <c r="A15" s="14" t="inlineStr">
        <is>
          <t>1AJP1</t>
        </is>
      </c>
      <c r="B15" s="15" t="inlineStr">
        <is>
          <t>W169PLP-4-4</t>
        </is>
      </c>
      <c r="C15" s="15" t="inlineStr">
        <is>
          <t>Parker</t>
        </is>
      </c>
      <c r="D15" s="25" t="inlineStr">
        <is>
          <t>Swivel Male Elbow, Prestolok(R), Tube Size 1/4 In, Pipe Size 1/4 In, Tube x MNPT Connection, Material of Construction Nickel Plated Brass, Outside Dia .188 In, Thread Size 1/4 In, Hex Size 9/16 In, Length 1.06 In, Pressure (PSI) 300, Temp Range 0 To 200 Deg F, Package Quantity 10 - Price Checked: 10.23.14</t>
        </is>
      </c>
      <c r="E15" s="25" t="n">
        <v>1</v>
      </c>
      <c r="F15" s="17" t="inlineStr">
        <is>
          <t>each</t>
        </is>
      </c>
      <c r="G15" s="15" t="inlineStr">
        <is>
          <t>Grainger</t>
        </is>
      </c>
      <c r="H15" s="15" t="inlineStr">
        <is>
          <t>1AJP1</t>
        </is>
      </c>
      <c r="I15" s="15" t="inlineStr">
        <is>
          <t>NO</t>
        </is>
      </c>
      <c r="J15" s="18" t="n">
        <v>6.97</v>
      </c>
      <c r="K15" s="21" t="n">
        <v>45414</v>
      </c>
      <c r="L15" s="19" t="n">
        <v>-4.91535150645624</v>
      </c>
      <c r="M15" s="20" t="n">
        <v>41.23</v>
      </c>
      <c r="N15" s="21" t="n"/>
      <c r="O15" s="22" t="inlineStr">
        <is>
          <t>, 2/15/2024, 41.23, 2/26/2024, 6.97</t>
        </is>
      </c>
      <c r="P15" s="23" t="n"/>
    </row>
    <row r="16" ht="37.5" customHeight="1">
      <c r="A16" s="14" t="inlineStr">
        <is>
          <t>SS07060408-84</t>
        </is>
      </c>
      <c r="B16" s="15" t="inlineStr">
        <is>
          <t>SS07060408-84</t>
        </is>
      </c>
      <c r="C16" s="15" t="inlineStr">
        <is>
          <t>H. A. Guden</t>
        </is>
      </c>
      <c r="D16" s="16" t="inlineStr">
        <is>
          <t>H.A. Guden Type 304 Stainless Steel Hinge x 84"</t>
        </is>
      </c>
      <c r="E16" s="16" t="n"/>
      <c r="F16" s="17" t="n">
        <v>3</v>
      </c>
      <c r="G16" s="15" t="inlineStr">
        <is>
          <t>H. A. Guden</t>
        </is>
      </c>
      <c r="H16" s="15" t="inlineStr">
        <is>
          <t>N/A</t>
        </is>
      </c>
      <c r="I16" s="15" t="inlineStr">
        <is>
          <t>NO</t>
        </is>
      </c>
      <c r="J16" s="18" t="inlineStr">
        <is>
          <t>CALL FOR QUOTE</t>
        </is>
      </c>
      <c r="K16" s="14" t="n"/>
      <c r="L16" s="19" t="n"/>
      <c r="M16" s="20" t="n"/>
      <c r="N16" s="21" t="n"/>
      <c r="O16" s="22" t="n"/>
      <c r="P16" s="23" t="n"/>
    </row>
    <row r="17" ht="37.5" customHeight="1">
      <c r="A17" s="14" t="inlineStr">
        <is>
          <t>S3D9 XXCJK5 NG</t>
        </is>
      </c>
      <c r="B17" s="15" t="inlineStr">
        <is>
          <t>S3D9 XXCJK5 NG</t>
        </is>
      </c>
      <c r="C17" s="15" t="inlineStr">
        <is>
          <t>Intralox</t>
        </is>
      </c>
      <c r="D17" s="16" t="inlineStr">
        <is>
          <t>SERIES 900 4.1" (12T) NATURAL ACETAL SPROCKET WITH 1.25" ROUND BORE
Lead Time: Stock.</t>
        </is>
      </c>
      <c r="E17" s="16" t="n"/>
      <c r="F17" s="17" t="n">
        <v>20</v>
      </c>
      <c r="G17" s="15" t="inlineStr">
        <is>
          <t>Intralox</t>
        </is>
      </c>
      <c r="H17" s="15" t="inlineStr">
        <is>
          <t>N/A</t>
        </is>
      </c>
      <c r="I17" s="15" t="inlineStr">
        <is>
          <t>NO</t>
        </is>
      </c>
      <c r="J17" s="18" t="inlineStr">
        <is>
          <t>CALL FOR QUOTE</t>
        </is>
      </c>
      <c r="K17" s="14" t="n"/>
      <c r="L17" s="19" t="n"/>
      <c r="M17" s="20" t="n"/>
      <c r="N17" s="21" t="n"/>
      <c r="O17" s="22" t="n"/>
      <c r="P17" s="23" t="n"/>
    </row>
    <row r="18" ht="37.5" customHeight="1">
      <c r="A18" s="14" t="inlineStr">
        <is>
          <t>S3D9XXCJH5NG</t>
        </is>
      </c>
      <c r="B18" s="15" t="inlineStr">
        <is>
          <t>S3D9XXCJH5NG</t>
        </is>
      </c>
      <c r="C18" s="15" t="inlineStr">
        <is>
          <t>Intralox</t>
        </is>
      </c>
      <c r="D18" s="16" t="inlineStr">
        <is>
          <t>Intralox Series 900 12 Tooth Conveyor Chain Sprocket with 1" Dia. Round Bore - 6/14/23</t>
        </is>
      </c>
      <c r="E18" s="16" t="n"/>
      <c r="F18" s="17" t="n">
        <v>4</v>
      </c>
      <c r="G18" s="15" t="inlineStr">
        <is>
          <t>Intralox</t>
        </is>
      </c>
      <c r="H18" s="15" t="inlineStr">
        <is>
          <t>S3D9XXCJH5NG</t>
        </is>
      </c>
      <c r="I18" s="15" t="inlineStr">
        <is>
          <t>NO</t>
        </is>
      </c>
      <c r="J18" s="18" t="n">
        <v>24.51</v>
      </c>
      <c r="K18" s="14" t="n"/>
      <c r="L18" s="19" t="n"/>
      <c r="M18" s="20" t="n"/>
      <c r="N18" s="21" t="n"/>
      <c r="O18" s="22" t="n"/>
      <c r="P18" s="23" t="n"/>
    </row>
    <row r="19" ht="37.5" customHeight="1">
      <c r="A19" s="14" t="inlineStr">
        <is>
          <t>S3E1 I6CKK5 LS</t>
        </is>
      </c>
      <c r="B19" s="15" t="inlineStr">
        <is>
          <t>S3E1 I6CKK5 LS</t>
        </is>
      </c>
      <c r="C19" s="15" t="inlineStr">
        <is>
          <t>Intralox</t>
        </is>
      </c>
      <c r="D19" s="16" t="inlineStr">
        <is>
          <t xml:space="preserve"> SERIES 1100 4.6" (24T) EZ TRACKING/ EZ CLEAN GREY ACETAL SPROCKET WITH 1-1/4" ROUND BORE </t>
        </is>
      </c>
      <c r="E19" s="16" t="n"/>
      <c r="F19" s="17" t="n">
        <v>20</v>
      </c>
      <c r="G19" s="15" t="inlineStr">
        <is>
          <t>Intralox</t>
        </is>
      </c>
      <c r="H19" s="15" t="inlineStr">
        <is>
          <t>N/A</t>
        </is>
      </c>
      <c r="I19" s="15" t="inlineStr">
        <is>
          <t>NO</t>
        </is>
      </c>
      <c r="J19" s="18" t="inlineStr">
        <is>
          <t>CALL FOR QUOTE</t>
        </is>
      </c>
      <c r="K19" s="14" t="n"/>
      <c r="L19" s="19" t="n"/>
      <c r="M19" s="20" t="n"/>
      <c r="N19" s="21" t="n"/>
      <c r="O19" s="22" t="n"/>
      <c r="P19" s="23" t="n"/>
    </row>
    <row r="20" ht="34.5" customFormat="1" customHeight="1" s="28">
      <c r="A20" s="14" t="inlineStr">
        <is>
          <t>SUCSFL-206-20</t>
        </is>
      </c>
      <c r="B20" s="15" t="inlineStr">
        <is>
          <t>SUCSFL-206-20</t>
        </is>
      </c>
      <c r="C20" s="15" t="inlineStr">
        <is>
          <t>IPTCI</t>
        </is>
      </c>
      <c r="D20" s="26" t="inlineStr">
        <is>
          <t>All Stainless 2-Bolt Flange, Set Screw Lock, Bore Dia. 1 1/4"S  Price Confirmed: 7.30.14</t>
        </is>
      </c>
      <c r="E20" s="26" t="n"/>
      <c r="F20" s="17" t="n"/>
      <c r="G20" s="15" t="inlineStr">
        <is>
          <t>IPTCI</t>
        </is>
      </c>
      <c r="H20" s="15" t="inlineStr">
        <is>
          <t>SUCSFL-206-20</t>
        </is>
      </c>
      <c r="I20" s="15" t="inlineStr">
        <is>
          <t>NO</t>
        </is>
      </c>
      <c r="J20" s="18" t="n">
        <v>73.63</v>
      </c>
      <c r="K20" s="14" t="n"/>
      <c r="L20" s="19" t="n"/>
      <c r="M20" s="20" t="n"/>
      <c r="N20" s="21" t="n"/>
      <c r="O20" s="22" t="n"/>
      <c r="P20" s="24" t="n"/>
      <c r="Q20" s="27" t="n"/>
      <c r="R20" s="27" t="n"/>
    </row>
    <row r="21" ht="34.5" customFormat="1" customHeight="1" s="28">
      <c r="A21" s="14" t="inlineStr">
        <is>
          <t>SUCSFL-210-32</t>
        </is>
      </c>
      <c r="B21" s="15" t="inlineStr">
        <is>
          <t>SUCSFL-210-32</t>
        </is>
      </c>
      <c r="C21" s="15" t="inlineStr">
        <is>
          <t>IPTCI</t>
        </is>
      </c>
      <c r="D21" s="26" t="inlineStr">
        <is>
          <t>All Stainless 2-Bolt Flange, Set Screw Lock, Bore Dia. 2"S  - 3/21/22</t>
        </is>
      </c>
      <c r="E21" s="26" t="n"/>
      <c r="F21" s="17" t="n"/>
      <c r="G21" s="15" t="inlineStr">
        <is>
          <t>IPTCI</t>
        </is>
      </c>
      <c r="H21" s="15" t="inlineStr">
        <is>
          <t>SUCSFL-210-32</t>
        </is>
      </c>
      <c r="I21" s="15" t="inlineStr">
        <is>
          <t>NO</t>
        </is>
      </c>
      <c r="J21" s="18" t="n">
        <v>185.74</v>
      </c>
      <c r="K21" s="14" t="n"/>
      <c r="L21" s="19" t="n"/>
      <c r="M21" s="20" t="n"/>
      <c r="N21" s="21" t="n"/>
      <c r="O21" s="22" t="n"/>
      <c r="P21" s="24" t="n"/>
      <c r="Q21" s="27" t="n"/>
      <c r="R21" s="27" t="n"/>
    </row>
    <row r="22" ht="34.5" customFormat="1" customHeight="1" s="28">
      <c r="A22" s="14" t="inlineStr">
        <is>
          <t>SUCSPA-206-20</t>
        </is>
      </c>
      <c r="B22" s="15" t="inlineStr">
        <is>
          <t>SUCSPA-206-20</t>
        </is>
      </c>
      <c r="C22" s="15" t="inlineStr">
        <is>
          <t>IPTCI</t>
        </is>
      </c>
      <c r="D22" s="29" t="inlineStr">
        <is>
          <t xml:space="preserve">All Stainless Tapped Base Pillow Block, Set Screw Lock, Bore Dia. 1 1/4"  </t>
        </is>
      </c>
      <c r="E22" s="29" t="n"/>
      <c r="F22" s="17" t="n"/>
      <c r="G22" s="15" t="inlineStr">
        <is>
          <t>IPTCI</t>
        </is>
      </c>
      <c r="H22" s="15" t="inlineStr">
        <is>
          <t>SUCSPA-206-20</t>
        </is>
      </c>
      <c r="I22" s="15" t="inlineStr">
        <is>
          <t>NO</t>
        </is>
      </c>
      <c r="J22" s="18" t="inlineStr">
        <is>
          <t>CALL FOR QUOTE</t>
        </is>
      </c>
      <c r="K22" s="14" t="n"/>
      <c r="L22" s="19" t="n"/>
      <c r="M22" s="20" t="n"/>
      <c r="N22" s="21" t="n"/>
      <c r="O22" s="22" t="n"/>
      <c r="P22" s="24" t="n"/>
      <c r="Q22" s="27" t="n"/>
      <c r="R22" s="27" t="n"/>
    </row>
    <row r="23" ht="34.5" customFormat="1" customHeight="1" s="28">
      <c r="A23" s="14" t="inlineStr">
        <is>
          <t>SUCTF-208-24</t>
        </is>
      </c>
      <c r="B23" s="15" t="inlineStr">
        <is>
          <t>SUCTF-208-24</t>
        </is>
      </c>
      <c r="C23" s="15" t="inlineStr">
        <is>
          <t>IPTCI</t>
        </is>
      </c>
      <c r="D23" s="29" t="inlineStr">
        <is>
          <t xml:space="preserve">Stainless Insert Thermoplastic Housing 4-Bolt Flange, Set Screw Lock, Bore Dia. 1 1/2"  </t>
        </is>
      </c>
      <c r="E23" s="29" t="n"/>
      <c r="F23" s="17" t="n"/>
      <c r="G23" s="15" t="inlineStr">
        <is>
          <t>IPTCI</t>
        </is>
      </c>
      <c r="H23" s="15" t="inlineStr">
        <is>
          <t>SUCTF-208-24</t>
        </is>
      </c>
      <c r="I23" s="15" t="inlineStr">
        <is>
          <t>NO</t>
        </is>
      </c>
      <c r="J23" s="18" t="inlineStr">
        <is>
          <t>CALL FOR QUOTE</t>
        </is>
      </c>
      <c r="K23" s="14" t="n"/>
      <c r="L23" s="19" t="n"/>
      <c r="M23" s="20" t="n"/>
      <c r="N23" s="21" t="n"/>
      <c r="O23" s="22" t="n"/>
      <c r="P23" s="24" t="n"/>
      <c r="Q23" s="27" t="n"/>
      <c r="R23" s="27" t="n"/>
    </row>
    <row r="24" ht="34.5" customFormat="1" customHeight="1" s="28">
      <c r="A24" s="14" t="inlineStr">
        <is>
          <t>SUCTFB-204-12</t>
        </is>
      </c>
      <c r="B24" s="15" t="inlineStr">
        <is>
          <t>SUCTFB-204-12</t>
        </is>
      </c>
      <c r="C24" s="15" t="inlineStr">
        <is>
          <t>IPTCI</t>
        </is>
      </c>
      <c r="D24" s="29" t="inlineStr">
        <is>
          <t>Stainless Insert Thermoplastic Housing 3-Bolt Flange Bracket, Set Screw Lock, Bore Dia. 3/4"  - 7/11/22</t>
        </is>
      </c>
      <c r="E24" s="29" t="n"/>
      <c r="F24" s="17" t="n"/>
      <c r="G24" s="15" t="inlineStr">
        <is>
          <t>IPTCI</t>
        </is>
      </c>
      <c r="H24" s="15" t="inlineStr">
        <is>
          <t>SUCTFB-204-12</t>
        </is>
      </c>
      <c r="I24" s="15" t="inlineStr">
        <is>
          <t>NO</t>
        </is>
      </c>
      <c r="J24" s="18" t="n">
        <v>43.29</v>
      </c>
      <c r="K24" s="14" t="n"/>
      <c r="L24" s="19" t="n"/>
      <c r="M24" s="20" t="n"/>
      <c r="N24" s="21" t="n"/>
      <c r="O24" s="22" t="n"/>
      <c r="P24" s="24" t="n"/>
      <c r="Q24" s="27" t="n"/>
      <c r="R24" s="27" t="n"/>
    </row>
    <row r="25" ht="34.5" customFormat="1" customHeight="1" s="28">
      <c r="A25" s="14" t="inlineStr">
        <is>
          <t>SUCTFL-204-12</t>
        </is>
      </c>
      <c r="B25" s="15" t="inlineStr">
        <is>
          <t>SUCTFL-204-12</t>
        </is>
      </c>
      <c r="C25" s="15" t="inlineStr">
        <is>
          <t>IPTCI</t>
        </is>
      </c>
      <c r="D25" s="26" t="inlineStr">
        <is>
          <t>Stainless Insert Thermoplastic Housing 2-Bolt Flange, Set Screw Lock, Bore Dia. 3/4" - Price Confirmed: 01.01.19</t>
        </is>
      </c>
      <c r="E25" s="26" t="n"/>
      <c r="F25" s="17" t="n"/>
      <c r="G25" s="15" t="inlineStr">
        <is>
          <t>IPTCI</t>
        </is>
      </c>
      <c r="H25" s="15" t="inlineStr">
        <is>
          <t>SUCTFL-204-12</t>
        </is>
      </c>
      <c r="I25" s="15" t="inlineStr">
        <is>
          <t>NO</t>
        </is>
      </c>
      <c r="J25" s="18" t="n">
        <v>36.86</v>
      </c>
      <c r="K25" s="14" t="n"/>
      <c r="L25" s="19" t="n"/>
      <c r="M25" s="20" t="n"/>
      <c r="N25" s="21" t="n"/>
      <c r="O25" s="22" t="n"/>
      <c r="P25" s="24" t="n"/>
      <c r="Q25" s="27" t="n"/>
      <c r="R25" s="27" t="n"/>
    </row>
    <row r="26" ht="34.5" customFormat="1" customHeight="1" s="28">
      <c r="A26" s="14" t="inlineStr">
        <is>
          <t>SUCTFL-207-22</t>
        </is>
      </c>
      <c r="B26" s="15" t="inlineStr">
        <is>
          <t>SUCTFL-207-22</t>
        </is>
      </c>
      <c r="C26" s="15" t="inlineStr">
        <is>
          <t>IPTCI</t>
        </is>
      </c>
      <c r="D26" s="29" t="inlineStr">
        <is>
          <t xml:space="preserve">Stainless Insert Thermoplastic Housing 2-Bolt Flange, Set Screw Lock, Bore Dia. 1 3/8"  </t>
        </is>
      </c>
      <c r="E26" s="29" t="n"/>
      <c r="F26" s="17" t="n"/>
      <c r="G26" s="15" t="inlineStr">
        <is>
          <t>IPTCI</t>
        </is>
      </c>
      <c r="H26" s="15" t="inlineStr">
        <is>
          <t>SUCTFL-207-22</t>
        </is>
      </c>
      <c r="I26" s="15" t="inlineStr">
        <is>
          <t>NO</t>
        </is>
      </c>
      <c r="J26" s="18" t="inlineStr">
        <is>
          <t>CALL FOR QUOTE</t>
        </is>
      </c>
      <c r="K26" s="14" t="n"/>
      <c r="L26" s="19" t="n"/>
      <c r="M26" s="20" t="n"/>
      <c r="N26" s="21" t="n"/>
      <c r="O26" s="22" t="n"/>
      <c r="P26" s="24" t="n"/>
      <c r="Q26" s="27" t="n"/>
      <c r="R26" s="27" t="n"/>
    </row>
    <row r="27" ht="34.5" customFormat="1" customHeight="1" s="28">
      <c r="A27" s="14" t="inlineStr">
        <is>
          <t>SUCTP-205-16</t>
        </is>
      </c>
      <c r="B27" s="15" t="inlineStr">
        <is>
          <t>SUCTP-205-16</t>
        </is>
      </c>
      <c r="C27" s="15" t="inlineStr">
        <is>
          <t>IPTCI</t>
        </is>
      </c>
      <c r="D27" s="29" t="inlineStr">
        <is>
          <t>Stainless Insert Thermoplastic Housing Pillow Block, Set Screw Lock, Bore Dia. 1"  - Price confirmed  -5.29.15</t>
        </is>
      </c>
      <c r="E27" s="29" t="n"/>
      <c r="F27" s="17" t="n"/>
      <c r="G27" s="15" t="inlineStr">
        <is>
          <t>IPTCI</t>
        </is>
      </c>
      <c r="H27" s="15" t="inlineStr">
        <is>
          <t>SUCTP-205-16</t>
        </is>
      </c>
      <c r="I27" s="15" t="inlineStr">
        <is>
          <t>NO</t>
        </is>
      </c>
      <c r="J27" s="18" t="n">
        <v>35.59</v>
      </c>
      <c r="K27" s="14" t="n"/>
      <c r="L27" s="19" t="n"/>
      <c r="M27" s="20" t="n"/>
      <c r="N27" s="21" t="n"/>
      <c r="O27" s="22" t="n"/>
      <c r="P27" s="24" t="n"/>
      <c r="Q27" s="27" t="n"/>
      <c r="R27" s="27" t="n"/>
    </row>
    <row r="28" ht="34.5" customFormat="1" customHeight="1" s="28">
      <c r="A28" s="14" t="inlineStr">
        <is>
          <t>SUCTP-206-20</t>
        </is>
      </c>
      <c r="B28" s="15" t="inlineStr">
        <is>
          <t>SUCTP-206-20</t>
        </is>
      </c>
      <c r="C28" s="15" t="inlineStr">
        <is>
          <t>IPTCI</t>
        </is>
      </c>
      <c r="D28" s="26" t="inlineStr">
        <is>
          <t>Stainless Insert Thermoplastic Housing Pillow Block, Set Screw Lock, Bore Dia. 1 1/4"S  - Price Confirmed: 1.22.15</t>
        </is>
      </c>
      <c r="E28" s="26" t="n"/>
      <c r="F28" s="17" t="n"/>
      <c r="G28" s="15" t="inlineStr">
        <is>
          <t>IPTCI</t>
        </is>
      </c>
      <c r="H28" s="15" t="inlineStr">
        <is>
          <t>SUCTP-206-20</t>
        </is>
      </c>
      <c r="I28" s="15" t="inlineStr">
        <is>
          <t>NO</t>
        </is>
      </c>
      <c r="J28" s="18" t="n">
        <v>42.82</v>
      </c>
      <c r="K28" s="14" t="n"/>
      <c r="L28" s="19" t="n"/>
      <c r="M28" s="20" t="n"/>
      <c r="N28" s="21" t="n"/>
      <c r="O28" s="22" t="n"/>
      <c r="P28" s="24" t="n"/>
      <c r="Q28" s="27" t="n"/>
      <c r="R28" s="27" t="n"/>
    </row>
    <row r="29" ht="34.5" customFormat="1" customHeight="1" s="28">
      <c r="A29" s="14" t="inlineStr">
        <is>
          <t>1PFA8</t>
        </is>
      </c>
      <c r="B29" s="15" t="inlineStr">
        <is>
          <t>3109 56 11</t>
        </is>
      </c>
      <c r="C29" s="15" t="inlineStr">
        <is>
          <t>Legris</t>
        </is>
      </c>
      <c r="D29" s="16" t="inlineStr">
        <is>
          <t>Male Elbow, Tube Size 1/4 In, Pipe Size 1/8 In, Hex Size 11mm, Tube x MNPT Connection, Max Pressure 290 PSI, Temp Range -4 To 175 Deg F, Material of Construction Glass Filled Nylon And Nickel Plated Brass, Package Quantity 10 - Price Checked: 07.16.21</t>
        </is>
      </c>
      <c r="E29" s="16" t="n">
        <v>10</v>
      </c>
      <c r="F29" s="17" t="inlineStr">
        <is>
          <t>pkg. of</t>
        </is>
      </c>
      <c r="G29" s="15" t="inlineStr">
        <is>
          <t>Grainger</t>
        </is>
      </c>
      <c r="H29" s="15" t="inlineStr">
        <is>
          <t>1PFA8</t>
        </is>
      </c>
      <c r="I29" s="15" t="inlineStr">
        <is>
          <t>NO</t>
        </is>
      </c>
      <c r="J29" s="18" t="n">
        <v>51.67</v>
      </c>
      <c r="K29" s="21" t="n">
        <v>45348</v>
      </c>
      <c r="L29" s="19" t="n">
        <v>0.37042771434101</v>
      </c>
      <c r="M29" s="20" t="n">
        <v>32.53</v>
      </c>
      <c r="N29" s="21" t="n"/>
      <c r="O29" s="22" t="inlineStr">
        <is>
          <t>, 2/15/2024, 32.53</t>
        </is>
      </c>
      <c r="P29" s="23" t="n"/>
      <c r="Q29" s="27" t="n"/>
      <c r="R29" s="27" t="n"/>
    </row>
    <row r="30" ht="34.5" customFormat="1" customHeight="1" s="28">
      <c r="A30" s="14" t="inlineStr">
        <is>
          <t>1PFA9</t>
        </is>
      </c>
      <c r="B30" s="15" t="inlineStr">
        <is>
          <t>3109 56 14</t>
        </is>
      </c>
      <c r="C30" s="15" t="inlineStr">
        <is>
          <t>Legris</t>
        </is>
      </c>
      <c r="D30" s="16" t="inlineStr">
        <is>
          <t>Male Elbow, Tube Size 1/4 In, Pipe Size 1/4 In, Hex Size 14mm, Tube x MNPT Connection, Max Pressure 290 PSI, Temp Range -4 To 175 Deg F, Material of Construction Glass Filled Nylon And Nickel Plated Brass, Package Quantity 10 - Price Checked: 07.16.21</t>
        </is>
      </c>
      <c r="E30" s="16" t="n">
        <v>10</v>
      </c>
      <c r="F30" s="17" t="inlineStr">
        <is>
          <t>pkg. of</t>
        </is>
      </c>
      <c r="G30" s="15" t="inlineStr">
        <is>
          <t>Grainger</t>
        </is>
      </c>
      <c r="H30" s="15" t="inlineStr">
        <is>
          <t>1PFA9</t>
        </is>
      </c>
      <c r="I30" s="15" t="inlineStr">
        <is>
          <t>NO</t>
        </is>
      </c>
      <c r="J30" s="18" t="n">
        <v>57.3</v>
      </c>
      <c r="K30" s="21" t="n">
        <v>45348</v>
      </c>
      <c r="L30" s="19" t="n">
        <v>0.339965095986038</v>
      </c>
      <c r="M30" s="20" t="n">
        <v>37.82</v>
      </c>
      <c r="N30" s="21" t="n"/>
      <c r="O30" s="22" t="inlineStr">
        <is>
          <t>, 2/15/2024, 37.82</t>
        </is>
      </c>
      <c r="P30" s="23" t="n"/>
      <c r="Q30" s="27" t="n"/>
      <c r="R30" s="27" t="n"/>
    </row>
    <row r="31" ht="34.5" customFormat="1" customHeight="1" s="28">
      <c r="A31" s="14" t="inlineStr">
        <is>
          <t>912B-PM-112AA</t>
        </is>
      </c>
      <c r="B31" s="15" t="inlineStr">
        <is>
          <t>912B-PM-112AA</t>
        </is>
      </c>
      <c r="C31" s="15" t="inlineStr">
        <is>
          <t>MAC</t>
        </is>
      </c>
      <c r="D31" s="16" t="inlineStr">
        <is>
          <t>MAC 110v AC 4-way Valve</t>
        </is>
      </c>
      <c r="E31" s="16" t="n"/>
      <c r="F31" s="17" t="n">
        <v>4</v>
      </c>
      <c r="G31" s="15" t="inlineStr">
        <is>
          <t>Barker Air &amp; Hydraulics</t>
        </is>
      </c>
      <c r="H31" s="15" t="inlineStr">
        <is>
          <t>N/A</t>
        </is>
      </c>
      <c r="I31" s="15" t="inlineStr">
        <is>
          <t>NO</t>
        </is>
      </c>
      <c r="J31" s="18" t="inlineStr">
        <is>
          <t>CALL FOR QUOTE</t>
        </is>
      </c>
      <c r="K31" s="14" t="n"/>
      <c r="L31" s="19" t="n"/>
      <c r="M31" s="20" t="n"/>
      <c r="N31" s="21" t="n"/>
      <c r="O31" s="22" t="n"/>
      <c r="P31" s="23" t="n"/>
      <c r="Q31" s="27" t="n"/>
      <c r="R31" s="27" t="n"/>
    </row>
    <row r="32" ht="34.5" customFormat="1" customHeight="1" s="28">
      <c r="A32" s="14" t="inlineStr">
        <is>
          <t>567-688792</t>
        </is>
      </c>
      <c r="B32" s="15" t="inlineStr">
        <is>
          <t>567-605902</t>
        </is>
      </c>
      <c r="C32" s="15" t="inlineStr">
        <is>
          <t>Marbett</t>
        </is>
      </c>
      <c r="D32" s="16" t="inlineStr">
        <is>
          <t>Marbett Modular End Transfer Plate with Multiple Rollers</t>
        </is>
      </c>
      <c r="E32" s="16" t="n"/>
      <c r="F32" s="17" t="n">
        <v>16</v>
      </c>
      <c r="G32" s="15" t="inlineStr">
        <is>
          <t>Motion Industries</t>
        </is>
      </c>
      <c r="H32" s="15" t="inlineStr">
        <is>
          <t>N/A</t>
        </is>
      </c>
      <c r="I32" s="15" t="inlineStr">
        <is>
          <t>NO</t>
        </is>
      </c>
      <c r="J32" s="18" t="inlineStr">
        <is>
          <t>CALL FOR QUOTE</t>
        </is>
      </c>
      <c r="K32" s="14" t="n"/>
      <c r="L32" s="19" t="n"/>
      <c r="M32" s="20" t="n"/>
      <c r="N32" s="21" t="n"/>
      <c r="O32" s="22" t="n"/>
      <c r="P32" s="23" t="n"/>
      <c r="Q32" s="27" t="n"/>
      <c r="R32" s="27" t="n"/>
    </row>
    <row r="33" ht="34.5" customFormat="1" customHeight="1" s="28">
      <c r="A33" s="14" t="inlineStr">
        <is>
          <t>568-605912</t>
        </is>
      </c>
      <c r="B33" s="15" t="inlineStr">
        <is>
          <t>568-605912</t>
        </is>
      </c>
      <c r="C33" s="15" t="inlineStr">
        <is>
          <t>Marbett</t>
        </is>
      </c>
      <c r="D33" s="16" t="inlineStr">
        <is>
          <t>Marbett Modular Center Transfer Plate with Multiple Rollers</t>
        </is>
      </c>
      <c r="E33" s="16" t="n"/>
      <c r="F33" s="17" t="n">
        <v>16</v>
      </c>
      <c r="G33" s="15" t="inlineStr">
        <is>
          <t>Motion Industries</t>
        </is>
      </c>
      <c r="H33" s="15" t="inlineStr">
        <is>
          <t>N/A</t>
        </is>
      </c>
      <c r="I33" s="15" t="inlineStr">
        <is>
          <t>NO</t>
        </is>
      </c>
      <c r="J33" s="18" t="inlineStr">
        <is>
          <t>CALL FOR QUOTE</t>
        </is>
      </c>
      <c r="K33" s="14" t="n"/>
      <c r="L33" s="19" t="n"/>
      <c r="M33" s="20" t="n"/>
      <c r="N33" s="21" t="n"/>
      <c r="O33" s="22" t="n"/>
      <c r="P33" s="23" t="n"/>
      <c r="Q33" s="27" t="n"/>
      <c r="R33" s="27" t="n"/>
    </row>
    <row r="34" ht="34.5" customFormat="1" customHeight="1" s="28">
      <c r="A34" s="14" t="inlineStr">
        <is>
          <t>40BTB60</t>
        </is>
      </c>
      <c r="B34" s="15" t="inlineStr">
        <is>
          <t>40BTB60</t>
        </is>
      </c>
      <c r="C34" s="15" t="inlineStr">
        <is>
          <t>Martin</t>
        </is>
      </c>
      <c r="D34" s="16" t="inlineStr">
        <is>
          <t xml:space="preserve">Martin #40 Bushed Taper Bore 60 Tooth Sprocket </t>
        </is>
      </c>
      <c r="E34" s="16" t="n"/>
      <c r="F34" s="17" t="n">
        <v>2</v>
      </c>
      <c r="G34" s="15" t="inlineStr">
        <is>
          <t>Motion Industries</t>
        </is>
      </c>
      <c r="H34" s="15" t="inlineStr">
        <is>
          <t>N/A</t>
        </is>
      </c>
      <c r="I34" s="15" t="inlineStr">
        <is>
          <t>NO</t>
        </is>
      </c>
      <c r="J34" s="18" t="n">
        <v>55.04</v>
      </c>
      <c r="K34" s="14" t="n"/>
      <c r="L34" s="19" t="n"/>
      <c r="M34" s="20" t="n"/>
      <c r="N34" s="21" t="n"/>
      <c r="O34" s="22" t="n"/>
      <c r="P34" s="23" t="n"/>
      <c r="Q34" s="27" t="n"/>
      <c r="R34" s="27" t="n"/>
    </row>
    <row r="35" ht="34.5" customFormat="1" customHeight="1" s="28">
      <c r="A35" s="14" t="inlineStr">
        <is>
          <t>4464K222</t>
        </is>
      </c>
      <c r="B35" s="15" t="inlineStr">
        <is>
          <t>4464K222</t>
        </is>
      </c>
      <c r="C35" s="15" t="inlineStr">
        <is>
          <t>McMaster-Carr</t>
        </is>
      </c>
      <c r="D35" s="16" t="inlineStr">
        <is>
          <t>304 Stainless Steel Threaded Pipe Fitting, Medium-Pressure, Adapter, 1/4 NPT Female x Butt-Weld - price checked 10/28/20</t>
        </is>
      </c>
      <c r="E35" s="16" t="n">
        <v>1</v>
      </c>
      <c r="F35" s="17" t="inlineStr">
        <is>
          <t>Each</t>
        </is>
      </c>
      <c r="G35" s="15" t="inlineStr">
        <is>
          <t>McMaster-Carr</t>
        </is>
      </c>
      <c r="H35" s="15" t="inlineStr">
        <is>
          <t>4464K222</t>
        </is>
      </c>
      <c r="I35" s="15" t="inlineStr">
        <is>
          <t>NO</t>
        </is>
      </c>
      <c r="J35" s="18" t="n">
        <v>2.66</v>
      </c>
      <c r="K35" s="21" t="n">
        <v>45348</v>
      </c>
      <c r="L35" s="19" t="n">
        <v>0</v>
      </c>
      <c r="M35" s="20" t="n">
        <v>2.66</v>
      </c>
      <c r="N35" s="21" t="n">
        <v>45336</v>
      </c>
      <c r="O35" s="22" t="inlineStr">
        <is>
          <t>, 2/15/2024, 2.66</t>
        </is>
      </c>
      <c r="P35" s="23" t="n"/>
      <c r="Q35" s="27" t="n"/>
      <c r="R35" s="27" t="n"/>
    </row>
    <row r="36" ht="34.5" customFormat="1" customHeight="1" s="28">
      <c r="A36" s="14" t="inlineStr">
        <is>
          <t>8694K77</t>
        </is>
      </c>
      <c r="B36" s="15" t="inlineStr">
        <is>
          <t>8694K77</t>
        </is>
      </c>
      <c r="C36" s="15" t="inlineStr">
        <is>
          <t>McMaster-Carr</t>
        </is>
      </c>
      <c r="D36" s="16" t="inlineStr">
        <is>
          <t>Light Duty Blended EPDM Foam Strip, with Adhesive Back, 3/4" Wide, 1/4" Thick, 50 Feet Long - Price Checked 10/28/20</t>
        </is>
      </c>
      <c r="E36" s="16" t="n">
        <v>1</v>
      </c>
      <c r="F36" s="17" t="inlineStr">
        <is>
          <t>Each</t>
        </is>
      </c>
      <c r="G36" s="15" t="inlineStr">
        <is>
          <t>McMaster-Carr</t>
        </is>
      </c>
      <c r="H36" s="15" t="inlineStr">
        <is>
          <t>8694K77</t>
        </is>
      </c>
      <c r="I36" s="15" t="inlineStr">
        <is>
          <t>NO</t>
        </is>
      </c>
      <c r="J36" s="18" t="n">
        <v>17.18</v>
      </c>
      <c r="K36" s="21" t="n">
        <v>45348</v>
      </c>
      <c r="L36" s="19" t="n">
        <v>0</v>
      </c>
      <c r="M36" s="20" t="n">
        <v>17.18</v>
      </c>
      <c r="N36" s="21" t="n">
        <v>45336</v>
      </c>
      <c r="O36" s="22" t="inlineStr">
        <is>
          <t>, 2/15/2024, 17.18</t>
        </is>
      </c>
      <c r="P36" s="23" t="n"/>
      <c r="Q36" s="27" t="n"/>
      <c r="R36" s="27" t="n"/>
    </row>
    <row r="37" ht="34.5" customFormat="1" customHeight="1" s="28">
      <c r="A37" s="14" t="inlineStr">
        <is>
          <t>LTV-15</t>
        </is>
      </c>
      <c r="B37" s="15" t="inlineStr">
        <is>
          <t>LTV-15</t>
        </is>
      </c>
      <c r="C37" s="15" t="inlineStr">
        <is>
          <t>Mead</t>
        </is>
      </c>
      <c r="D37" s="16" t="inlineStr">
        <is>
          <t>Mead 4 Way Roller Leaf Pilot Valve - Mechanically Operated Valves | Valve Type: 4-Way Control | Inlet Size: 1/8 (Inch) - Price Checked: 08.19.13</t>
        </is>
      </c>
      <c r="E37" s="16" t="n"/>
      <c r="F37" s="17" t="n">
        <v>1</v>
      </c>
      <c r="G37" s="15" t="inlineStr">
        <is>
          <t xml:space="preserve">MSC </t>
        </is>
      </c>
      <c r="H37" s="15" t="inlineStr">
        <is>
          <t>N/A</t>
        </is>
      </c>
      <c r="I37" s="15" t="inlineStr">
        <is>
          <t>NO</t>
        </is>
      </c>
      <c r="J37" s="18" t="n">
        <v>72.34999999999999</v>
      </c>
      <c r="K37" s="14" t="n"/>
      <c r="L37" s="19" t="n"/>
      <c r="M37" s="20" t="n"/>
      <c r="N37" s="21" t="n"/>
      <c r="O37" s="22" t="n"/>
      <c r="P37" s="23" t="n"/>
      <c r="Q37" s="27" t="n"/>
      <c r="R37" s="27" t="n"/>
    </row>
    <row r="38" ht="34.5" customFormat="1" customHeight="1" s="28">
      <c r="A38" s="14" t="inlineStr">
        <is>
          <t>4830K196</t>
        </is>
      </c>
      <c r="B38" s="15" t="inlineStr">
        <is>
          <t>4830K196</t>
        </is>
      </c>
      <c r="C38" s="15" t="inlineStr">
        <is>
          <t>N/A</t>
        </is>
      </c>
      <c r="D38" s="16" t="inlineStr">
        <is>
          <t>3/4" NPT SS PIPE FITTING - 4" NIPPLE - price checked 2.4.14</t>
        </is>
      </c>
      <c r="E38" s="16" t="n">
        <v>1</v>
      </c>
      <c r="F38" s="17" t="inlineStr">
        <is>
          <t>Each</t>
        </is>
      </c>
      <c r="G38" s="15" t="inlineStr">
        <is>
          <t>McMaster-Carr</t>
        </is>
      </c>
      <c r="H38" s="15" t="inlineStr">
        <is>
          <t>4830K196</t>
        </is>
      </c>
      <c r="I38" s="15" t="inlineStr">
        <is>
          <t>NO</t>
        </is>
      </c>
      <c r="J38" s="18" t="n">
        <v>10.11</v>
      </c>
      <c r="K38" s="21" t="n">
        <v>45348</v>
      </c>
      <c r="L38" s="19" t="n">
        <v>0</v>
      </c>
      <c r="M38" s="20" t="n">
        <v>10.11</v>
      </c>
      <c r="N38" s="21" t="n">
        <v>45336</v>
      </c>
      <c r="O38" s="22" t="inlineStr">
        <is>
          <t>, 2/15/2024, 10.11</t>
        </is>
      </c>
      <c r="P38" s="23" t="n"/>
      <c r="Q38" s="27" t="n"/>
      <c r="R38" s="27" t="n"/>
    </row>
    <row r="39" ht="34.5" customFormat="1" customHeight="1" s="28">
      <c r="A39" s="14" t="inlineStr">
        <is>
          <t>6435K35</t>
        </is>
      </c>
      <c r="B39" s="15" t="inlineStr">
        <is>
          <t>N/A</t>
        </is>
      </c>
      <c r="C39" s="15" t="inlineStr">
        <is>
          <t>N/A</t>
        </is>
      </c>
      <c r="D39" s="16" t="inlineStr">
        <is>
          <t>5/8" SS Split Locking Collar - price checked 2.4.14</t>
        </is>
      </c>
      <c r="E39" s="16" t="n">
        <v>1</v>
      </c>
      <c r="F39" s="17" t="inlineStr">
        <is>
          <t>Each</t>
        </is>
      </c>
      <c r="G39" s="15" t="inlineStr">
        <is>
          <t>McMaster-Carr</t>
        </is>
      </c>
      <c r="H39" s="15" t="inlineStr">
        <is>
          <t>6435K35</t>
        </is>
      </c>
      <c r="I39" s="15" t="inlineStr">
        <is>
          <t>NO</t>
        </is>
      </c>
      <c r="J39" s="18" t="n">
        <v>19.67</v>
      </c>
      <c r="K39" s="21" t="n">
        <v>45348</v>
      </c>
      <c r="L39" s="19" t="n">
        <v>0</v>
      </c>
      <c r="M39" s="20" t="n">
        <v>19.67</v>
      </c>
      <c r="N39" s="21" t="n">
        <v>45336</v>
      </c>
      <c r="O39" s="22" t="inlineStr">
        <is>
          <t>, 2/15/2024, 19.67</t>
        </is>
      </c>
      <c r="P39" s="23" t="n"/>
      <c r="Q39" s="27" t="n"/>
      <c r="R39" s="27" t="n"/>
    </row>
    <row r="40" ht="34.5" customFormat="1" customHeight="1" s="28">
      <c r="A40" s="14" t="inlineStr">
        <is>
          <t>84935A17</t>
        </is>
      </c>
      <c r="B40" s="15" t="inlineStr">
        <is>
          <t>84935A17</t>
        </is>
      </c>
      <c r="C40" s="15" t="inlineStr">
        <is>
          <t>N/A</t>
        </is>
      </c>
      <c r="D40" s="30" t="inlineStr">
        <is>
          <t>Stainless Steel Retractable Spring Plunger with Knurled Knob with Lock Element, 1/2"-13, 1-10 lb Nose Force - price checked 10/28/20</t>
        </is>
      </c>
      <c r="E40" s="30" t="n"/>
      <c r="F40" s="17" t="inlineStr">
        <is>
          <t>Each</t>
        </is>
      </c>
      <c r="G40" s="15" t="inlineStr">
        <is>
          <t>McMaster-Carr</t>
        </is>
      </c>
      <c r="H40" s="15" t="inlineStr">
        <is>
          <t>84935A17</t>
        </is>
      </c>
      <c r="I40" s="15" t="inlineStr">
        <is>
          <t>NO</t>
        </is>
      </c>
      <c r="J40" s="18" t="n">
        <v>26.44</v>
      </c>
      <c r="K40" s="21" t="n">
        <v>45348</v>
      </c>
      <c r="L40" s="19" t="n">
        <v>0</v>
      </c>
      <c r="M40" s="20" t="n">
        <v>26.44</v>
      </c>
      <c r="N40" s="21" t="n">
        <v>45336</v>
      </c>
      <c r="O40" s="22" t="inlineStr">
        <is>
          <t>, 2/15/2024, 26.44</t>
        </is>
      </c>
      <c r="P40" s="23" t="n"/>
      <c r="Q40" s="27" t="n"/>
      <c r="R40" s="27" t="n"/>
    </row>
    <row r="41" ht="34.5" customFormat="1" customHeight="1" s="28">
      <c r="A41" s="14" t="inlineStr">
        <is>
          <t>84935A41</t>
        </is>
      </c>
      <c r="B41" s="15" t="inlineStr">
        <is>
          <t>84935A41</t>
        </is>
      </c>
      <c r="C41" s="15" t="inlineStr">
        <is>
          <t>N/A</t>
        </is>
      </c>
      <c r="D41" s="16" t="inlineStr">
        <is>
          <t>Stainless Steel Retractable Spring Plunger with Knurled Knob, 1/2"-13 Thread, 1-10 lb Nose Force</t>
        </is>
      </c>
      <c r="E41" s="16" t="n">
        <v>1</v>
      </c>
      <c r="F41" s="17" t="inlineStr">
        <is>
          <t>Each</t>
        </is>
      </c>
      <c r="G41" s="15" t="inlineStr">
        <is>
          <t>McMaster-Carr</t>
        </is>
      </c>
      <c r="H41" s="15" t="inlineStr">
        <is>
          <t>84935A41</t>
        </is>
      </c>
      <c r="I41" s="15" t="inlineStr">
        <is>
          <t>NO</t>
        </is>
      </c>
      <c r="J41" s="18" t="n">
        <v>26.44</v>
      </c>
      <c r="K41" s="21" t="n">
        <v>45420</v>
      </c>
      <c r="L41" s="19" t="n">
        <v>0</v>
      </c>
      <c r="M41" s="20" t="n">
        <v>26.44</v>
      </c>
      <c r="N41" s="21" t="n">
        <v>45419</v>
      </c>
      <c r="O41" s="22" t="inlineStr">
        <is>
          <t>, 2/15/2024, 26.44, 5/7/2024, 26.44</t>
        </is>
      </c>
      <c r="P41" s="23" t="n"/>
      <c r="Q41" s="27" t="n"/>
      <c r="R41" s="27" t="n"/>
    </row>
    <row r="42" ht="34.5" customFormat="1" customHeight="1" s="28">
      <c r="A42" s="14" t="inlineStr">
        <is>
          <t>98700A010</t>
        </is>
      </c>
      <c r="B42" s="15" t="inlineStr">
        <is>
          <t>98700A010</t>
        </is>
      </c>
      <c r="C42" s="15" t="inlineStr">
        <is>
          <t>N/A</t>
        </is>
      </c>
      <c r="D42" s="16" t="inlineStr">
        <is>
          <t>3/16" dia. Shoulder Style Quick Release Pin - price checked 10.28.20</t>
        </is>
      </c>
      <c r="E42" s="16" t="n"/>
      <c r="F42" s="17" t="inlineStr">
        <is>
          <t>Each</t>
        </is>
      </c>
      <c r="G42" s="15" t="inlineStr">
        <is>
          <t>McMaster-Carr</t>
        </is>
      </c>
      <c r="H42" s="15" t="inlineStr">
        <is>
          <t>98700A010</t>
        </is>
      </c>
      <c r="I42" s="15" t="inlineStr">
        <is>
          <t>NO</t>
        </is>
      </c>
      <c r="J42" s="18" t="n">
        <v>3.27</v>
      </c>
      <c r="K42" s="21" t="n">
        <v>45348</v>
      </c>
      <c r="L42" s="19" t="n">
        <v>0</v>
      </c>
      <c r="M42" s="20" t="n">
        <v>3.27</v>
      </c>
      <c r="N42" s="21" t="n">
        <v>45336</v>
      </c>
      <c r="O42" s="22" t="inlineStr">
        <is>
          <t>, 2/15/2024, 3.27</t>
        </is>
      </c>
      <c r="P42" s="23" t="n"/>
      <c r="Q42" s="27" t="n"/>
      <c r="R42" s="27" t="n"/>
    </row>
    <row r="43" ht="34.5" customFormat="1" customHeight="1" s="28">
      <c r="A43" s="14" t="inlineStr">
        <is>
          <t>5X291</t>
        </is>
      </c>
      <c r="B43" s="15" t="inlineStr">
        <is>
          <t>N/A</t>
        </is>
      </c>
      <c r="C43" s="15" t="inlineStr">
        <is>
          <t>N/A</t>
        </is>
      </c>
      <c r="D43" s="16" t="inlineStr">
        <is>
          <t>#35 Offset Links - Quote Expires 03/11/11</t>
        </is>
      </c>
      <c r="E43" s="16" t="n">
        <v>5</v>
      </c>
      <c r="F43" s="17" t="inlineStr">
        <is>
          <t>pkg. of</t>
        </is>
      </c>
      <c r="G43" s="15" t="inlineStr">
        <is>
          <t>Grainger</t>
        </is>
      </c>
      <c r="H43" s="15" t="inlineStr">
        <is>
          <t>5X291</t>
        </is>
      </c>
      <c r="I43" s="15" t="inlineStr">
        <is>
          <t>NO</t>
        </is>
      </c>
      <c r="J43" s="18" t="n">
        <v>25.88</v>
      </c>
      <c r="K43" s="21" t="n">
        <v>45348</v>
      </c>
      <c r="L43" s="19" t="inlineStr">
        <is>
          <t>Invalid Input</t>
        </is>
      </c>
      <c r="M43" s="20" t="inlineStr">
        <is>
          <t>CALL FOR QUOTE</t>
        </is>
      </c>
      <c r="N43" s="21" t="n"/>
      <c r="O43" s="22" t="n"/>
      <c r="P43" s="24" t="n"/>
      <c r="Q43" s="27" t="n"/>
      <c r="R43" s="27" t="n"/>
    </row>
    <row r="44" ht="34.5" customFormat="1" customHeight="1" s="28">
      <c r="A44" s="14" t="inlineStr">
        <is>
          <t>6MP11</t>
        </is>
      </c>
      <c r="B44" s="15" t="inlineStr">
        <is>
          <t>N/A</t>
        </is>
      </c>
      <c r="C44" s="15" t="inlineStr">
        <is>
          <t>N/A</t>
        </is>
      </c>
      <c r="D44" s="16" t="inlineStr">
        <is>
          <t>3/8 NPT STREET "T" - Quote Expires 03/11/11</t>
        </is>
      </c>
      <c r="E44" s="16" t="n">
        <v>10</v>
      </c>
      <c r="F44" s="17" t="inlineStr">
        <is>
          <t>pkg. of</t>
        </is>
      </c>
      <c r="G44" s="15" t="inlineStr">
        <is>
          <t>Grainger</t>
        </is>
      </c>
      <c r="H44" s="15" t="inlineStr">
        <is>
          <t>6MP11</t>
        </is>
      </c>
      <c r="I44" s="15" t="inlineStr">
        <is>
          <t>NO</t>
        </is>
      </c>
      <c r="J44" s="18" t="n">
        <v>69.20999999999999</v>
      </c>
      <c r="K44" s="21" t="n">
        <v>45348</v>
      </c>
      <c r="L44" s="19" t="inlineStr">
        <is>
          <t>Invalid Input</t>
        </is>
      </c>
      <c r="M44" s="20" t="inlineStr">
        <is>
          <t>CALL FOR QUOTE</t>
        </is>
      </c>
      <c r="N44" s="21" t="n"/>
      <c r="O44" s="22" t="n"/>
      <c r="P44" s="24" t="n"/>
      <c r="Q44" s="27" t="n"/>
      <c r="R44" s="27" t="n"/>
    </row>
    <row r="45" ht="34.5" customFormat="1" customHeight="1" s="28">
      <c r="A45" s="14" t="inlineStr">
        <is>
          <t>1102-1-FUS-0</t>
        </is>
      </c>
      <c r="B45" s="15" t="inlineStr">
        <is>
          <t>1102-1-FUS-0</t>
        </is>
      </c>
      <c r="C45" s="15" t="inlineStr">
        <is>
          <t>National Instrument Company</t>
        </is>
      </c>
      <c r="D45" s="16" t="inlineStr">
        <is>
          <t>NIC Filling Unit</t>
        </is>
      </c>
      <c r="E45" s="16" t="n"/>
      <c r="F45" s="17" t="n"/>
      <c r="G45" s="15" t="inlineStr">
        <is>
          <t>National Instrument Company</t>
        </is>
      </c>
      <c r="H45" s="15" t="inlineStr">
        <is>
          <t>N/A</t>
        </is>
      </c>
      <c r="I45" s="15" t="inlineStr">
        <is>
          <t>NO</t>
        </is>
      </c>
      <c r="J45" s="18" t="inlineStr">
        <is>
          <t>CALL FOR QUOTE</t>
        </is>
      </c>
      <c r="K45" s="14" t="n"/>
      <c r="L45" s="19" t="n"/>
      <c r="M45" s="20" t="n"/>
      <c r="N45" s="21" t="n"/>
      <c r="O45" s="22" t="n"/>
      <c r="P45" s="23" t="n"/>
      <c r="Q45" s="27" t="n"/>
      <c r="R45" s="27" t="n"/>
    </row>
    <row r="46" ht="34.5" customFormat="1" customHeight="1" s="28">
      <c r="A46" s="14" t="inlineStr">
        <is>
          <t>HP1505-6</t>
        </is>
      </c>
      <c r="B46" s="15" t="inlineStr">
        <is>
          <t>HP1505-6</t>
        </is>
      </c>
      <c r="C46" s="15" t="inlineStr">
        <is>
          <t>Rexnord</t>
        </is>
      </c>
      <c r="D46" s="16" t="inlineStr">
        <is>
          <t>Rexnord High Performance Series 1505 Flat Top Belting - 6" wide - Price Confirmed: 3.23.15</t>
        </is>
      </c>
      <c r="E46" s="16" t="n"/>
      <c r="F46" s="17" t="n">
        <v>1</v>
      </c>
      <c r="G46" s="15" t="inlineStr">
        <is>
          <t>Rexnord</t>
        </is>
      </c>
      <c r="H46" s="15" t="inlineStr">
        <is>
          <t>N/A</t>
        </is>
      </c>
      <c r="I46" s="15" t="inlineStr">
        <is>
          <t>NO</t>
        </is>
      </c>
      <c r="J46" s="18" t="n">
        <v>9.140000000000001</v>
      </c>
      <c r="K46" s="14" t="n"/>
      <c r="L46" s="19" t="n"/>
      <c r="M46" s="20" t="n"/>
      <c r="N46" s="21" t="n"/>
      <c r="O46" s="22" t="n"/>
      <c r="P46" s="23" t="n"/>
      <c r="Q46" s="27" t="n"/>
      <c r="R46" s="27" t="n"/>
    </row>
    <row r="47" ht="34.5" customFormat="1" customHeight="1" s="28">
      <c r="A47" s="14" t="inlineStr">
        <is>
          <t>SC-12-SS</t>
        </is>
      </c>
      <c r="B47" s="15" t="inlineStr">
        <is>
          <t>SC-12-SS</t>
        </is>
      </c>
      <c r="C47" s="15" t="inlineStr">
        <is>
          <t>Ruland Manufacturing</t>
        </is>
      </c>
      <c r="D47" s="16" t="inlineStr">
        <is>
          <t>Ruland Stainless Steel Shaft Collar with 3/4" Dia. Round Bore  - Price Confirmed: 12.10.15</t>
        </is>
      </c>
      <c r="E47" s="16" t="n">
        <v>1</v>
      </c>
      <c r="F47" s="17" t="inlineStr">
        <is>
          <t>each</t>
        </is>
      </c>
      <c r="G47" s="15" t="inlineStr">
        <is>
          <t>Ruland</t>
        </is>
      </c>
      <c r="H47" s="15" t="inlineStr">
        <is>
          <t>SC-12-SS</t>
        </is>
      </c>
      <c r="I47" s="15" t="inlineStr">
        <is>
          <t>NO</t>
        </is>
      </c>
      <c r="J47" s="18" t="n">
        <v>5.89</v>
      </c>
      <c r="K47" s="14" t="n"/>
      <c r="L47" s="19" t="n"/>
      <c r="M47" s="20" t="n"/>
      <c r="N47" s="21" t="n"/>
      <c r="O47" s="22" t="n"/>
      <c r="P47" s="23" t="n"/>
      <c r="Q47" s="27" t="n"/>
      <c r="R47" s="27" t="n"/>
    </row>
    <row r="48" ht="34.5" customFormat="1" customHeight="1" s="28">
      <c r="A48" s="14" t="inlineStr">
        <is>
          <t>SC-16-SS</t>
        </is>
      </c>
      <c r="B48" s="15" t="inlineStr">
        <is>
          <t>SC-16-SS</t>
        </is>
      </c>
      <c r="C48" s="15" t="inlineStr">
        <is>
          <t>Ruland Manufacturing</t>
        </is>
      </c>
      <c r="D48" s="16" t="inlineStr">
        <is>
          <t>Ruland 1" Dia. Stainless Steel Shaft Collar</t>
        </is>
      </c>
      <c r="E48" s="16" t="n"/>
      <c r="F48" s="17" t="n">
        <v>100</v>
      </c>
      <c r="G48" s="15" t="inlineStr">
        <is>
          <t>Ruland</t>
        </is>
      </c>
      <c r="H48" s="15" t="inlineStr">
        <is>
          <t>N/A</t>
        </is>
      </c>
      <c r="I48" s="15" t="inlineStr">
        <is>
          <t>NO</t>
        </is>
      </c>
      <c r="J48" s="18" t="n">
        <v>10.54</v>
      </c>
      <c r="K48" s="14" t="n"/>
      <c r="L48" s="19" t="n"/>
      <c r="M48" s="20" t="n"/>
      <c r="N48" s="21" t="n"/>
      <c r="O48" s="22" t="n"/>
      <c r="P48" s="23" t="n"/>
      <c r="Q48" s="27" t="n"/>
      <c r="R48" s="27" t="n"/>
    </row>
    <row r="49" ht="34.5" customFormat="1" customHeight="1" s="28">
      <c r="A49" s="14" t="inlineStr">
        <is>
          <t>6255K21</t>
        </is>
      </c>
      <c r="B49" s="15" t="inlineStr">
        <is>
          <t>N/A</t>
        </is>
      </c>
      <c r="C49" s="15" t="inlineStr">
        <is>
          <t>Thompson</t>
        </is>
      </c>
      <c r="D49" s="16" t="inlineStr">
        <is>
          <t>Thompson Aluminum Mounted Self-aligning Double Length Linear Bearing with 1" Dia. Bore - price checked 4/5/22</t>
        </is>
      </c>
      <c r="E49" s="16" t="n">
        <v>1</v>
      </c>
      <c r="F49" s="17" t="inlineStr">
        <is>
          <t>Each</t>
        </is>
      </c>
      <c r="G49" s="15" t="inlineStr">
        <is>
          <t>McMaster-Carr</t>
        </is>
      </c>
      <c r="H49" s="15" t="inlineStr">
        <is>
          <t>6255K21</t>
        </is>
      </c>
      <c r="I49" s="15" t="inlineStr">
        <is>
          <t>NO</t>
        </is>
      </c>
      <c r="J49" s="18" t="n">
        <v>460.8</v>
      </c>
      <c r="K49" s="21" t="n">
        <v>45457</v>
      </c>
      <c r="L49" s="19" t="n">
        <v>0.26149802890933</v>
      </c>
      <c r="M49" s="31" t="n">
        <v>365.28</v>
      </c>
      <c r="N49" s="21" t="n">
        <v>45348</v>
      </c>
      <c r="O49" s="22" t="inlineStr">
        <is>
          <t>, 2/15/2024, 365.28, 6/14/2024, 460.8</t>
        </is>
      </c>
      <c r="P49" s="23" t="n"/>
      <c r="Q49" s="32" t="n"/>
      <c r="R49" s="27" t="n"/>
    </row>
    <row r="50" ht="34.5" customFormat="1" customHeight="1" s="28">
      <c r="A50" s="14" t="inlineStr">
        <is>
          <t>30LF831K750</t>
        </is>
      </c>
      <c r="B50" s="15" t="inlineStr">
        <is>
          <t>30LF831K750</t>
        </is>
      </c>
      <c r="C50" s="15" t="inlineStr">
        <is>
          <t>Uni-Chains</t>
        </is>
      </c>
      <c r="D50" s="16" t="inlineStr">
        <is>
          <t xml:space="preserve"> LF 831-K750 - 10FT (List Price - ?) - Dated 05.08.13</t>
        </is>
      </c>
      <c r="E50" s="16" t="n"/>
      <c r="F50" s="17" t="n">
        <v>1</v>
      </c>
      <c r="G50" s="15" t="inlineStr">
        <is>
          <t>Uni-Chains</t>
        </is>
      </c>
      <c r="H50" s="15" t="inlineStr">
        <is>
          <t>30LF831K750</t>
        </is>
      </c>
      <c r="I50" s="15" t="inlineStr">
        <is>
          <t>NO</t>
        </is>
      </c>
      <c r="J50" s="18" t="n">
        <v>135.9</v>
      </c>
      <c r="K50" s="14" t="n"/>
      <c r="L50" s="19" t="n"/>
      <c r="M50" s="20" t="n"/>
      <c r="N50" s="21" t="n"/>
      <c r="O50" s="22" t="n"/>
      <c r="P50" s="33" t="n"/>
      <c r="Q50" s="32" t="n"/>
      <c r="R50" s="27" t="n"/>
    </row>
    <row r="51" ht="34.5" customFormat="1" customHeight="1" s="28">
      <c r="A51" s="14" t="inlineStr">
        <is>
          <t>40BS18</t>
        </is>
      </c>
      <c r="B51" s="15" t="inlineStr">
        <is>
          <t>40BS18</t>
        </is>
      </c>
      <c r="C51" s="15" t="inlineStr">
        <is>
          <t>US Tsubaki</t>
        </is>
      </c>
      <c r="D51" s="16" t="inlineStr">
        <is>
          <t>18 Tooth #40 Sprocket with 1 1/4" Dia. Bore - Price Confirmed: 03.12.14</t>
        </is>
      </c>
      <c r="E51" s="16" t="n"/>
      <c r="F51" s="17" t="n">
        <v>2</v>
      </c>
      <c r="G51" s="15" t="inlineStr">
        <is>
          <t>Motion Industries</t>
        </is>
      </c>
      <c r="H51" s="15" t="inlineStr">
        <is>
          <t>N/A</t>
        </is>
      </c>
      <c r="I51" s="15" t="inlineStr">
        <is>
          <t>NO</t>
        </is>
      </c>
      <c r="J51" s="18" t="n">
        <v>13.52</v>
      </c>
      <c r="K51" s="14" t="n"/>
      <c r="L51" s="19" t="n"/>
      <c r="M51" s="20" t="n"/>
      <c r="N51" s="21" t="n"/>
      <c r="O51" s="22" t="n"/>
      <c r="P51" s="23" t="n"/>
      <c r="Q51" s="32" t="n"/>
      <c r="R51" s="27" t="n"/>
    </row>
    <row r="52" ht="34.5" customFormat="1" customHeight="1" s="28">
      <c r="A52" s="14" t="inlineStr">
        <is>
          <t>40BS20</t>
        </is>
      </c>
      <c r="B52" s="15" t="inlineStr">
        <is>
          <t>40BS20</t>
        </is>
      </c>
      <c r="C52" s="15" t="inlineStr">
        <is>
          <t>US TSUBAKI</t>
        </is>
      </c>
      <c r="D52" s="16" t="inlineStr">
        <is>
          <t>20 Tooth #40 Sprocket with 3/4" Dia. Bore</t>
        </is>
      </c>
      <c r="E52" s="16" t="n"/>
      <c r="F52" s="17" t="n">
        <v>1</v>
      </c>
      <c r="G52" s="15" t="inlineStr">
        <is>
          <t>Motion Industries</t>
        </is>
      </c>
      <c r="H52" s="15" t="inlineStr">
        <is>
          <t>N/A</t>
        </is>
      </c>
      <c r="I52" s="15" t="inlineStr">
        <is>
          <t>NO</t>
        </is>
      </c>
      <c r="J52" s="18" t="inlineStr">
        <is>
          <t>CALL FOR QUOTE</t>
        </is>
      </c>
      <c r="K52" s="14" t="n"/>
      <c r="L52" s="19" t="n"/>
      <c r="M52" s="20" t="n"/>
      <c r="N52" s="21" t="n"/>
      <c r="O52" s="22" t="n"/>
      <c r="P52" s="23" t="n"/>
      <c r="Q52" s="32" t="n"/>
      <c r="R52" s="27" t="n"/>
    </row>
    <row r="53" ht="34.5" customFormat="1" customHeight="1" s="28">
      <c r="A53" s="14" t="inlineStr">
        <is>
          <t>40-100FT</t>
        </is>
      </c>
      <c r="B53" s="15" t="inlineStr">
        <is>
          <t>40TW100</t>
        </is>
      </c>
      <c r="C53" s="15" t="inlineStr">
        <is>
          <t>POWERITE</t>
        </is>
      </c>
      <c r="D53" s="16" t="inlineStr">
        <is>
          <t>#40 Roller Chain x 100' Lg.  Price Checked - 5.4.15</t>
        </is>
      </c>
      <c r="E53" s="16" t="n"/>
      <c r="F53" s="17" t="n">
        <v>1</v>
      </c>
      <c r="G53" s="15" t="inlineStr">
        <is>
          <t>Powerite</t>
        </is>
      </c>
      <c r="H53" s="15" t="inlineStr">
        <is>
          <t>40-100FT</t>
        </is>
      </c>
      <c r="I53" s="15" t="inlineStr">
        <is>
          <t>NO</t>
        </is>
      </c>
      <c r="J53" s="18" t="n">
        <v>71</v>
      </c>
      <c r="K53" s="14" t="n"/>
      <c r="L53" s="19" t="n"/>
      <c r="M53" s="20" t="n"/>
      <c r="N53" s="21" t="n"/>
      <c r="O53" s="22" t="n"/>
      <c r="P53" s="23" t="n"/>
      <c r="Q53" s="32" t="n"/>
      <c r="R53" s="27" t="n"/>
    </row>
    <row r="54" ht="34.5" customFormat="1" customHeight="1" s="28">
      <c r="A54" s="14" t="inlineStr">
        <is>
          <t>5X293</t>
        </is>
      </c>
      <c r="B54" s="15" t="inlineStr">
        <is>
          <t>40CL</t>
        </is>
      </c>
      <c r="C54" s="15" t="inlineStr">
        <is>
          <t>US Tsubaki</t>
        </is>
      </c>
      <c r="D54" s="16" t="inlineStr">
        <is>
          <t>Single Strand Roller Chain Link, ANSI Chain Size 40, Riveted, Individual Connecting Link, Carbon Steel, For Even Pitch Steel, Package 5 - Price Checked: 07.30.13 (Please check with Nancy before ordering)</t>
        </is>
      </c>
      <c r="E54" s="16" t="n">
        <v>5</v>
      </c>
      <c r="F54" s="17" t="inlineStr">
        <is>
          <t>pkg. of</t>
        </is>
      </c>
      <c r="G54" s="15" t="inlineStr">
        <is>
          <t>Grainger</t>
        </is>
      </c>
      <c r="H54" s="15" t="inlineStr">
        <is>
          <t>5X293</t>
        </is>
      </c>
      <c r="I54" s="15" t="inlineStr">
        <is>
          <t>NO</t>
        </is>
      </c>
      <c r="J54" s="18" t="n">
        <v>11.65</v>
      </c>
      <c r="K54" s="21" t="n">
        <v>45348</v>
      </c>
      <c r="L54" s="19" t="n">
        <v>0.585407725321888</v>
      </c>
      <c r="M54" s="20" t="n">
        <v>4.83</v>
      </c>
      <c r="N54" s="21" t="n"/>
      <c r="O54" s="22" t="inlineStr">
        <is>
          <t>, 2/15/2024, 4.83</t>
        </is>
      </c>
      <c r="P54" s="23" t="n"/>
      <c r="Q54" s="32" t="n"/>
      <c r="R54" s="27" t="n"/>
    </row>
    <row r="55" ht="34.5" customFormat="1" customHeight="1" s="28">
      <c r="A55" s="14" t="inlineStr">
        <is>
          <t>6L846</t>
        </is>
      </c>
      <c r="B55" s="15" t="inlineStr">
        <is>
          <t>40B18F114</t>
        </is>
      </c>
      <c r="C55" s="15" t="inlineStr">
        <is>
          <t>US Tsubaki</t>
        </is>
      </c>
      <c r="D55" s="16" t="inlineStr">
        <is>
          <t>18 Tooth #40 Roller Chain Sprocket with 1 1/4" Dia. Finished Bore - Quote Expires 03/11/11</t>
        </is>
      </c>
      <c r="E55" s="16" t="n">
        <v>1</v>
      </c>
      <c r="F55" s="17" t="inlineStr">
        <is>
          <t>each</t>
        </is>
      </c>
      <c r="G55" s="15" t="inlineStr">
        <is>
          <t>Grainger</t>
        </is>
      </c>
      <c r="H55" s="15" t="inlineStr">
        <is>
          <t>6L846</t>
        </is>
      </c>
      <c r="I55" s="15" t="inlineStr">
        <is>
          <t>NO</t>
        </is>
      </c>
      <c r="J55" s="18" t="n">
        <v>28.27</v>
      </c>
      <c r="K55" s="21" t="n">
        <v>45348</v>
      </c>
      <c r="L55" s="19" t="n"/>
      <c r="M55" s="20" t="n"/>
      <c r="N55" s="21" t="n"/>
      <c r="O55" s="22" t="n"/>
      <c r="P55" s="24" t="n"/>
      <c r="Q55" s="32" t="n"/>
      <c r="R55" s="27" t="n"/>
    </row>
    <row r="56" ht="34.5" customFormat="1" customHeight="1" s="28">
      <c r="A56" s="14" t="inlineStr">
        <is>
          <t>3GD30</t>
        </is>
      </c>
      <c r="B56" s="15" t="inlineStr">
        <is>
          <t>B08-02-FL00</t>
        </is>
      </c>
      <c r="C56" s="15" t="inlineStr">
        <is>
          <t>Wilkerson</t>
        </is>
      </c>
      <c r="D56" s="16" t="inlineStr">
        <is>
          <t>Wilkerson Filter/Regulator w/ 1/4" NPT Ports - Quote Expires 03/11/11</t>
        </is>
      </c>
      <c r="E56" s="16" t="n">
        <v>1</v>
      </c>
      <c r="F56" s="17" t="inlineStr">
        <is>
          <t>each</t>
        </is>
      </c>
      <c r="G56" s="15" t="inlineStr">
        <is>
          <t>Grainger</t>
        </is>
      </c>
      <c r="H56" s="15" t="inlineStr">
        <is>
          <t>3GD30</t>
        </is>
      </c>
      <c r="I56" s="15" t="inlineStr">
        <is>
          <t>NO</t>
        </is>
      </c>
      <c r="J56" s="18" t="n">
        <v>55.58</v>
      </c>
      <c r="K56" s="21" t="n">
        <v>45348</v>
      </c>
      <c r="L56" s="19" t="n"/>
      <c r="M56" s="20" t="n"/>
      <c r="N56" s="21" t="n"/>
      <c r="O56" s="22" t="n"/>
      <c r="P56" s="24" t="n"/>
      <c r="Q56" s="32" t="n"/>
      <c r="R56" s="27" t="n"/>
    </row>
    <row r="57" ht="34.5" customFormat="1" customHeight="1" s="28">
      <c r="A57" s="14" t="inlineStr">
        <is>
          <t>6B253</t>
        </is>
      </c>
      <c r="B57" s="15" t="inlineStr">
        <is>
          <t>GRP-95-147</t>
        </is>
      </c>
      <c r="C57" s="15" t="inlineStr">
        <is>
          <t>Wilkerson</t>
        </is>
      </c>
      <c r="D57" s="16" t="inlineStr">
        <is>
          <t>Wilkerson Wall Mount Bracket - Quote Expires 03/11/11</t>
        </is>
      </c>
      <c r="E57" s="16" t="n">
        <v>1</v>
      </c>
      <c r="F57" s="17" t="inlineStr">
        <is>
          <t>each</t>
        </is>
      </c>
      <c r="G57" s="15" t="inlineStr">
        <is>
          <t>Grainger</t>
        </is>
      </c>
      <c r="H57" s="15" t="inlineStr">
        <is>
          <t>6B253</t>
        </is>
      </c>
      <c r="I57" s="15" t="inlineStr">
        <is>
          <t>NO</t>
        </is>
      </c>
      <c r="J57" s="18" t="n">
        <v>7.77</v>
      </c>
      <c r="K57" s="21" t="n">
        <v>45348</v>
      </c>
      <c r="L57" s="19" t="n">
        <v>0.581724581724582</v>
      </c>
      <c r="M57" s="20" t="n">
        <v>3.25</v>
      </c>
      <c r="N57" s="21" t="n"/>
      <c r="O57" s="22" t="inlineStr">
        <is>
          <t>, 2/15/2024, 3.25</t>
        </is>
      </c>
      <c r="P57" s="23" t="n"/>
      <c r="Q57" s="32" t="n"/>
      <c r="R57" s="27" t="n"/>
    </row>
    <row r="58" ht="37.5" customHeight="1">
      <c r="A58" s="14" t="inlineStr">
        <is>
          <t>10014</t>
        </is>
      </c>
      <c r="B58" s="15" t="inlineStr">
        <is>
          <t>10014</t>
        </is>
      </c>
      <c r="C58" s="15" t="inlineStr">
        <is>
          <t>Emerson</t>
        </is>
      </c>
      <c r="D58" s="16" t="inlineStr">
        <is>
          <t>SSE 815 K750 FlatTop Chain - 10FT - List Price : $311.1 - Price Checked - 10.15.08</t>
        </is>
      </c>
      <c r="E58" s="16" t="n"/>
      <c r="F58" s="17" t="n">
        <v>1</v>
      </c>
      <c r="G58" s="15" t="inlineStr">
        <is>
          <t>Emerson</t>
        </is>
      </c>
      <c r="H58" s="15" t="inlineStr">
        <is>
          <t>10014</t>
        </is>
      </c>
      <c r="I58" s="15" t="inlineStr">
        <is>
          <t>NO</t>
        </is>
      </c>
      <c r="J58" s="18" t="n">
        <v>202.22</v>
      </c>
      <c r="K58" s="14" t="n"/>
      <c r="L58" s="19" t="n"/>
      <c r="M58" s="20" t="n"/>
      <c r="N58" s="21" t="n"/>
      <c r="O58" s="22" t="n"/>
      <c r="P58" s="34" t="n"/>
    </row>
    <row r="59" ht="37.5" customHeight="1">
      <c r="A59" s="14" t="inlineStr">
        <is>
          <t>HT-124E</t>
        </is>
      </c>
      <c r="B59" s="15" t="inlineStr">
        <is>
          <t>HT-124E</t>
        </is>
      </c>
      <c r="C59" s="15" t="inlineStr">
        <is>
          <t>Emerson</t>
        </is>
      </c>
      <c r="D59" s="16" t="inlineStr">
        <is>
          <t>Roller End-LD, UHMW, 3/8" Bore for .870 ID Tube - QTY-1 - List Price : $84.6 - Price Checked - 10.19.11</t>
        </is>
      </c>
      <c r="E59" s="16" t="n"/>
      <c r="F59" s="17" t="n">
        <v>1</v>
      </c>
      <c r="G59" s="15" t="inlineStr">
        <is>
          <t>Emerson</t>
        </is>
      </c>
      <c r="H59" s="15" t="inlineStr">
        <is>
          <t>HT-124E</t>
        </is>
      </c>
      <c r="I59" s="15" t="inlineStr">
        <is>
          <t>NO</t>
        </is>
      </c>
      <c r="J59" s="18" t="n">
        <v>8.27</v>
      </c>
      <c r="K59" s="14" t="n"/>
      <c r="L59" s="19" t="n"/>
      <c r="M59" s="20" t="n"/>
      <c r="N59" s="21" t="n"/>
      <c r="O59" s="22" t="n"/>
      <c r="P59" s="34" t="n"/>
    </row>
    <row r="60" ht="37.5" customHeight="1">
      <c r="A60" s="14" t="inlineStr">
        <is>
          <t>NRB-220/8</t>
        </is>
      </c>
      <c r="B60" s="15" t="inlineStr">
        <is>
          <t>NRB-220/8</t>
        </is>
      </c>
      <c r="C60" s="15" t="inlineStr">
        <is>
          <t>Emerson</t>
        </is>
      </c>
      <c r="D60" s="16" t="inlineStr">
        <is>
          <t>Acetal End Bearing for 1/2" Shaft and 1.62 ID Tube - 10PCS - List Price : $18.7 - Price Checked - 10.15.08</t>
        </is>
      </c>
      <c r="E60" s="16" t="n"/>
      <c r="F60" s="17" t="n">
        <v>1</v>
      </c>
      <c r="G60" s="15" t="inlineStr">
        <is>
          <t>Emerson</t>
        </is>
      </c>
      <c r="H60" s="15" t="inlineStr">
        <is>
          <t>NRB-220/8</t>
        </is>
      </c>
      <c r="I60" s="15" t="inlineStr">
        <is>
          <t>NO</t>
        </is>
      </c>
      <c r="J60" s="18" t="n">
        <v>12.16</v>
      </c>
      <c r="K60" s="14" t="n"/>
      <c r="L60" s="19" t="n"/>
      <c r="M60" s="20" t="n"/>
      <c r="N60" s="21" t="n"/>
      <c r="O60" s="22" t="n"/>
      <c r="P60" s="34" t="n"/>
    </row>
    <row r="61" ht="37.5" customHeight="1">
      <c r="A61" s="14" t="inlineStr">
        <is>
          <t>NT4-R270</t>
        </is>
      </c>
      <c r="B61" s="15" t="inlineStr">
        <is>
          <t>NT4-R270</t>
        </is>
      </c>
      <c r="C61" s="15" t="inlineStr">
        <is>
          <t>Emerson</t>
        </is>
      </c>
      <c r="D61" s="16" t="inlineStr">
        <is>
          <t>ABS End Cap with Nyla-Ride Bearing Insert, 1/2" Thru Bore for 2" sch. 40 pipe - 1EA - List Price : $2.56 - Price Checked - 08.13.13</t>
        </is>
      </c>
      <c r="E61" s="16" t="n"/>
      <c r="F61" s="17" t="n">
        <v>1</v>
      </c>
      <c r="G61" s="15" t="inlineStr">
        <is>
          <t>Emerson</t>
        </is>
      </c>
      <c r="H61" s="15" t="inlineStr">
        <is>
          <t>NT4-R270</t>
        </is>
      </c>
      <c r="I61" s="15" t="inlineStr">
        <is>
          <t>NO</t>
        </is>
      </c>
      <c r="J61" s="18" t="n">
        <v>1.94</v>
      </c>
      <c r="K61" s="14" t="n"/>
      <c r="L61" s="19" t="n"/>
      <c r="M61" s="20" t="n"/>
      <c r="N61" s="21" t="n"/>
      <c r="O61" s="22" t="n"/>
      <c r="P61" s="34" t="n"/>
    </row>
    <row r="62" ht="37.5" customHeight="1">
      <c r="A62" s="14" t="inlineStr">
        <is>
          <t>VG-011-WD</t>
        </is>
      </c>
      <c r="B62" s="15" t="inlineStr">
        <is>
          <t>VG-011-WD</t>
        </is>
      </c>
      <c r="C62" s="15" t="inlineStr">
        <is>
          <t>Emerson</t>
        </is>
      </c>
      <c r="D62" s="16" t="inlineStr">
        <is>
          <t>Double Rail Clamp, Stainless Steel, Wide, Square Hole, 2.5" Rail Centers - 4PCS - List Price : $41.88 - Price Checked - 10.15.08</t>
        </is>
      </c>
      <c r="E62" s="16" t="n"/>
      <c r="F62" s="17" t="n">
        <v>1</v>
      </c>
      <c r="G62" s="15" t="inlineStr">
        <is>
          <t>Emerson</t>
        </is>
      </c>
      <c r="H62" s="15" t="inlineStr">
        <is>
          <t>VG-011-WD</t>
        </is>
      </c>
      <c r="I62" s="15" t="inlineStr">
        <is>
          <t>NO</t>
        </is>
      </c>
      <c r="J62" s="18" t="n">
        <v>27.22</v>
      </c>
      <c r="K62" s="14" t="n"/>
      <c r="L62" s="19" t="n"/>
      <c r="M62" s="20" t="n"/>
      <c r="N62" s="21" t="n"/>
      <c r="O62" s="22" t="n"/>
      <c r="P62" s="34" t="n"/>
    </row>
    <row r="63" ht="37.5" customHeight="1">
      <c r="A63" s="14" t="inlineStr">
        <is>
          <t>VG-018-01</t>
        </is>
      </c>
      <c r="B63" s="15" t="inlineStr">
        <is>
          <t>VG-018-01</t>
        </is>
      </c>
      <c r="C63" s="15" t="inlineStr">
        <is>
          <t>Emerson</t>
        </is>
      </c>
      <c r="D63" s="16" t="inlineStr">
        <is>
          <t>Heavy Duty Rail Clip, Stainless Steel, 5/8" Stud - 20PCS -  PRICE CONFIRMED 03.16.17</t>
        </is>
      </c>
      <c r="E63" s="16" t="n"/>
      <c r="F63" s="17" t="n">
        <v>1</v>
      </c>
      <c r="G63" s="15" t="inlineStr">
        <is>
          <t>Emerson</t>
        </is>
      </c>
      <c r="H63" s="15" t="inlineStr">
        <is>
          <t>VG-018-01</t>
        </is>
      </c>
      <c r="I63" s="15" t="inlineStr">
        <is>
          <t>NO</t>
        </is>
      </c>
      <c r="J63" s="18">
        <f>1.65*20</f>
        <v/>
      </c>
      <c r="K63" s="14" t="n"/>
      <c r="L63" s="19" t="n"/>
      <c r="M63" s="20" t="n"/>
      <c r="N63" s="21" t="n"/>
      <c r="O63" s="22" t="n"/>
      <c r="P63" s="34" t="n"/>
    </row>
    <row r="64" ht="37.5" customHeight="1">
      <c r="A64" s="14" t="inlineStr">
        <is>
          <t>VG-018-02</t>
        </is>
      </c>
      <c r="B64" s="15" t="inlineStr">
        <is>
          <t>VG-018-02</t>
        </is>
      </c>
      <c r="C64" s="15" t="inlineStr">
        <is>
          <t>Emerson</t>
        </is>
      </c>
      <c r="D64" s="16" t="inlineStr">
        <is>
          <t>Heavy Duty Rail Clip, Stainless Steel, 3/4" Stud - 20PCS - Price Checked - 10.10.16</t>
        </is>
      </c>
      <c r="E64" s="16" t="n"/>
      <c r="F64" s="17" t="n">
        <v>1</v>
      </c>
      <c r="G64" s="15" t="inlineStr">
        <is>
          <t>Emerson</t>
        </is>
      </c>
      <c r="H64" s="15" t="inlineStr">
        <is>
          <t>VG-018-02</t>
        </is>
      </c>
      <c r="I64" s="15" t="inlineStr">
        <is>
          <t>NO</t>
        </is>
      </c>
      <c r="J64" s="18">
        <f>1.67*20</f>
        <v/>
      </c>
      <c r="K64" s="14" t="n"/>
      <c r="L64" s="19" t="n"/>
      <c r="M64" s="20" t="n"/>
      <c r="N64" s="21" t="n"/>
      <c r="O64" s="22" t="n"/>
      <c r="P64" s="34" t="n"/>
    </row>
    <row r="65" ht="37.5" customHeight="1">
      <c r="A65" s="14" t="inlineStr">
        <is>
          <t>VG-018-03</t>
        </is>
      </c>
      <c r="B65" s="15" t="inlineStr">
        <is>
          <t>VG-018-03</t>
        </is>
      </c>
      <c r="C65" s="15" t="inlineStr">
        <is>
          <t>Emerson</t>
        </is>
      </c>
      <c r="D65" s="16" t="inlineStr">
        <is>
          <t>Heavy Duty Rail Clip, Stainless Steel, 1" Stud - 20PCS - Price Confirmed: 09.28.16</t>
        </is>
      </c>
      <c r="E65" s="16" t="n"/>
      <c r="F65" s="17" t="n">
        <v>1</v>
      </c>
      <c r="G65" s="15" t="inlineStr">
        <is>
          <t>Emerson</t>
        </is>
      </c>
      <c r="H65" s="15" t="inlineStr">
        <is>
          <t>VG-018-03</t>
        </is>
      </c>
      <c r="I65" s="15" t="inlineStr">
        <is>
          <t>NO</t>
        </is>
      </c>
      <c r="J65" s="18">
        <f>1.72*20</f>
        <v/>
      </c>
      <c r="K65" s="14" t="n"/>
      <c r="L65" s="19" t="n"/>
      <c r="M65" s="20" t="n"/>
      <c r="N65" s="21" t="n"/>
      <c r="O65" s="22" t="n"/>
      <c r="P65" s="34" t="n"/>
    </row>
    <row r="66" ht="37.5" customHeight="1">
      <c r="A66" s="14" t="inlineStr">
        <is>
          <t>VG-032-12-35</t>
        </is>
      </c>
      <c r="B66" s="15" t="inlineStr">
        <is>
          <t>VG-032-12-35</t>
        </is>
      </c>
      <c r="C66" s="15" t="inlineStr">
        <is>
          <t>Emerson</t>
        </is>
      </c>
      <c r="D66" s="16" t="inlineStr">
        <is>
          <t>Polyamide Rod Clamp and Stainless Steel Rod Combination, 3.5" - 10PCS - List Price : $88.5 - Price Checked - 6.8.2011</t>
        </is>
      </c>
      <c r="E66" s="16" t="n"/>
      <c r="F66" s="17" t="n"/>
      <c r="G66" s="15" t="inlineStr">
        <is>
          <t>Emerson</t>
        </is>
      </c>
      <c r="H66" s="15" t="inlineStr">
        <is>
          <t>VG-032-12-35</t>
        </is>
      </c>
      <c r="I66" s="15" t="inlineStr">
        <is>
          <t>NO</t>
        </is>
      </c>
      <c r="J66" s="18" t="n">
        <v>56.7</v>
      </c>
      <c r="K66" s="14" t="n"/>
      <c r="L66" s="19" t="n"/>
      <c r="M66" s="20" t="n"/>
      <c r="N66" s="21" t="n"/>
      <c r="O66" s="22" t="n"/>
      <c r="P66" s="34" t="n"/>
    </row>
    <row r="67" ht="37.5" customHeight="1">
      <c r="A67" s="14" t="inlineStr">
        <is>
          <t>VG-200-4R</t>
        </is>
      </c>
      <c r="B67" s="15" t="inlineStr">
        <is>
          <t>VG-200-4R</t>
        </is>
      </c>
      <c r="C67" s="15" t="inlineStr">
        <is>
          <t>Emerson</t>
        </is>
      </c>
      <c r="D67" s="16" t="inlineStr">
        <is>
          <t>Adjusting Rod Protective Cap, 1/2", Red - 20PCS - Price Confirmed: 2.19.15</t>
        </is>
      </c>
      <c r="E67" s="16" t="n"/>
      <c r="F67" s="17" t="n">
        <v>1</v>
      </c>
      <c r="G67" s="15" t="inlineStr">
        <is>
          <t>Emerson</t>
        </is>
      </c>
      <c r="H67" s="15" t="inlineStr">
        <is>
          <t>VG-200-4R</t>
        </is>
      </c>
      <c r="I67" s="15" t="inlineStr">
        <is>
          <t>NO</t>
        </is>
      </c>
      <c r="J67" s="18">
        <f>0.37*20</f>
        <v/>
      </c>
      <c r="K67" s="14" t="n"/>
      <c r="L67" s="19" t="n"/>
      <c r="M67" s="20" t="n"/>
      <c r="N67" s="21" t="n"/>
      <c r="O67" s="22" t="n"/>
      <c r="P67" s="34" t="n"/>
    </row>
    <row r="68" ht="37.5" customHeight="1">
      <c r="A68" s="14" t="inlineStr">
        <is>
          <t>VG-202L</t>
        </is>
      </c>
      <c r="B68" s="15" t="inlineStr">
        <is>
          <t>VG-202L</t>
        </is>
      </c>
      <c r="C68" s="15" t="inlineStr">
        <is>
          <t>Emerson</t>
        </is>
      </c>
      <c r="D68" s="16" t="inlineStr">
        <is>
          <t>Standard Duty Bracket Body, Polyamide w/ Stainless Steel Washer - 10PCS  - Price Confirmed: 3.9.15</t>
        </is>
      </c>
      <c r="E68" s="16" t="n"/>
      <c r="F68" s="17" t="n">
        <v>1</v>
      </c>
      <c r="G68" s="15" t="inlineStr">
        <is>
          <t>Emerson</t>
        </is>
      </c>
      <c r="H68" s="15" t="inlineStr">
        <is>
          <t>VG-202L</t>
        </is>
      </c>
      <c r="I68" s="15" t="inlineStr">
        <is>
          <t>NO</t>
        </is>
      </c>
      <c r="J68" s="18">
        <f>6.48*10</f>
        <v/>
      </c>
      <c r="K68" s="14" t="n"/>
      <c r="L68" s="19" t="n"/>
      <c r="M68" s="20" t="n"/>
      <c r="N68" s="21" t="n"/>
      <c r="O68" s="22" t="n"/>
      <c r="P68" s="34" t="n"/>
    </row>
    <row r="69" ht="37.5" customHeight="1">
      <c r="A69" s="14" t="inlineStr">
        <is>
          <t>VG-203TC-58</t>
        </is>
      </c>
      <c r="B69" s="15" t="inlineStr">
        <is>
          <t>VG-203TC-58</t>
        </is>
      </c>
      <c r="C69" s="15" t="inlineStr">
        <is>
          <t>Emerson</t>
        </is>
      </c>
      <c r="D69" s="16" t="inlineStr">
        <is>
          <t>Transition Cap Assembly, Polyamide, 5/8" Rod - 10PCS - Price Checked - 10.11.21</t>
        </is>
      </c>
      <c r="E69" s="16" t="n"/>
      <c r="F69" s="17" t="n">
        <v>1</v>
      </c>
      <c r="G69" s="15" t="inlineStr">
        <is>
          <t>Emerson</t>
        </is>
      </c>
      <c r="H69" s="15" t="inlineStr">
        <is>
          <t>VG-203TC-58</t>
        </is>
      </c>
      <c r="I69" s="15" t="inlineStr">
        <is>
          <t>NO</t>
        </is>
      </c>
      <c r="J69" s="18">
        <f>11.52*10</f>
        <v/>
      </c>
      <c r="K69" s="14" t="n"/>
      <c r="L69" s="19" t="n"/>
      <c r="M69" s="20" t="n"/>
      <c r="N69" s="21" t="n"/>
      <c r="O69" s="22" t="n"/>
      <c r="P69" s="34" t="n"/>
    </row>
    <row r="70" ht="37.5" customHeight="1">
      <c r="A70" s="14" t="inlineStr">
        <is>
          <t>VG-205-B-316-S</t>
        </is>
      </c>
      <c r="B70" s="15" t="inlineStr">
        <is>
          <t>VG-205-B-316-S</t>
        </is>
      </c>
      <c r="C70" s="15" t="inlineStr">
        <is>
          <t>Emerson</t>
        </is>
      </c>
      <c r="D70" s="16" t="inlineStr">
        <is>
          <t>L Bracket, 3/16" Stainless Steel, B Only - 10PCS - List Price : $120.1 - Price Checked - 2/18/13</t>
        </is>
      </c>
      <c r="E70" s="16" t="n"/>
      <c r="F70" s="17" t="n">
        <v>1</v>
      </c>
      <c r="G70" s="15" t="inlineStr">
        <is>
          <t>Emerson</t>
        </is>
      </c>
      <c r="H70" s="15" t="inlineStr">
        <is>
          <t>VG-205-B-316-S</t>
        </is>
      </c>
      <c r="I70" s="15" t="inlineStr">
        <is>
          <t>NO</t>
        </is>
      </c>
      <c r="J70" s="18" t="n">
        <v>90.8</v>
      </c>
      <c r="K70" s="14" t="n"/>
      <c r="L70" s="19" t="n"/>
      <c r="M70" s="20" t="n"/>
      <c r="N70" s="21" t="n"/>
      <c r="O70" s="22" t="n"/>
      <c r="P70" s="34" t="n"/>
    </row>
    <row r="71" ht="37.5" customHeight="1">
      <c r="A71" s="14" t="inlineStr">
        <is>
          <t>VG-212-10-516</t>
        </is>
      </c>
      <c r="B71" s="15" t="inlineStr">
        <is>
          <t>VG-212-10-516</t>
        </is>
      </c>
      <c r="C71" s="15" t="inlineStr">
        <is>
          <t>Emerson</t>
        </is>
      </c>
      <c r="D71" s="16" t="inlineStr">
        <is>
          <t>Adjusting Rod, Stainless Steel, 1/2" Dia. X 10", 5/16-18 Tap  - PRICE CONFIRMED 3.27.15</t>
        </is>
      </c>
      <c r="E71" s="16" t="n"/>
      <c r="F71" s="17" t="n">
        <v>1</v>
      </c>
      <c r="G71" s="15" t="inlineStr">
        <is>
          <t>Emerson</t>
        </is>
      </c>
      <c r="H71" s="15" t="inlineStr">
        <is>
          <t>VG-212-10-516</t>
        </is>
      </c>
      <c r="I71" s="15" t="inlineStr">
        <is>
          <t>NO</t>
        </is>
      </c>
      <c r="J71" s="18" t="n">
        <v>13.51</v>
      </c>
      <c r="K71" s="14" t="n"/>
      <c r="L71" s="19" t="n"/>
      <c r="M71" s="20" t="n"/>
      <c r="N71" s="21" t="n"/>
      <c r="O71" s="22" t="n"/>
      <c r="P71" s="34" t="n"/>
    </row>
    <row r="72" ht="37.5" customHeight="1">
      <c r="A72" s="14" t="inlineStr">
        <is>
          <t>VG-212-5-516</t>
        </is>
      </c>
      <c r="B72" s="15" t="inlineStr">
        <is>
          <t>VG-212-5-516</t>
        </is>
      </c>
      <c r="C72" s="15" t="inlineStr">
        <is>
          <t>Emerson</t>
        </is>
      </c>
      <c r="D72" s="16" t="inlineStr">
        <is>
          <t>Adjusting Rod, Stainless Steel, 1/2" Dia. X 5", 5/16-18 Tap - 2PCS - Price Confirmed: 4/14/23</t>
        </is>
      </c>
      <c r="E72" s="16" t="n"/>
      <c r="F72" s="17" t="n">
        <v>1</v>
      </c>
      <c r="G72" s="15" t="inlineStr">
        <is>
          <t>Emerson</t>
        </is>
      </c>
      <c r="H72" s="15" t="inlineStr">
        <is>
          <t>VG-212-5-516</t>
        </is>
      </c>
      <c r="I72" s="15" t="inlineStr">
        <is>
          <t>NO</t>
        </is>
      </c>
      <c r="J72" s="18">
        <f>14.71*2</f>
        <v/>
      </c>
      <c r="K72" s="14" t="n"/>
      <c r="L72" s="19" t="n"/>
      <c r="M72" s="20" t="n"/>
      <c r="N72" s="21" t="n"/>
      <c r="O72" s="22" t="n"/>
      <c r="P72" s="34" t="n"/>
    </row>
    <row r="73" ht="37.5" customHeight="1">
      <c r="A73" s="14" t="inlineStr">
        <is>
          <t>VG-212J-5-516</t>
        </is>
      </c>
      <c r="B73" s="15" t="inlineStr">
        <is>
          <t>VG-212J-5-516</t>
        </is>
      </c>
      <c r="C73" s="15" t="inlineStr">
        <is>
          <t>Emerson</t>
        </is>
      </c>
      <c r="D73" s="16" t="inlineStr">
        <is>
          <t>Jointed Adjusting Rod, Stainless Steel, 1/2" Dia. X 5", 5/16-18 Tap - 2 PCS  - PRICE CONFIRMED 4/14/23</t>
        </is>
      </c>
      <c r="E73" s="16" t="n"/>
      <c r="F73" s="17" t="n">
        <v>1</v>
      </c>
      <c r="G73" s="15" t="inlineStr">
        <is>
          <t>Emerson</t>
        </is>
      </c>
      <c r="H73" s="15" t="inlineStr">
        <is>
          <t>VG-212J-5-516</t>
        </is>
      </c>
      <c r="I73" s="15" t="inlineStr">
        <is>
          <t>NO</t>
        </is>
      </c>
      <c r="J73" s="18">
        <f>22.93*2</f>
        <v/>
      </c>
      <c r="K73" s="14" t="n"/>
      <c r="L73" s="19" t="n"/>
      <c r="M73" s="20" t="n"/>
      <c r="N73" s="21" t="n"/>
      <c r="O73" s="22" t="n"/>
      <c r="P73" s="34" t="n"/>
    </row>
    <row r="74" ht="37.5" customHeight="1">
      <c r="A74" s="14" t="inlineStr">
        <is>
          <t>VG-212J-7-516</t>
        </is>
      </c>
      <c r="B74" s="15" t="inlineStr">
        <is>
          <t>VG-212J-7-516</t>
        </is>
      </c>
      <c r="C74" s="15" t="inlineStr">
        <is>
          <t>Emerson</t>
        </is>
      </c>
      <c r="D74" s="16" t="inlineStr">
        <is>
          <t>Jointed Adjusting Rod, Stainless Steel, 1/2" Dia. X 7", 5/16-18 Tap - 2PCS - Price Checked -4/14/23</t>
        </is>
      </c>
      <c r="E74" s="16" t="n"/>
      <c r="F74" s="17" t="n">
        <v>1</v>
      </c>
      <c r="G74" s="15" t="inlineStr">
        <is>
          <t>Emerson</t>
        </is>
      </c>
      <c r="H74" s="15" t="inlineStr">
        <is>
          <t>VG-212J-7-516</t>
        </is>
      </c>
      <c r="I74" s="15" t="inlineStr">
        <is>
          <t>NO</t>
        </is>
      </c>
      <c r="J74" s="18">
        <f>25.63*2</f>
        <v/>
      </c>
      <c r="K74" s="14" t="n"/>
      <c r="L74" s="19" t="n"/>
      <c r="M74" s="20" t="n"/>
      <c r="N74" s="21" t="n"/>
      <c r="O74" s="22" t="n"/>
      <c r="P74" s="34" t="n"/>
    </row>
    <row r="75" ht="37.5" customHeight="1">
      <c r="A75" s="14" t="inlineStr">
        <is>
          <t>VG-212J-9-516</t>
        </is>
      </c>
      <c r="B75" s="15" t="inlineStr">
        <is>
          <t>VG-212J-9-516</t>
        </is>
      </c>
      <c r="C75" s="15" t="inlineStr">
        <is>
          <t>Emerson</t>
        </is>
      </c>
      <c r="D75" s="16" t="inlineStr">
        <is>
          <t>Jointed Adjusting Rod, Stainless Steel, 1/2" Dia. X 9", 5/16-18 Tap - 2PCS - List Price : $165.20 - Price Checked - 4/14/23</t>
        </is>
      </c>
      <c r="E75" s="16" t="n"/>
      <c r="F75" s="17" t="n">
        <v>1</v>
      </c>
      <c r="G75" s="15" t="inlineStr">
        <is>
          <t>Emerson</t>
        </is>
      </c>
      <c r="H75" s="15" t="inlineStr">
        <is>
          <t>VG-212J-9-516</t>
        </is>
      </c>
      <c r="I75" s="15" t="inlineStr">
        <is>
          <t>NO</t>
        </is>
      </c>
      <c r="J75" s="18">
        <f>28.29*2</f>
        <v/>
      </c>
      <c r="K75" s="14" t="n"/>
      <c r="L75" s="19" t="n"/>
      <c r="M75" s="20" t="n"/>
      <c r="N75" s="21" t="n"/>
      <c r="O75" s="22" t="n"/>
      <c r="P75" s="34" t="n"/>
    </row>
    <row r="76" ht="37.5" customHeight="1">
      <c r="A76" s="14" t="inlineStr">
        <is>
          <t>VG-221-12</t>
        </is>
      </c>
      <c r="B76" s="15" t="inlineStr">
        <is>
          <t>VG-221-12</t>
        </is>
      </c>
      <c r="C76" s="15" t="inlineStr">
        <is>
          <t>Emerson</t>
        </is>
      </c>
      <c r="D76" s="16" t="inlineStr">
        <is>
          <t>Heavy Duty Guide Rail Bracket, Polyamide, 1/2" Rod - 10PCS - Price Checked - 04.06.23</t>
        </is>
      </c>
      <c r="E76" s="16" t="n"/>
      <c r="F76" s="17" t="n">
        <v>1</v>
      </c>
      <c r="G76" s="15" t="inlineStr">
        <is>
          <t>Emerson</t>
        </is>
      </c>
      <c r="H76" s="15" t="inlineStr">
        <is>
          <t>VG-221-12</t>
        </is>
      </c>
      <c r="I76" s="15" t="inlineStr">
        <is>
          <t>NO</t>
        </is>
      </c>
      <c r="J76" s="18">
        <f>23.01*10</f>
        <v/>
      </c>
      <c r="K76" s="14" t="n"/>
      <c r="L76" s="19" t="n"/>
      <c r="M76" s="20" t="n"/>
      <c r="N76" s="21" t="n"/>
      <c r="O76" s="22" t="n"/>
      <c r="P76" s="34" t="n"/>
    </row>
    <row r="77" ht="37.5" customHeight="1">
      <c r="A77" s="14" t="inlineStr">
        <is>
          <t>VG-232J-10-516</t>
        </is>
      </c>
      <c r="B77" s="15" t="inlineStr">
        <is>
          <t>VG-232J-10-516</t>
        </is>
      </c>
      <c r="C77" s="15" t="inlineStr">
        <is>
          <t>Emerson</t>
        </is>
      </c>
      <c r="D77" s="16" t="inlineStr">
        <is>
          <t>Jointed Adjusting Rod, Stainless Steel, 5/8" Dia. X 10", 5/16-18 Tap - 10PCS - Price Checked - 10.11.21</t>
        </is>
      </c>
      <c r="E77" s="16" t="n"/>
      <c r="F77" s="17" t="n">
        <v>1</v>
      </c>
      <c r="G77" s="15" t="inlineStr">
        <is>
          <t>Emerson</t>
        </is>
      </c>
      <c r="H77" s="15" t="inlineStr">
        <is>
          <t>VG-232J-10-516</t>
        </is>
      </c>
      <c r="I77" s="15" t="inlineStr">
        <is>
          <t>NO</t>
        </is>
      </c>
      <c r="J77" s="18">
        <f>29.23*10</f>
        <v/>
      </c>
      <c r="K77" s="14" t="n"/>
      <c r="L77" s="19" t="n"/>
      <c r="M77" s="20" t="n"/>
      <c r="N77" s="21" t="n"/>
      <c r="O77" s="22" t="n"/>
      <c r="P77" s="34" t="n"/>
    </row>
    <row r="78" ht="37.5" customHeight="1">
      <c r="A78" s="14" t="inlineStr">
        <is>
          <t>VG-307-T2.0</t>
        </is>
      </c>
      <c r="B78" s="15" t="inlineStr">
        <is>
          <t>VG-307-T2.0</t>
        </is>
      </c>
      <c r="C78" s="15" t="inlineStr">
        <is>
          <t>Emerson</t>
        </is>
      </c>
      <c r="D78" s="16" t="inlineStr">
        <is>
          <t>Post Cap, Polyamide, Flush Mount, 2.00" Tubing - 4PCS - List Price : $59.52 - Price Checked - 10.15.08</t>
        </is>
      </c>
      <c r="E78" s="16" t="n"/>
      <c r="F78" s="17" t="n">
        <v>1</v>
      </c>
      <c r="G78" s="15" t="inlineStr">
        <is>
          <t>Emerson</t>
        </is>
      </c>
      <c r="H78" s="15" t="inlineStr">
        <is>
          <t>VG-307-T2.0</t>
        </is>
      </c>
      <c r="I78" s="15" t="inlineStr">
        <is>
          <t>NO</t>
        </is>
      </c>
      <c r="J78" s="18" t="n">
        <v>38.69</v>
      </c>
      <c r="K78" s="14" t="n"/>
      <c r="L78" s="19" t="n"/>
      <c r="M78" s="20" t="n"/>
      <c r="N78" s="21" t="n"/>
      <c r="O78" s="22" t="n"/>
      <c r="P78" s="34" t="n"/>
    </row>
    <row r="79" ht="37.5" customHeight="1">
      <c r="A79" s="14" t="inlineStr">
        <is>
          <t>VG-511-02-S34-L10</t>
        </is>
      </c>
      <c r="B79" s="15" t="inlineStr">
        <is>
          <t>VG-511-02-S34-L10</t>
        </is>
      </c>
      <c r="C79" s="15" t="inlineStr">
        <is>
          <t>Emerson</t>
        </is>
      </c>
      <c r="D79" s="16" t="inlineStr">
        <is>
          <t>Adjustable Leveler with Anchor Holes, 3/4-10 Stainless Thread- Price Checked -3.12.14</t>
        </is>
      </c>
      <c r="E79" s="16" t="n"/>
      <c r="F79" s="17" t="n">
        <v>1</v>
      </c>
      <c r="G79" s="15" t="inlineStr">
        <is>
          <t>Emerson</t>
        </is>
      </c>
      <c r="H79" s="15" t="inlineStr">
        <is>
          <t>VG-511-02-S34-L10</t>
        </is>
      </c>
      <c r="I79" s="15" t="inlineStr">
        <is>
          <t>NO</t>
        </is>
      </c>
      <c r="J79" s="18" t="n">
        <v>19.92</v>
      </c>
      <c r="K79" s="14" t="n"/>
      <c r="L79" s="19" t="n"/>
      <c r="M79" s="20" t="n"/>
      <c r="N79" s="21" t="n"/>
      <c r="O79" s="22" t="n"/>
      <c r="P79" s="34" t="n"/>
    </row>
    <row r="80" ht="37.5" customHeight="1">
      <c r="A80" s="14" t="inlineStr">
        <is>
          <t>VG-511-02-S34-L7</t>
        </is>
      </c>
      <c r="B80" s="15" t="inlineStr">
        <is>
          <t>VG-511-02-S34-L7</t>
        </is>
      </c>
      <c r="C80" s="15" t="inlineStr">
        <is>
          <t>Emerson</t>
        </is>
      </c>
      <c r="D80" s="16" t="inlineStr">
        <is>
          <t>Adjustable Leveler with Anchor Holes, 3/4-10 Stainless Thread  - Price Checked - 12.11.13</t>
        </is>
      </c>
      <c r="E80" s="16" t="n"/>
      <c r="F80" s="17" t="n">
        <v>1</v>
      </c>
      <c r="G80" s="15" t="inlineStr">
        <is>
          <t>Emerson</t>
        </is>
      </c>
      <c r="H80" s="15" t="inlineStr">
        <is>
          <t>VG-511-02-S34-L7</t>
        </is>
      </c>
      <c r="I80" s="15" t="inlineStr">
        <is>
          <t>NO</t>
        </is>
      </c>
      <c r="J80" s="18" t="n">
        <v>16.71</v>
      </c>
      <c r="K80" s="14" t="n"/>
      <c r="L80" s="19" t="n"/>
      <c r="M80" s="20" t="n"/>
      <c r="N80" s="21" t="n"/>
      <c r="O80" s="22" t="n"/>
      <c r="P80" s="34" t="n"/>
    </row>
    <row r="81" ht="37.5" customHeight="1">
      <c r="A81" s="14" t="inlineStr">
        <is>
          <t>VG-511H-04-S34-L10</t>
        </is>
      </c>
      <c r="B81" s="15" t="inlineStr">
        <is>
          <t>VG-511H-04-S34-L10</t>
        </is>
      </c>
      <c r="C81" s="15" t="inlineStr">
        <is>
          <t>Emerson</t>
        </is>
      </c>
      <c r="D81" s="16" t="inlineStr">
        <is>
          <t>Adjustable Leveler with Skinned Anchor Holes, 3/4-10 Stainless Thread - 1EA - Price Checked - 5.4.15</t>
        </is>
      </c>
      <c r="E81" s="16" t="n"/>
      <c r="F81" s="17" t="n">
        <v>1</v>
      </c>
      <c r="G81" s="15" t="inlineStr">
        <is>
          <t>Emerson</t>
        </is>
      </c>
      <c r="H81" s="15" t="inlineStr">
        <is>
          <t>VG-511H-04-S34-L10</t>
        </is>
      </c>
      <c r="I81" s="15" t="inlineStr">
        <is>
          <t>NO</t>
        </is>
      </c>
      <c r="J81" s="18" t="n">
        <v>13.82</v>
      </c>
      <c r="K81" s="14" t="n"/>
      <c r="L81" s="19" t="n"/>
      <c r="M81" s="20" t="n"/>
      <c r="N81" s="21" t="n"/>
      <c r="O81" s="22" t="n"/>
      <c r="P81" s="34" t="n"/>
    </row>
    <row r="82" ht="37.5" customHeight="1">
      <c r="A82" s="14" t="inlineStr">
        <is>
          <t>VG-537-01-S58-L3</t>
        </is>
      </c>
      <c r="B82" s="15" t="inlineStr">
        <is>
          <t>VG-537-01-S58-L3</t>
        </is>
      </c>
      <c r="C82" s="15" t="inlineStr">
        <is>
          <t>Emerson</t>
        </is>
      </c>
      <c r="D82" s="16" t="inlineStr">
        <is>
          <t>Adjustable Leveler, 5/8-11 Stainless Thread - Price Checked - 4.28.16</t>
        </is>
      </c>
      <c r="E82" s="16" t="n"/>
      <c r="F82" s="17" t="n">
        <v>1</v>
      </c>
      <c r="G82" s="15" t="inlineStr">
        <is>
          <t>Emerson</t>
        </is>
      </c>
      <c r="H82" s="15" t="inlineStr">
        <is>
          <t>VG-537-01-S58-L3</t>
        </is>
      </c>
      <c r="I82" s="15" t="inlineStr">
        <is>
          <t>NO</t>
        </is>
      </c>
      <c r="J82" s="18" t="n">
        <v>10.26</v>
      </c>
      <c r="K82" s="14" t="n"/>
      <c r="L82" s="19" t="n"/>
      <c r="M82" s="20" t="n"/>
      <c r="N82" s="21" t="n"/>
      <c r="O82" s="22" t="n"/>
      <c r="P82" s="34" t="n"/>
    </row>
    <row r="83" ht="37.5" customHeight="1">
      <c r="A83" s="14" t="inlineStr">
        <is>
          <t>VG-620-58-58</t>
        </is>
      </c>
      <c r="B83" s="15" t="inlineStr">
        <is>
          <t>VG-620-58-58</t>
        </is>
      </c>
      <c r="C83" s="15" t="inlineStr">
        <is>
          <t>Emerson</t>
        </is>
      </c>
      <c r="D83" s="16" t="inlineStr">
        <is>
          <t>Rod to Rod Cross Block, Acetal, 5/8" X 5/8" - 10PCS - Price Checked - 6/14/23</t>
        </is>
      </c>
      <c r="E83" s="16" t="n"/>
      <c r="F83" s="17" t="n">
        <v>1</v>
      </c>
      <c r="G83" s="15" t="inlineStr">
        <is>
          <t>Emerson</t>
        </is>
      </c>
      <c r="H83" s="15" t="inlineStr">
        <is>
          <t>VG-620-58-58</t>
        </is>
      </c>
      <c r="I83" s="15" t="inlineStr">
        <is>
          <t>NO</t>
        </is>
      </c>
      <c r="J83" s="18">
        <f>10*9.18</f>
        <v/>
      </c>
      <c r="K83" s="14" t="n"/>
      <c r="L83" s="19" t="n"/>
      <c r="M83" s="20" t="n"/>
      <c r="N83" s="21" t="n"/>
      <c r="O83" s="22" t="n"/>
      <c r="P83" s="34" t="n"/>
    </row>
    <row r="84" ht="37.5" customHeight="1">
      <c r="A84" s="14" t="inlineStr">
        <is>
          <t>VG-621-12-12</t>
        </is>
      </c>
      <c r="B84" s="15" t="inlineStr">
        <is>
          <t>VG-621-12-12</t>
        </is>
      </c>
      <c r="C84" s="15" t="inlineStr">
        <is>
          <t>Emerson</t>
        </is>
      </c>
      <c r="D84" s="16" t="inlineStr">
        <is>
          <t>Cross Block, Polyamide, 1/2" X 1/2" - Price Checked - 2.11.16</t>
        </is>
      </c>
      <c r="E84" s="16" t="n"/>
      <c r="F84" s="17" t="n">
        <v>1</v>
      </c>
      <c r="G84" s="15" t="inlineStr">
        <is>
          <t>Emerson</t>
        </is>
      </c>
      <c r="H84" s="15" t="inlineStr">
        <is>
          <t>VG-621-12-12</t>
        </is>
      </c>
      <c r="I84" s="15" t="inlineStr">
        <is>
          <t>NO</t>
        </is>
      </c>
      <c r="J84" s="18" t="n">
        <v>12.71</v>
      </c>
      <c r="K84" s="14" t="n"/>
      <c r="L84" s="19" t="n"/>
      <c r="M84" s="20" t="n"/>
      <c r="N84" s="21" t="n"/>
      <c r="O84" s="22" t="n"/>
      <c r="P84" s="34" t="n"/>
    </row>
    <row r="85" ht="37.5" customHeight="1">
      <c r="A85" s="14" t="inlineStr">
        <is>
          <t>VG-627-45-12</t>
        </is>
      </c>
      <c r="B85" s="15" t="inlineStr">
        <is>
          <t>VG-627-45-12</t>
        </is>
      </c>
      <c r="C85" s="15" t="inlineStr">
        <is>
          <t>Emerson</t>
        </is>
      </c>
      <c r="D85" s="16" t="inlineStr">
        <is>
          <t>T-Rod, SS and Polyamide, 1/2" X  4.5" - 10PCS - List Price : $93.2 - Price Checked - 2.11.16</t>
        </is>
      </c>
      <c r="E85" s="16" t="n"/>
      <c r="F85" s="17" t="n">
        <v>1</v>
      </c>
      <c r="G85" s="15" t="inlineStr">
        <is>
          <t>Emerson</t>
        </is>
      </c>
      <c r="H85" s="15" t="inlineStr">
        <is>
          <t>VG-627-45-12</t>
        </is>
      </c>
      <c r="I85" s="15" t="inlineStr">
        <is>
          <t>NO</t>
        </is>
      </c>
      <c r="J85" s="18">
        <f>7.59*10</f>
        <v/>
      </c>
      <c r="K85" s="14" t="n"/>
      <c r="L85" s="19" t="n"/>
      <c r="M85" s="20" t="n"/>
      <c r="N85" s="21" t="n"/>
      <c r="O85" s="22" t="n"/>
      <c r="P85" s="34" t="n"/>
    </row>
    <row r="86" ht="37.5" customHeight="1">
      <c r="A86" s="14" t="inlineStr">
        <is>
          <t>VG-631-14</t>
        </is>
      </c>
      <c r="B86" s="15" t="inlineStr">
        <is>
          <t>VG-631-14</t>
        </is>
      </c>
      <c r="C86" s="15" t="inlineStr">
        <is>
          <t>Emerson</t>
        </is>
      </c>
      <c r="D86" s="16" t="inlineStr">
        <is>
          <t>Handle, Polyamide, Standard Duty, 1/4-20 Tap - 1 PCS - Price Confirmed: 10/05/23</t>
        </is>
      </c>
      <c r="E86" s="16" t="n"/>
      <c r="F86" s="17" t="n">
        <v>1</v>
      </c>
      <c r="G86" s="15" t="inlineStr">
        <is>
          <t>Emerson</t>
        </is>
      </c>
      <c r="H86" s="15" t="inlineStr">
        <is>
          <t>VG-631-14</t>
        </is>
      </c>
      <c r="I86" s="15" t="inlineStr">
        <is>
          <t>NO</t>
        </is>
      </c>
      <c r="J86" s="18" t="n">
        <v>8.970000000000001</v>
      </c>
      <c r="K86" s="14" t="n"/>
      <c r="L86" s="19" t="n"/>
      <c r="M86" s="20" t="n"/>
      <c r="N86" s="21" t="n"/>
      <c r="O86" s="22" t="n"/>
      <c r="P86" s="34" t="n"/>
    </row>
    <row r="87" ht="37.5" customHeight="1">
      <c r="A87" s="14" t="inlineStr">
        <is>
          <t>VG-633</t>
        </is>
      </c>
      <c r="B87" s="15" t="inlineStr">
        <is>
          <t>VG-633</t>
        </is>
      </c>
      <c r="C87" s="15" t="inlineStr">
        <is>
          <t>Emerson</t>
        </is>
      </c>
      <c r="D87" s="16" t="inlineStr">
        <is>
          <t>Hinge, Polyamide - 20PCS  Price Checked - 2.11.16</t>
        </is>
      </c>
      <c r="E87" s="16" t="n"/>
      <c r="F87" s="17" t="n">
        <v>1</v>
      </c>
      <c r="G87" s="15" t="inlineStr">
        <is>
          <t>Emerson</t>
        </is>
      </c>
      <c r="H87" s="15" t="inlineStr">
        <is>
          <t>VG-633</t>
        </is>
      </c>
      <c r="I87" s="15" t="inlineStr">
        <is>
          <t>NO</t>
        </is>
      </c>
      <c r="J87" s="18">
        <f>6.69*10</f>
        <v/>
      </c>
      <c r="K87" s="14" t="n"/>
      <c r="L87" s="19" t="n"/>
      <c r="M87" s="20" t="n"/>
      <c r="N87" s="21" t="n"/>
      <c r="O87" s="22" t="n"/>
      <c r="P87" s="34" t="n"/>
    </row>
    <row r="88" ht="37.5" customHeight="1">
      <c r="A88" s="14" t="inlineStr">
        <is>
          <t>VG-634-AA</t>
        </is>
      </c>
      <c r="B88" s="15" t="inlineStr">
        <is>
          <t>VG-634-AA</t>
        </is>
      </c>
      <c r="C88" s="15" t="inlineStr">
        <is>
          <t>Emerson</t>
        </is>
      </c>
      <c r="D88" s="16" t="inlineStr">
        <is>
          <t>Hinge, Polyamide - 2 PCS - List Price : $12.06 ea - Price Checked - 5.27.15</t>
        </is>
      </c>
      <c r="E88" s="16" t="n"/>
      <c r="F88" s="17" t="n">
        <v>1</v>
      </c>
      <c r="G88" s="15" t="inlineStr">
        <is>
          <t>Emerson</t>
        </is>
      </c>
      <c r="H88" s="15" t="inlineStr">
        <is>
          <t>VG-634-AA</t>
        </is>
      </c>
      <c r="I88" s="15" t="inlineStr">
        <is>
          <t>NO</t>
        </is>
      </c>
      <c r="J88" s="18">
        <f>12.66*2</f>
        <v/>
      </c>
      <c r="K88" s="14" t="n"/>
      <c r="L88" s="19" t="n"/>
      <c r="M88" s="20" t="n"/>
      <c r="N88" s="21" t="n"/>
      <c r="O88" s="22" t="n"/>
      <c r="P88" s="34" t="n"/>
    </row>
    <row r="89" ht="37.5" customHeight="1">
      <c r="A89" s="14" t="inlineStr">
        <is>
          <t>VG-684BR-3-AB-05</t>
        </is>
      </c>
      <c r="B89" s="15" t="inlineStr">
        <is>
          <t>VG-684BR-3-AB-05</t>
        </is>
      </c>
      <c r="C89" s="15" t="inlineStr">
        <is>
          <t>Emerson</t>
        </is>
      </c>
      <c r="D89" s="16" t="inlineStr">
        <is>
          <t>BeadRail, Aluminum Channel, 3" High, 5 ft. - 1EA Price Checked - 4/6/22</t>
        </is>
      </c>
      <c r="E89" s="16" t="n"/>
      <c r="F89" s="17" t="n">
        <v>1</v>
      </c>
      <c r="G89" s="15" t="inlineStr">
        <is>
          <t>Emerson</t>
        </is>
      </c>
      <c r="H89" s="15" t="inlineStr">
        <is>
          <t>VG-684BR-3-AB-05</t>
        </is>
      </c>
      <c r="I89" s="15" t="inlineStr">
        <is>
          <t>NO</t>
        </is>
      </c>
      <c r="J89" s="18" t="n">
        <v>813.33</v>
      </c>
      <c r="K89" s="14" t="n"/>
      <c r="L89" s="19" t="n"/>
      <c r="M89" s="20" t="n"/>
      <c r="N89" s="21" t="n"/>
      <c r="O89" s="22" t="n"/>
      <c r="P89" s="34" t="n"/>
    </row>
    <row r="90" ht="37.5" customHeight="1">
      <c r="A90" s="14" t="inlineStr">
        <is>
          <t>VG-684-SS-4-05</t>
        </is>
      </c>
      <c r="B90" s="15" t="inlineStr">
        <is>
          <t>VG-684-SS-4-05</t>
        </is>
      </c>
      <c r="C90" s="15" t="inlineStr">
        <is>
          <t>Emerson</t>
        </is>
      </c>
      <c r="D90" s="16" t="inlineStr">
        <is>
          <t>BeadWall Combiner, Stainless Steel, 4" High, 5 ft. - 1EA - List Price : $925.78 - Price Checked - 07.16.13</t>
        </is>
      </c>
      <c r="E90" s="16" t="n"/>
      <c r="F90" s="17" t="n">
        <v>1</v>
      </c>
      <c r="G90" s="15" t="inlineStr">
        <is>
          <t>Emerson</t>
        </is>
      </c>
      <c r="H90" s="15" t="inlineStr">
        <is>
          <t>VG-684-SS-4-05</t>
        </is>
      </c>
      <c r="I90" s="15" t="inlineStr">
        <is>
          <t>NO</t>
        </is>
      </c>
      <c r="J90" s="18" t="n">
        <v>699.89</v>
      </c>
      <c r="K90" s="14" t="n"/>
      <c r="L90" s="19" t="n"/>
      <c r="M90" s="20" t="n"/>
      <c r="N90" s="21" t="n"/>
      <c r="O90" s="22" t="n"/>
      <c r="P90" s="34" t="n"/>
    </row>
    <row r="91" ht="37.5" customHeight="1">
      <c r="A91" s="14" t="inlineStr">
        <is>
          <t>VG-684-SS-4-10</t>
        </is>
      </c>
      <c r="B91" s="15" t="inlineStr">
        <is>
          <t>VG-684-SS-4-10</t>
        </is>
      </c>
      <c r="C91" s="15" t="inlineStr">
        <is>
          <t>Emerson</t>
        </is>
      </c>
      <c r="D91" s="16" t="inlineStr">
        <is>
          <t>BeadWall Combiner, Stainless Steel, 4" High, 10 ft. - 1EA - List Price : $1851.55 - Price Checked - 6/12/23</t>
        </is>
      </c>
      <c r="E91" s="16" t="n"/>
      <c r="F91" s="17" t="n">
        <v>1</v>
      </c>
      <c r="G91" s="15" t="inlineStr">
        <is>
          <t>Emerson</t>
        </is>
      </c>
      <c r="H91" s="15" t="inlineStr">
        <is>
          <t>VG-684-SS-4-10</t>
        </is>
      </c>
      <c r="I91" s="15" t="inlineStr">
        <is>
          <t>NO</t>
        </is>
      </c>
      <c r="J91" s="18" t="n">
        <v>2233.8</v>
      </c>
      <c r="K91" s="14" t="n"/>
      <c r="L91" s="19" t="n"/>
      <c r="M91" s="20" t="n"/>
      <c r="N91" s="21" t="n"/>
      <c r="O91" s="22" t="n"/>
      <c r="P91" s="34" t="n"/>
    </row>
    <row r="92" ht="37.5" customHeight="1">
      <c r="A92" s="14" t="inlineStr">
        <is>
          <t>VG-685-SS-2-02</t>
        </is>
      </c>
      <c r="B92" s="15" t="inlineStr">
        <is>
          <t>VG-685-SS-2-02</t>
        </is>
      </c>
      <c r="C92" s="15" t="inlineStr">
        <is>
          <t>Emerson</t>
        </is>
      </c>
      <c r="D92" s="16" t="inlineStr">
        <is>
          <t>Heavy Duty BeadWall Combiner, Stainless Steel, 2" High, 2 ft. - 1EA - List Price : $260.73 - Price Checked - 10.15.08</t>
        </is>
      </c>
      <c r="E92" s="16" t="n"/>
      <c r="F92" s="17" t="n">
        <v>1</v>
      </c>
      <c r="G92" s="15" t="inlineStr">
        <is>
          <t>Emerson</t>
        </is>
      </c>
      <c r="H92" s="15" t="inlineStr">
        <is>
          <t>VG-685-SS-2-02</t>
        </is>
      </c>
      <c r="I92" s="15" t="inlineStr">
        <is>
          <t>NO</t>
        </is>
      </c>
      <c r="J92" s="18" t="n">
        <v>169.47</v>
      </c>
      <c r="K92" s="14" t="n"/>
      <c r="L92" s="19" t="n"/>
      <c r="M92" s="20" t="n"/>
      <c r="N92" s="21" t="n"/>
      <c r="O92" s="22" t="n"/>
      <c r="P92" s="34" t="n"/>
    </row>
    <row r="93" ht="37.5" customHeight="1">
      <c r="A93" s="14" t="inlineStr">
        <is>
          <t>VG-687H-3.3-02</t>
        </is>
      </c>
      <c r="B93" s="15" t="inlineStr">
        <is>
          <t>VG-687H-3.3-02</t>
        </is>
      </c>
      <c r="C93" s="15" t="inlineStr">
        <is>
          <t>Emerson</t>
        </is>
      </c>
      <c r="D93" s="16" t="inlineStr">
        <is>
          <t>2-Strand Speed Rail SB, Aluminum Channel, 3.72" High, 2 ft. - 1EA - List Price : $90.03 - Price Checked - 10.15.08</t>
        </is>
      </c>
      <c r="E93" s="16" t="n"/>
      <c r="F93" s="17" t="n">
        <v>1</v>
      </c>
      <c r="G93" s="15" t="inlineStr">
        <is>
          <t>Emerson</t>
        </is>
      </c>
      <c r="H93" s="15" t="inlineStr">
        <is>
          <t>VG-687H-3.3-02</t>
        </is>
      </c>
      <c r="I93" s="15" t="inlineStr">
        <is>
          <t>NO</t>
        </is>
      </c>
      <c r="J93" s="18" t="n">
        <v>58.52</v>
      </c>
      <c r="K93" s="14" t="n"/>
      <c r="L93" s="19" t="n"/>
      <c r="M93" s="20" t="n"/>
      <c r="N93" s="21" t="n"/>
      <c r="O93" s="22" t="n"/>
      <c r="P93" s="34" t="n"/>
    </row>
    <row r="94" ht="37.5" customHeight="1">
      <c r="A94" s="14" t="inlineStr">
        <is>
          <t>VG-JS100-125-250</t>
        </is>
      </c>
      <c r="B94" s="15" t="inlineStr">
        <is>
          <t>VG-JS100-125-250</t>
        </is>
      </c>
      <c r="C94" s="15" t="inlineStr">
        <is>
          <t>Emerson</t>
        </is>
      </c>
      <c r="D94" s="16" t="inlineStr">
        <is>
          <t>J-Leg, 1/8" X 1", 250 ft. Coil - 1EA - (USE IN STRAIGHT RUNNING APPLICATIONS ONLY). - Price Checked - 02.27.14</t>
        </is>
      </c>
      <c r="E94" s="16" t="n"/>
      <c r="F94" s="17" t="n">
        <v>1</v>
      </c>
      <c r="G94" s="15" t="inlineStr">
        <is>
          <t>Emerson</t>
        </is>
      </c>
      <c r="H94" s="15" t="inlineStr">
        <is>
          <t>VG-JS100-125-250</t>
        </is>
      </c>
      <c r="I94" s="15" t="inlineStr">
        <is>
          <t>NO</t>
        </is>
      </c>
      <c r="J94" s="18" t="n">
        <v>260</v>
      </c>
      <c r="K94" s="14" t="n"/>
      <c r="L94" s="19" t="n"/>
      <c r="M94" s="20" t="n"/>
      <c r="N94" s="21" t="n"/>
      <c r="O94" s="22" t="n"/>
      <c r="P94" s="34" t="n"/>
    </row>
    <row r="95" ht="37.5" customHeight="1">
      <c r="A95" s="14" t="inlineStr">
        <is>
          <t>VG-JS200-125-10</t>
        </is>
      </c>
      <c r="B95" s="15" t="inlineStr">
        <is>
          <t>VG-JS200-125-10</t>
        </is>
      </c>
      <c r="C95" s="15" t="inlineStr">
        <is>
          <t>Emerson</t>
        </is>
      </c>
      <c r="D95" s="16" t="inlineStr">
        <is>
          <t>J-Leg, 1/8" X 2", 10 ft. - 1EA - List Price : $24.17 - Price Checked - 10.15.08</t>
        </is>
      </c>
      <c r="E95" s="16" t="n"/>
      <c r="F95" s="17" t="n">
        <v>1</v>
      </c>
      <c r="G95" s="15" t="inlineStr">
        <is>
          <t>Emerson</t>
        </is>
      </c>
      <c r="H95" s="15" t="inlineStr">
        <is>
          <t>VG-JS200-125-10</t>
        </is>
      </c>
      <c r="I95" s="15" t="inlineStr">
        <is>
          <t>NO</t>
        </is>
      </c>
      <c r="J95" s="18" t="n">
        <v>15.71</v>
      </c>
      <c r="K95" s="14" t="n"/>
      <c r="L95" s="19" t="n"/>
      <c r="M95" s="20" t="n"/>
      <c r="N95" s="21" t="n"/>
      <c r="O95" s="22" t="n"/>
      <c r="P95" s="34" t="n"/>
    </row>
    <row r="96" ht="37.5" customHeight="1">
      <c r="A96" s="14" t="inlineStr">
        <is>
          <t>VG-JSL075-125-10</t>
        </is>
      </c>
      <c r="B96" s="15" t="inlineStr">
        <is>
          <t>VG-JSL075-125-10</t>
        </is>
      </c>
      <c r="C96" s="15" t="inlineStr">
        <is>
          <t>Emerson</t>
        </is>
      </c>
      <c r="D96" s="16" t="inlineStr">
        <is>
          <t>J-Leg, 1/8" X 3/4", 10 ft. - 1EA - Price Confirmed: 5/24/23</t>
        </is>
      </c>
      <c r="E96" s="16" t="n"/>
      <c r="F96" s="17" t="n">
        <v>1</v>
      </c>
      <c r="G96" s="15" t="inlineStr">
        <is>
          <t>Regal Rexnord</t>
        </is>
      </c>
      <c r="H96" s="15" t="inlineStr">
        <is>
          <t>VG-JSL075-125-10</t>
        </is>
      </c>
      <c r="I96" s="15" t="inlineStr">
        <is>
          <t>NO</t>
        </is>
      </c>
      <c r="J96" s="18">
        <f>1.67*10</f>
        <v/>
      </c>
      <c r="K96" s="14" t="n"/>
      <c r="L96" s="19" t="n"/>
      <c r="M96" s="20" t="n"/>
      <c r="N96" s="21" t="n"/>
      <c r="O96" s="22" t="n"/>
      <c r="P96" s="34" t="n"/>
    </row>
    <row r="97" ht="37.5" customHeight="1">
      <c r="A97" s="14" t="inlineStr">
        <is>
          <t>VG-JSL075-125-20</t>
        </is>
      </c>
      <c r="B97" s="15" t="inlineStr">
        <is>
          <t>VG-JSL075-125-20</t>
        </is>
      </c>
      <c r="C97" s="15" t="inlineStr">
        <is>
          <t>Emerson</t>
        </is>
      </c>
      <c r="D97" s="16" t="inlineStr">
        <is>
          <t>J-Leg, 1/8" X 3/4", 20 ft. - 1EA  - Price Checked - 7/21/21</t>
        </is>
      </c>
      <c r="E97" s="16" t="n"/>
      <c r="F97" s="17" t="n">
        <v>1</v>
      </c>
      <c r="G97" s="15" t="inlineStr">
        <is>
          <t>Emerson</t>
        </is>
      </c>
      <c r="H97" s="15" t="inlineStr">
        <is>
          <t>VG-JSL075-125-20</t>
        </is>
      </c>
      <c r="I97" s="15" t="inlineStr">
        <is>
          <t>NO</t>
        </is>
      </c>
      <c r="J97" s="18">
        <f>1.49*20</f>
        <v/>
      </c>
      <c r="K97" s="14" t="n"/>
      <c r="L97" s="19" t="n"/>
      <c r="M97" s="20" t="n"/>
      <c r="N97" s="21" t="n"/>
      <c r="O97" s="22" t="n"/>
      <c r="P97" s="34" t="n"/>
    </row>
    <row r="98" ht="37.5" customHeight="1">
      <c r="A98" s="14" t="inlineStr">
        <is>
          <t>VG-SSF-10</t>
        </is>
      </c>
      <c r="B98" s="15" t="inlineStr">
        <is>
          <t>VG-SSF-10</t>
        </is>
      </c>
      <c r="C98" s="15" t="inlineStr">
        <is>
          <t>Emerson</t>
        </is>
      </c>
      <c r="D98" s="16" t="inlineStr">
        <is>
          <t>Guide Rail, Stainless Steel, Flat, 10 ft. - 1EA - Price Confirmed: 09.09.15</t>
        </is>
      </c>
      <c r="E98" s="16" t="n"/>
      <c r="F98" s="17" t="n">
        <v>1</v>
      </c>
      <c r="G98" s="15" t="inlineStr">
        <is>
          <t>Emerson</t>
        </is>
      </c>
      <c r="H98" s="15" t="inlineStr">
        <is>
          <t>VG-SSF-10</t>
        </is>
      </c>
      <c r="I98" s="15" t="inlineStr">
        <is>
          <t>NO</t>
        </is>
      </c>
      <c r="J98" s="18">
        <f>3.14*10</f>
        <v/>
      </c>
      <c r="K98" s="14" t="n"/>
      <c r="L98" s="19" t="n"/>
      <c r="M98" s="20" t="n"/>
      <c r="N98" s="21" t="n"/>
      <c r="O98" s="22" t="n"/>
      <c r="P98" s="34" t="n"/>
    </row>
    <row r="99" ht="37.5" customHeight="1">
      <c r="A99" s="14" t="inlineStr">
        <is>
          <t>VG-SSF-20</t>
        </is>
      </c>
      <c r="B99" s="15" t="inlineStr">
        <is>
          <t>VG-SSF-20</t>
        </is>
      </c>
      <c r="C99" s="15" t="inlineStr">
        <is>
          <t>Emerson</t>
        </is>
      </c>
      <c r="D99" s="16" t="inlineStr">
        <is>
          <t>Guide Rail, Stainless Steel, Flat, 20 ft. - 1EA - List Price : $3.07/foot - Price Checked - 09.09.15</t>
        </is>
      </c>
      <c r="E99" s="16" t="n"/>
      <c r="F99" s="17" t="n">
        <v>1</v>
      </c>
      <c r="G99" s="15" t="inlineStr">
        <is>
          <t>Emerson</t>
        </is>
      </c>
      <c r="H99" s="15" t="inlineStr">
        <is>
          <t>VG-SSF-20</t>
        </is>
      </c>
      <c r="I99" s="15" t="inlineStr">
        <is>
          <t>NO</t>
        </is>
      </c>
      <c r="J99" s="18">
        <f>3.14*20</f>
        <v/>
      </c>
      <c r="K99" s="14" t="n"/>
      <c r="L99" s="19" t="n"/>
      <c r="M99" s="20" t="n"/>
      <c r="N99" s="21" t="n"/>
      <c r="O99" s="22" t="n"/>
      <c r="P99" s="34" t="n"/>
    </row>
    <row r="100" ht="37.5" customHeight="1">
      <c r="A100" s="14" t="inlineStr">
        <is>
          <t>16S00020-SR</t>
        </is>
      </c>
      <c r="B100" s="15" t="inlineStr">
        <is>
          <t>16S00020-SR</t>
        </is>
      </c>
      <c r="C100" s="15" t="inlineStr">
        <is>
          <t>Emerson</t>
        </is>
      </c>
      <c r="D100" s="16" t="inlineStr">
        <is>
          <t>2 Row, 6.1 inch wide DynaPlate, SR Roller - 1EA - List Price : $31.31 - Price Checked - 13.28.2011</t>
        </is>
      </c>
      <c r="E100" s="16" t="n"/>
      <c r="F100" s="17" t="n">
        <v>1</v>
      </c>
      <c r="G100" s="15" t="inlineStr">
        <is>
          <t>Emerson</t>
        </is>
      </c>
      <c r="H100" s="15" t="inlineStr">
        <is>
          <t>16S00020-SR</t>
        </is>
      </c>
      <c r="I100" s="15" t="inlineStr">
        <is>
          <t>NO</t>
        </is>
      </c>
      <c r="J100" s="18" t="n">
        <v>20.35</v>
      </c>
      <c r="K100" s="14" t="n"/>
      <c r="L100" s="19" t="n"/>
      <c r="M100" s="20" t="n"/>
      <c r="N100" s="21" t="n"/>
      <c r="O100" s="22" t="n"/>
      <c r="P100" s="34" t="n"/>
    </row>
    <row r="101" ht="37.5" customHeight="1">
      <c r="A101" s="14" t="inlineStr">
        <is>
          <t>16S00020-SSA</t>
        </is>
      </c>
      <c r="B101" s="15" t="inlineStr">
        <is>
          <t>16S00020-SSA</t>
        </is>
      </c>
      <c r="C101" s="15" t="inlineStr">
        <is>
          <t>Emerson</t>
        </is>
      </c>
      <c r="D101" s="16" t="inlineStr">
        <is>
          <t>2 Row, 6.1 inch wide DynaPlate, SSA Roller - 1EA - List Price : $51.07 - Price Checked - 8.27.12</t>
        </is>
      </c>
      <c r="E101" s="16" t="n"/>
      <c r="F101" s="17" t="n">
        <v>1</v>
      </c>
      <c r="G101" s="15" t="inlineStr">
        <is>
          <t>Emerson</t>
        </is>
      </c>
      <c r="H101" s="15" t="inlineStr">
        <is>
          <t>16S00020-SSA</t>
        </is>
      </c>
      <c r="I101" s="15" t="inlineStr">
        <is>
          <t>NO</t>
        </is>
      </c>
      <c r="J101" s="18" t="n">
        <v>36.77</v>
      </c>
      <c r="K101" s="14" t="n"/>
      <c r="L101" s="19" t="n"/>
      <c r="M101" s="20" t="n"/>
      <c r="N101" s="21" t="n"/>
      <c r="O101" s="22" t="n"/>
      <c r="P101" s="34" t="n"/>
    </row>
    <row r="102" ht="37.5" customHeight="1">
      <c r="A102" s="14" t="inlineStr">
        <is>
          <t>16S00023-SR</t>
        </is>
      </c>
      <c r="B102" s="15" t="inlineStr">
        <is>
          <t>16S00023-SR</t>
        </is>
      </c>
      <c r="C102" s="15" t="inlineStr">
        <is>
          <t>Emerson</t>
        </is>
      </c>
      <c r="D102" s="16" t="inlineStr">
        <is>
          <t>2 Row, 8.9 inch wide DynaPlate, SR Roller - 1EA - List Price : $43.2 - Price Checked - 3.28.2011</t>
        </is>
      </c>
      <c r="E102" s="16" t="n"/>
      <c r="F102" s="17" t="n">
        <v>1</v>
      </c>
      <c r="G102" s="15" t="inlineStr">
        <is>
          <t>Emerson</t>
        </is>
      </c>
      <c r="H102" s="15" t="inlineStr">
        <is>
          <t>16S00023-SR</t>
        </is>
      </c>
      <c r="I102" s="15" t="inlineStr">
        <is>
          <t>NO</t>
        </is>
      </c>
      <c r="J102" s="18" t="n">
        <v>28.08</v>
      </c>
      <c r="K102" s="14" t="n"/>
      <c r="L102" s="19" t="n"/>
      <c r="M102" s="20" t="n"/>
      <c r="N102" s="21" t="n"/>
      <c r="O102" s="22" t="n"/>
      <c r="P102" s="34" t="n"/>
    </row>
    <row r="103" ht="37.5" customHeight="1">
      <c r="A103" s="14" t="inlineStr">
        <is>
          <t>16S00021-SS</t>
        </is>
      </c>
      <c r="B103" s="15" t="inlineStr">
        <is>
          <t>16S00021-SS</t>
        </is>
      </c>
      <c r="C103" s="15" t="inlineStr">
        <is>
          <t>Emerson</t>
        </is>
      </c>
      <c r="D103" s="16" t="inlineStr">
        <is>
          <t>3 Row, 6.1 inch wide DynaPlate, SS Roller - 1EA - List Price : $96.56 - Price Checked - 1.10.13</t>
        </is>
      </c>
      <c r="E103" s="16" t="n"/>
      <c r="F103" s="17" t="n">
        <v>1</v>
      </c>
      <c r="G103" s="15" t="inlineStr">
        <is>
          <t>Emerson</t>
        </is>
      </c>
      <c r="H103" s="15" t="inlineStr">
        <is>
          <t>16S00021-SS</t>
        </is>
      </c>
      <c r="I103" s="15" t="inlineStr">
        <is>
          <t>NO</t>
        </is>
      </c>
      <c r="J103" s="18" t="n">
        <v>73</v>
      </c>
      <c r="K103" s="14" t="n"/>
      <c r="L103" s="19" t="n"/>
      <c r="M103" s="20" t="n"/>
      <c r="N103" s="21" t="n"/>
      <c r="O103" s="22" t="n"/>
      <c r="P103" s="34" t="n"/>
    </row>
    <row r="104" ht="37.5" customHeight="1">
      <c r="A104" s="14" t="inlineStr">
        <is>
          <t>16S00024-SS</t>
        </is>
      </c>
      <c r="B104" s="15" t="inlineStr">
        <is>
          <t>16S00024-SS</t>
        </is>
      </c>
      <c r="C104" s="15" t="inlineStr">
        <is>
          <t>Emerson</t>
        </is>
      </c>
      <c r="D104" s="16" t="inlineStr">
        <is>
          <t>3 Row, 8.9 inch wide DynaPlate, SS Roller - 1EA - List Price : $126.21 - Price Checked -1.10.13</t>
        </is>
      </c>
      <c r="E104" s="16" t="n"/>
      <c r="F104" s="17" t="n">
        <v>1</v>
      </c>
      <c r="G104" s="15" t="inlineStr">
        <is>
          <t>Emerson</t>
        </is>
      </c>
      <c r="H104" s="15" t="inlineStr">
        <is>
          <t>16S00024-SS</t>
        </is>
      </c>
      <c r="I104" s="15" t="inlineStr">
        <is>
          <t>NO</t>
        </is>
      </c>
      <c r="J104" s="18" t="n">
        <v>93.42</v>
      </c>
      <c r="K104" s="14" t="n"/>
      <c r="L104" s="19" t="n"/>
      <c r="M104" s="20" t="n"/>
      <c r="N104" s="21" t="n"/>
      <c r="O104" s="22" t="n"/>
      <c r="P104" s="34" t="n"/>
    </row>
    <row r="105" ht="37.5" customHeight="1">
      <c r="A105" s="14" t="inlineStr">
        <is>
          <t>16S00022-SR</t>
        </is>
      </c>
      <c r="B105" s="15" t="inlineStr">
        <is>
          <t>16S00022-SR</t>
        </is>
      </c>
      <c r="C105" s="15" t="inlineStr">
        <is>
          <t>Emerson</t>
        </is>
      </c>
      <c r="D105" s="16" t="inlineStr">
        <is>
          <t>4 Row, 6.1 inch wide DynaPlate, SR Roller - 1EA - List Price - Price Checked - 04.30.21</t>
        </is>
      </c>
      <c r="E105" s="16" t="n"/>
      <c r="F105" s="17" t="n">
        <v>1</v>
      </c>
      <c r="G105" s="15" t="inlineStr">
        <is>
          <t>Emerson</t>
        </is>
      </c>
      <c r="H105" s="15" t="inlineStr">
        <is>
          <t>16S00022-SR</t>
        </is>
      </c>
      <c r="I105" s="15" t="inlineStr">
        <is>
          <t>NO</t>
        </is>
      </c>
      <c r="J105" s="18" t="n">
        <v>42.08</v>
      </c>
      <c r="K105" s="14" t="n"/>
      <c r="L105" s="19" t="n"/>
      <c r="M105" s="20" t="n"/>
      <c r="N105" s="21" t="n"/>
      <c r="O105" s="22" t="n"/>
      <c r="P105" s="34" t="n"/>
    </row>
    <row r="106" ht="37.5" customHeight="1">
      <c r="A106" s="14" t="inlineStr">
        <is>
          <t>SPLICE</t>
        </is>
      </c>
      <c r="B106" s="15" t="inlineStr">
        <is>
          <t>SPLICE</t>
        </is>
      </c>
      <c r="C106" s="15" t="inlineStr">
        <is>
          <t>Advantage Conveyor, Inc.</t>
        </is>
      </c>
      <c r="D106" s="16" t="inlineStr">
        <is>
          <t>Splice Plate - Quote Purposes Only (3" x 3")</t>
        </is>
      </c>
      <c r="E106" s="16" t="n"/>
      <c r="F106" s="17" t="n">
        <v>0</v>
      </c>
      <c r="G106" s="15" t="inlineStr">
        <is>
          <t>Stainless Steel Specialties</t>
        </is>
      </c>
      <c r="H106" s="15" t="inlineStr">
        <is>
          <t>N/A</t>
        </is>
      </c>
      <c r="I106" s="15" t="inlineStr">
        <is>
          <t>NO</t>
        </is>
      </c>
      <c r="J106" s="18" t="n">
        <v>3.3</v>
      </c>
      <c r="K106" s="14" t="n"/>
      <c r="L106" s="19" t="n"/>
      <c r="M106" s="20" t="n"/>
      <c r="N106" s="21" t="n"/>
      <c r="O106" s="22" t="n"/>
      <c r="P106" s="34" t="n"/>
      <c r="Q106" s="1" t="inlineStr">
        <is>
          <t>N/A</t>
        </is>
      </c>
    </row>
    <row r="107" ht="37.5" customHeight="1">
      <c r="A107" s="14" t="inlineStr">
        <is>
          <t>6X773</t>
        </is>
      </c>
      <c r="B107" s="15" t="n">
        <v>3422</v>
      </c>
      <c r="C107" s="15" t="inlineStr">
        <is>
          <t>RACO</t>
        </is>
      </c>
      <c r="D107" s="16" t="inlineStr">
        <is>
          <t>Liquid Tight Conduit 90 Degree Connector - Quote Expires 03/11/11</t>
        </is>
      </c>
      <c r="E107" s="16" t="n">
        <v>1</v>
      </c>
      <c r="F107" s="17" t="inlineStr">
        <is>
          <t>each</t>
        </is>
      </c>
      <c r="G107" s="15" t="inlineStr">
        <is>
          <t>Grainger</t>
        </is>
      </c>
      <c r="H107" s="15" t="inlineStr">
        <is>
          <t>6X773</t>
        </is>
      </c>
      <c r="I107" s="15" t="inlineStr">
        <is>
          <t>NO</t>
        </is>
      </c>
      <c r="J107" s="18" t="n">
        <v>8.59</v>
      </c>
      <c r="K107" s="21" t="n">
        <v>45348</v>
      </c>
      <c r="L107" s="19" t="n">
        <v>0.249126891734575</v>
      </c>
      <c r="M107" s="20" t="n">
        <v>6.45</v>
      </c>
      <c r="N107" s="21" t="n"/>
      <c r="O107" s="22" t="inlineStr">
        <is>
          <t>, 2/15/2024, 6.45</t>
        </is>
      </c>
      <c r="P107" s="34" t="n"/>
      <c r="Q107" s="1" t="inlineStr">
        <is>
          <t>N/A</t>
        </is>
      </c>
    </row>
    <row r="108" ht="37.5" customHeight="1">
      <c r="A108" s="14" t="inlineStr">
        <is>
          <t>6X770</t>
        </is>
      </c>
      <c r="B108" s="15" t="n">
        <v>3402</v>
      </c>
      <c r="C108" s="15" t="inlineStr">
        <is>
          <t>RACO</t>
        </is>
      </c>
      <c r="D108" s="16" t="inlineStr">
        <is>
          <t>Liquid Tight Conduit Straight Connector - Quote Expires 03/11/11</t>
        </is>
      </c>
      <c r="E108" s="16" t="n">
        <v>1</v>
      </c>
      <c r="F108" s="17" t="inlineStr">
        <is>
          <t>each</t>
        </is>
      </c>
      <c r="G108" s="15" t="inlineStr">
        <is>
          <t>Grainger</t>
        </is>
      </c>
      <c r="H108" s="15" t="inlineStr">
        <is>
          <t>6X770</t>
        </is>
      </c>
      <c r="I108" s="15" t="inlineStr">
        <is>
          <t>NO</t>
        </is>
      </c>
      <c r="J108" s="18" t="n">
        <v>4.6</v>
      </c>
      <c r="K108" s="21" t="n">
        <v>45348</v>
      </c>
      <c r="L108" s="19" t="n">
        <v>0.182608695652174</v>
      </c>
      <c r="M108" s="20" t="n">
        <v>3.76</v>
      </c>
      <c r="N108" s="21" t="n"/>
      <c r="O108" s="22" t="inlineStr">
        <is>
          <t>, 2/15/2024, 3.76</t>
        </is>
      </c>
      <c r="P108" s="34" t="n"/>
    </row>
    <row r="109" ht="37.5" customHeight="1">
      <c r="A109" s="14" t="inlineStr">
        <is>
          <t>5YH56</t>
        </is>
      </c>
      <c r="B109" s="15" t="inlineStr">
        <is>
          <t>LA11</t>
        </is>
      </c>
      <c r="C109" s="15" t="inlineStr">
        <is>
          <t>ELECTRI-FLEX</t>
        </is>
      </c>
      <c r="D109" s="16" t="inlineStr">
        <is>
          <t>UL Listed Liquid Tight 1/2" Flexible Conduit x 100' Lg. - Quote Expires 03/11/11</t>
        </is>
      </c>
      <c r="E109" s="16" t="n">
        <v>1</v>
      </c>
      <c r="F109" s="17" t="inlineStr">
        <is>
          <t>each</t>
        </is>
      </c>
      <c r="G109" s="15" t="inlineStr">
        <is>
          <t>Grainger</t>
        </is>
      </c>
      <c r="H109" s="15" t="inlineStr">
        <is>
          <t>5YH56</t>
        </is>
      </c>
      <c r="I109" s="15" t="inlineStr">
        <is>
          <t>NO</t>
        </is>
      </c>
      <c r="J109" s="18" t="n">
        <v>241</v>
      </c>
      <c r="K109" s="21" t="n">
        <v>45348</v>
      </c>
      <c r="L109" s="19" t="inlineStr">
        <is>
          <t>Invalid Input</t>
        </is>
      </c>
      <c r="M109" s="20" t="inlineStr">
        <is>
          <t>CALL FOR QUOTE</t>
        </is>
      </c>
      <c r="N109" s="21" t="n"/>
      <c r="O109" s="22" t="inlineStr">
        <is>
          <t>, 2/15/2024, CALL FOR QUOTE</t>
        </is>
      </c>
      <c r="P109" s="24" t="n"/>
      <c r="Q109" s="1" t="inlineStr">
        <is>
          <t>N/A</t>
        </is>
      </c>
    </row>
    <row r="110" ht="37.5" customHeight="1">
      <c r="A110" s="14" t="inlineStr">
        <is>
          <t>4ZK12</t>
        </is>
      </c>
      <c r="B110" s="15" t="inlineStr">
        <is>
          <t>N/A</t>
        </is>
      </c>
      <c r="C110" s="15" t="inlineStr">
        <is>
          <t>Speedaire</t>
        </is>
      </c>
      <c r="D110" s="16" t="inlineStr">
        <is>
          <t>Mounting Bracket for Speedaire Miniature Regulator</t>
        </is>
      </c>
      <c r="E110" s="16" t="n">
        <v>1</v>
      </c>
      <c r="F110" s="17" t="inlineStr">
        <is>
          <t>each</t>
        </is>
      </c>
      <c r="G110" s="15" t="inlineStr">
        <is>
          <t>Grainger</t>
        </is>
      </c>
      <c r="H110" s="15" t="inlineStr">
        <is>
          <t>4ZK12</t>
        </is>
      </c>
      <c r="I110" s="15" t="inlineStr">
        <is>
          <t>NO</t>
        </is>
      </c>
      <c r="J110" s="18" t="n">
        <v>6.67</v>
      </c>
      <c r="K110" s="21" t="n">
        <v>45348</v>
      </c>
      <c r="L110" s="19" t="n">
        <v>0.4047976011994</v>
      </c>
      <c r="M110" s="20" t="n">
        <v>3.97</v>
      </c>
      <c r="N110" s="21" t="n"/>
      <c r="O110" s="22" t="inlineStr">
        <is>
          <t>, 2/15/2024, 3.97</t>
        </is>
      </c>
      <c r="P110" s="34" t="n"/>
      <c r="Q110" s="1" t="inlineStr">
        <is>
          <t>SMM</t>
        </is>
      </c>
    </row>
    <row r="111" ht="37.5" customHeight="1">
      <c r="A111" s="14" t="inlineStr">
        <is>
          <t>4ZM07</t>
        </is>
      </c>
      <c r="B111" s="15" t="inlineStr">
        <is>
          <t>N/A</t>
        </is>
      </c>
      <c r="C111" s="15" t="inlineStr">
        <is>
          <t>Speedaire</t>
        </is>
      </c>
      <c r="D111" s="16" t="inlineStr">
        <is>
          <t>Speedaire Miniature Regulator with 1/8" NPT Ports</t>
        </is>
      </c>
      <c r="E111" s="16" t="n">
        <v>1</v>
      </c>
      <c r="F111" s="17" t="inlineStr">
        <is>
          <t>each</t>
        </is>
      </c>
      <c r="G111" s="15" t="inlineStr">
        <is>
          <t>Grainger</t>
        </is>
      </c>
      <c r="H111" s="15" t="inlineStr">
        <is>
          <t>4ZM07</t>
        </is>
      </c>
      <c r="I111" s="15" t="inlineStr">
        <is>
          <t>NO</t>
        </is>
      </c>
      <c r="J111" s="18" t="n">
        <v>31.86</v>
      </c>
      <c r="K111" s="21" t="n">
        <v>45348</v>
      </c>
      <c r="L111" s="19" t="inlineStr">
        <is>
          <t>Invalid Input</t>
        </is>
      </c>
      <c r="M111" s="20" t="inlineStr">
        <is>
          <t>CALL FOR QUOTE</t>
        </is>
      </c>
      <c r="N111" s="21" t="n"/>
      <c r="O111" s="22" t="inlineStr">
        <is>
          <t>, 2/15/2024, CALL FOR QUOTE</t>
        </is>
      </c>
      <c r="P111" s="24" t="n"/>
      <c r="Q111" s="1" t="inlineStr">
        <is>
          <t>SMM</t>
        </is>
      </c>
    </row>
    <row r="112" ht="37.5" customHeight="1">
      <c r="A112" s="14" t="inlineStr">
        <is>
          <t>5WZ07</t>
        </is>
      </c>
      <c r="B112" s="15" t="inlineStr">
        <is>
          <t>5WZ07</t>
        </is>
      </c>
      <c r="C112" s="15" t="inlineStr">
        <is>
          <t>Westward</t>
        </is>
      </c>
      <c r="D112" s="16" t="inlineStr">
        <is>
          <t xml:space="preserve">Standard Pressure Gauge, Range 160 PSI, Dial Size 1 1/2 Inches, Pipe Size NPT 1/8 Inch, Smallest Graduation 5 PSI, Center Back Mount </t>
        </is>
      </c>
      <c r="E112" s="16" t="n">
        <v>1</v>
      </c>
      <c r="F112" s="17" t="inlineStr">
        <is>
          <t>each</t>
        </is>
      </c>
      <c r="G112" s="15" t="inlineStr">
        <is>
          <t>Grainger</t>
        </is>
      </c>
      <c r="H112" s="15" t="inlineStr">
        <is>
          <t>5WZ07</t>
        </is>
      </c>
      <c r="I112" s="15" t="inlineStr">
        <is>
          <t>NO</t>
        </is>
      </c>
      <c r="J112" s="18" t="n">
        <v>14.9</v>
      </c>
      <c r="K112" s="21" t="n">
        <v>45348</v>
      </c>
      <c r="L112" s="19" t="inlineStr">
        <is>
          <t>Invalid Input</t>
        </is>
      </c>
      <c r="M112" s="20" t="inlineStr">
        <is>
          <t>CALL FOR QUOTE</t>
        </is>
      </c>
      <c r="N112" s="21" t="n"/>
      <c r="O112" s="22" t="inlineStr">
        <is>
          <t>, 2/15/2024, CALL FOR QUOTE</t>
        </is>
      </c>
      <c r="P112" s="24" t="n"/>
      <c r="Q112" s="1" t="inlineStr">
        <is>
          <t>SMM</t>
        </is>
      </c>
    </row>
    <row r="113" ht="37.5" customHeight="1">
      <c r="A113" s="14" t="inlineStr">
        <is>
          <t>SC-20-SS</t>
        </is>
      </c>
      <c r="B113" s="15" t="inlineStr">
        <is>
          <t>SC-20-SS</t>
        </is>
      </c>
      <c r="C113" s="15" t="inlineStr">
        <is>
          <t>Ruland Manufacturing</t>
        </is>
      </c>
      <c r="D113" s="16" t="inlineStr">
        <is>
          <t>Ruland Stainless Steel Shaft Collar with 1 1/4" Dia. Round Bore - Price Checked: 5.29.12</t>
        </is>
      </c>
      <c r="E113" s="16" t="n"/>
      <c r="F113" s="17" t="n">
        <v>0</v>
      </c>
      <c r="G113" s="15" t="inlineStr">
        <is>
          <t>Ruland</t>
        </is>
      </c>
      <c r="H113" s="15" t="inlineStr">
        <is>
          <t>SC-20-SS</t>
        </is>
      </c>
      <c r="I113" s="15" t="inlineStr">
        <is>
          <t>NO</t>
        </is>
      </c>
      <c r="J113" s="18" t="n">
        <v>27.38</v>
      </c>
      <c r="K113" s="14" t="n"/>
      <c r="L113" s="19" t="n"/>
      <c r="M113" s="20" t="n"/>
      <c r="N113" s="21" t="n"/>
      <c r="O113" s="22" t="n"/>
      <c r="P113" s="34" t="n"/>
      <c r="Q113" s="1" t="inlineStr">
        <is>
          <t>N/A</t>
        </is>
      </c>
    </row>
    <row r="114" ht="37.5" customHeight="1">
      <c r="A114" s="14" t="inlineStr">
        <is>
          <t>45525K573</t>
        </is>
      </c>
      <c r="B114" s="15" t="inlineStr">
        <is>
          <t>45525K573</t>
        </is>
      </c>
      <c r="C114" s="15" t="inlineStr">
        <is>
          <t xml:space="preserve">APPROVED VENDOR </t>
        </is>
      </c>
      <c r="D114" s="16" t="inlineStr">
        <is>
          <t>Type 304 Stainless Steel 3/8" NPT Schedule 40 Half Coupling - Price checked 1.8.15</t>
        </is>
      </c>
      <c r="E114" s="16" t="n"/>
      <c r="F114" s="17" t="inlineStr">
        <is>
          <t>Each</t>
        </is>
      </c>
      <c r="G114" s="15" t="inlineStr">
        <is>
          <t>McMaster-Carr</t>
        </is>
      </c>
      <c r="H114" s="15" t="inlineStr">
        <is>
          <t>45525K573</t>
        </is>
      </c>
      <c r="I114" s="15" t="inlineStr">
        <is>
          <t>NO</t>
        </is>
      </c>
      <c r="J114" s="18" t="n">
        <v>10.85</v>
      </c>
      <c r="K114" s="21" t="n">
        <v>45348</v>
      </c>
      <c r="L114" s="19" t="n">
        <v>0</v>
      </c>
      <c r="M114" s="20" t="n">
        <v>10.85</v>
      </c>
      <c r="N114" s="21" t="n">
        <v>45336</v>
      </c>
      <c r="O114" s="22" t="inlineStr">
        <is>
          <t>, 2/15/2024, 10.85</t>
        </is>
      </c>
      <c r="P114" s="34" t="n"/>
    </row>
    <row r="115" ht="37.5" customHeight="1">
      <c r="A115" s="14" t="inlineStr">
        <is>
          <t>A2-16-122VRK-M20</t>
        </is>
      </c>
      <c r="B115" s="15">
        <f>#N/A</f>
        <v/>
      </c>
      <c r="C115" s="15" t="inlineStr">
        <is>
          <t>Schmersal</t>
        </is>
      </c>
      <c r="D115" s="16" t="inlineStr">
        <is>
          <t>Safety Switch</t>
        </is>
      </c>
      <c r="E115" s="16" t="n"/>
      <c r="F115" s="17" t="n">
        <v>0</v>
      </c>
      <c r="G115" s="15" t="inlineStr">
        <is>
          <t>TBD</t>
        </is>
      </c>
      <c r="H115" s="15">
        <f>#N/A</f>
        <v/>
      </c>
      <c r="I115" s="15" t="inlineStr">
        <is>
          <t>NO</t>
        </is>
      </c>
      <c r="J115" s="18" t="inlineStr">
        <is>
          <t>CALL FOR QUOTE</t>
        </is>
      </c>
      <c r="K115" s="14" t="n"/>
      <c r="L115" s="19" t="n"/>
      <c r="M115" s="20" t="n"/>
      <c r="N115" s="21" t="n"/>
      <c r="O115" s="22" t="n"/>
      <c r="P115" s="24" t="n"/>
      <c r="Q115" s="1" t="inlineStr">
        <is>
          <t>N/A</t>
        </is>
      </c>
    </row>
    <row r="116" ht="37.5" customHeight="1">
      <c r="A116" s="14" t="inlineStr">
        <is>
          <t>1249-310</t>
        </is>
      </c>
      <c r="B116" s="15" t="inlineStr">
        <is>
          <t>1249-310</t>
        </is>
      </c>
      <c r="C116" s="15" t="inlineStr">
        <is>
          <t>Advantage Conveyor, Inc.</t>
        </is>
      </c>
      <c r="D116" s="16" t="inlineStr">
        <is>
          <t>Washdown Duty Delrin 8 DP 48 Tooth Spur Gear with 20 Degree Pressure Angle &amp; 1 1/4" Dia. Finished Bore with 1/4" Keyway</t>
        </is>
      </c>
      <c r="E116" s="16" t="n"/>
      <c r="F116" s="17" t="n">
        <v>0</v>
      </c>
      <c r="G116" s="15" t="inlineStr">
        <is>
          <t>Carnes-Miller Gear</t>
        </is>
      </c>
      <c r="H116" s="15" t="inlineStr">
        <is>
          <t>N/A</t>
        </is>
      </c>
      <c r="I116" s="15" t="inlineStr">
        <is>
          <t>NO</t>
        </is>
      </c>
      <c r="J116" s="18" t="n">
        <v>198</v>
      </c>
      <c r="K116" s="14" t="n"/>
      <c r="L116" s="19" t="n"/>
      <c r="M116" s="20" t="n"/>
      <c r="N116" s="21" t="n"/>
      <c r="O116" s="22" t="n"/>
      <c r="P116" s="34" t="n"/>
      <c r="Q116" s="1" t="inlineStr">
        <is>
          <t>N/A</t>
        </is>
      </c>
    </row>
    <row r="117" ht="37.5" customHeight="1">
      <c r="A117" s="14" t="inlineStr">
        <is>
          <t>MP-SK-704-7-58-SS</t>
        </is>
      </c>
      <c r="B117" s="15" t="inlineStr">
        <is>
          <t>MP-SK-704-7-58-SS</t>
        </is>
      </c>
      <c r="C117" s="15" t="inlineStr">
        <is>
          <t>Mason Plastics</t>
        </is>
      </c>
      <c r="D117" s="16" t="inlineStr">
        <is>
          <t>Mason Plastic, Plastic End,  2 Skinned Over Holes, 4" Inch Base, +/-2" Adjustment, 7" Length, 5/8-11 Stainless Threaded Rod  Price Checked 10.4.11</t>
        </is>
      </c>
      <c r="E117" s="16" t="n"/>
      <c r="F117" s="17" t="n"/>
      <c r="G117" s="15" t="inlineStr">
        <is>
          <t>Mason Plastics</t>
        </is>
      </c>
      <c r="H117" s="15" t="inlineStr">
        <is>
          <t>N/A</t>
        </is>
      </c>
      <c r="I117" s="15" t="inlineStr">
        <is>
          <t>NO</t>
        </is>
      </c>
      <c r="J117" s="18" t="n">
        <v>11.19</v>
      </c>
      <c r="K117" s="14" t="n"/>
      <c r="L117" s="19" t="n"/>
      <c r="M117" s="20" t="n"/>
      <c r="N117" s="21" t="n"/>
      <c r="O117" s="22" t="n"/>
      <c r="P117" s="34" t="n"/>
    </row>
    <row r="118" ht="37.5" customHeight="1">
      <c r="A118" s="14" t="inlineStr">
        <is>
          <t>MP-SAC-01</t>
        </is>
      </c>
      <c r="B118" s="15" t="inlineStr">
        <is>
          <t>MP-SAC-01</t>
        </is>
      </c>
      <c r="C118" s="15" t="inlineStr">
        <is>
          <t>Mason Plastics</t>
        </is>
      </c>
      <c r="D118" s="16" t="inlineStr">
        <is>
          <t>Mason Plastics P/N# - MP-SAC-01 - Crossover from Solus P/N# - VG-018-01 - Qty 1 - Price Checked 10.4.11</t>
        </is>
      </c>
      <c r="E118" s="16" t="n"/>
      <c r="F118" s="17" t="n"/>
      <c r="G118" s="15" t="inlineStr">
        <is>
          <t>Mason Plastics</t>
        </is>
      </c>
      <c r="H118" s="15" t="inlineStr">
        <is>
          <t>N/A</t>
        </is>
      </c>
      <c r="I118" s="15" t="inlineStr">
        <is>
          <t>NO</t>
        </is>
      </c>
      <c r="J118" s="18" t="n">
        <v>1.42</v>
      </c>
      <c r="K118" s="14" t="n"/>
      <c r="L118" s="19" t="n"/>
      <c r="M118" s="20" t="n"/>
      <c r="N118" s="21" t="n"/>
      <c r="O118" s="22" t="n"/>
      <c r="P118" s="34" t="n"/>
    </row>
    <row r="119" ht="37.5" customHeight="1">
      <c r="A119" s="14" t="inlineStr">
        <is>
          <t>M1410C</t>
        </is>
      </c>
      <c r="B119" s="15" t="inlineStr">
        <is>
          <t>M1410C</t>
        </is>
      </c>
      <c r="C119" s="15" t="inlineStr">
        <is>
          <t>AC Tech</t>
        </is>
      </c>
      <c r="D119" s="16" t="inlineStr">
        <is>
          <t>MC1000 Series Drive: 1 HP (0.75 kW), 480V 3Ø input in NEMA 4 encl.  - Price Checked - 1.28.15</t>
        </is>
      </c>
      <c r="E119" s="16" t="n"/>
      <c r="F119" s="17" t="n"/>
      <c r="G119" s="15" t="inlineStr">
        <is>
          <t>AC Tech</t>
        </is>
      </c>
      <c r="H119" s="15" t="inlineStr">
        <is>
          <t>N/A</t>
        </is>
      </c>
      <c r="I119" s="15" t="inlineStr">
        <is>
          <t>NO</t>
        </is>
      </c>
      <c r="J119" s="18" t="n">
        <v>428.4</v>
      </c>
      <c r="K119" s="14" t="n"/>
      <c r="L119" s="19" t="n"/>
      <c r="M119" s="20" t="n"/>
      <c r="N119" s="21" t="n"/>
      <c r="O119" s="22" t="n"/>
      <c r="P119" s="24" t="n"/>
    </row>
    <row r="120" ht="37.5" customHeight="1">
      <c r="A120" s="14" t="inlineStr">
        <is>
          <t>6MN06</t>
        </is>
      </c>
      <c r="B120" s="15" t="inlineStr">
        <is>
          <t>268PPNI-6C</t>
        </is>
      </c>
      <c r="C120" s="15" t="inlineStr">
        <is>
          <t>NO BRAND NAME ASSIGNED</t>
        </is>
      </c>
      <c r="D120" s="16" t="inlineStr">
        <is>
          <t>Connector,3/8 In,Pk10 - Quote Expires 03/11/11</t>
        </is>
      </c>
      <c r="E120" s="16" t="n">
        <v>10</v>
      </c>
      <c r="F120" s="17" t="inlineStr">
        <is>
          <t>pkg. of</t>
        </is>
      </c>
      <c r="G120" s="15" t="inlineStr">
        <is>
          <t>Grainger</t>
        </is>
      </c>
      <c r="H120" s="15" t="inlineStr">
        <is>
          <t>6MN06</t>
        </is>
      </c>
      <c r="I120" s="15" t="inlineStr">
        <is>
          <t>NO</t>
        </is>
      </c>
      <c r="J120" s="18" t="n">
        <v>67.12</v>
      </c>
      <c r="K120" s="21" t="n">
        <v>45348</v>
      </c>
      <c r="L120" s="19" t="n">
        <v>0.516686531585221</v>
      </c>
      <c r="M120" s="20" t="n">
        <v>32.44</v>
      </c>
      <c r="N120" s="21" t="n"/>
      <c r="O120" s="22" t="inlineStr">
        <is>
          <t>, 2/15/2024, 32.44</t>
        </is>
      </c>
      <c r="P120" s="24" t="n"/>
    </row>
    <row r="121" ht="37.5" customHeight="1">
      <c r="A121" s="14" t="inlineStr">
        <is>
          <t>6MN34</t>
        </is>
      </c>
      <c r="B121" s="15" t="inlineStr">
        <is>
          <t xml:space="preserve">953PPNI-4A </t>
        </is>
      </c>
      <c r="C121" s="15" t="inlineStr">
        <is>
          <t>GEIB</t>
        </is>
      </c>
      <c r="D121" s="16" t="inlineStr">
        <is>
          <t>Flow Control Valve, Tube Size 1/4 Inch, Thread Size 1/8 Inch, Nickel Plated, Poly Fittings, Push to Connect Design, With Slot - Price Confirmed  01.06.14</t>
        </is>
      </c>
      <c r="E121" s="16" t="n">
        <v>1</v>
      </c>
      <c r="F121" s="17" t="inlineStr">
        <is>
          <t>each</t>
        </is>
      </c>
      <c r="G121" s="15" t="inlineStr">
        <is>
          <t>Grainger</t>
        </is>
      </c>
      <c r="H121" s="15" t="inlineStr">
        <is>
          <t>6MN34</t>
        </is>
      </c>
      <c r="I121" s="15" t="inlineStr">
        <is>
          <t>NO</t>
        </is>
      </c>
      <c r="J121" s="18" t="n">
        <v>19.5</v>
      </c>
      <c r="K121" s="21" t="n">
        <v>45348</v>
      </c>
      <c r="L121" s="19" t="n">
        <v>-0.278974358974359</v>
      </c>
      <c r="M121" s="20" t="n">
        <v>24.94</v>
      </c>
      <c r="N121" s="21" t="n"/>
      <c r="O121" s="22" t="inlineStr">
        <is>
          <t>, 2/15/2024, 24.94</t>
        </is>
      </c>
      <c r="P121" s="24" t="n"/>
    </row>
    <row r="122" ht="37.5" customHeight="1">
      <c r="A122" s="14" t="inlineStr">
        <is>
          <t>PR34638-1</t>
        </is>
      </c>
      <c r="B122" s="15" t="inlineStr">
        <is>
          <t>PR34638-1</t>
        </is>
      </c>
      <c r="C122" s="15" t="inlineStr">
        <is>
          <t>Pawling</t>
        </is>
      </c>
      <c r="D122" s="16" t="inlineStr">
        <is>
          <t>PR4009 Slotted Retainer - 8" Long</t>
        </is>
      </c>
      <c r="E122" s="16" t="n"/>
      <c r="F122" s="17" t="n"/>
      <c r="G122" s="15" t="inlineStr">
        <is>
          <t>Pawling</t>
        </is>
      </c>
      <c r="H122" s="15" t="inlineStr">
        <is>
          <t>N/A</t>
        </is>
      </c>
      <c r="I122" s="15" t="inlineStr">
        <is>
          <t>NO</t>
        </is>
      </c>
      <c r="J122" s="18" t="n">
        <v>17.5</v>
      </c>
      <c r="K122" s="14" t="n"/>
      <c r="L122" s="19" t="n"/>
      <c r="M122" s="20" t="n"/>
      <c r="N122" s="21" t="n"/>
      <c r="O122" s="22" t="n"/>
      <c r="P122" s="24" t="n"/>
    </row>
    <row r="123" ht="37.5" customHeight="1">
      <c r="A123" s="14" t="inlineStr">
        <is>
          <t>PRS34637-1</t>
        </is>
      </c>
      <c r="B123" s="15" t="inlineStr">
        <is>
          <t>PRS34637-1</t>
        </is>
      </c>
      <c r="C123" s="15" t="inlineStr">
        <is>
          <t>Pawling</t>
        </is>
      </c>
      <c r="D123" s="16" t="inlineStr">
        <is>
          <t>8" Pneuma-Cel Fabric Bladder</t>
        </is>
      </c>
      <c r="E123" s="16" t="n"/>
      <c r="F123" s="17" t="n"/>
      <c r="G123" s="15" t="inlineStr">
        <is>
          <t>Pawling</t>
        </is>
      </c>
      <c r="H123" s="15" t="inlineStr">
        <is>
          <t>N/A</t>
        </is>
      </c>
      <c r="I123" s="15" t="inlineStr">
        <is>
          <t>NO</t>
        </is>
      </c>
      <c r="J123" s="18" t="n">
        <v>135</v>
      </c>
      <c r="K123" s="14" t="n"/>
      <c r="L123" s="19" t="n"/>
      <c r="M123" s="20" t="n"/>
      <c r="N123" s="21" t="n"/>
      <c r="O123" s="22" t="n"/>
      <c r="P123" s="24" t="n"/>
    </row>
    <row r="124" ht="37.5" customHeight="1">
      <c r="A124" s="14" t="inlineStr">
        <is>
          <t>THREADROD</t>
        </is>
      </c>
      <c r="B124" s="15" t="inlineStr">
        <is>
          <t>THREADROD</t>
        </is>
      </c>
      <c r="C124" s="15" t="inlineStr">
        <is>
          <t>Automotive Fasteners</t>
        </is>
      </c>
      <c r="D124" s="16" t="inlineStr">
        <is>
          <t>5/8-11 SS Threaded Rod - 3ft.</t>
        </is>
      </c>
      <c r="E124" s="16" t="n"/>
      <c r="F124" s="17" t="n">
        <v>1</v>
      </c>
      <c r="G124" s="15" t="inlineStr">
        <is>
          <t>Automotive Fasteners</t>
        </is>
      </c>
      <c r="H124" s="15" t="inlineStr">
        <is>
          <t>N/A</t>
        </is>
      </c>
      <c r="I124" s="15" t="inlineStr">
        <is>
          <t>NO</t>
        </is>
      </c>
      <c r="J124" s="18" t="n">
        <v>12.84</v>
      </c>
      <c r="K124" s="14" t="n"/>
      <c r="L124" s="19" t="n"/>
      <c r="M124" s="20" t="n"/>
      <c r="N124" s="21" t="n"/>
      <c r="O124" s="22" t="n"/>
      <c r="P124" s="24" t="n"/>
    </row>
    <row r="125" ht="37.5" customHeight="1">
      <c r="A125" s="14" t="inlineStr">
        <is>
          <t>6435K38</t>
        </is>
      </c>
      <c r="B125" s="15" t="inlineStr">
        <is>
          <t>6435K38</t>
        </is>
      </c>
      <c r="C125" s="15" t="inlineStr">
        <is>
          <t>McMaster-Carr</t>
        </is>
      </c>
      <c r="D125" s="16" t="inlineStr">
        <is>
          <t>1" Clamp Collar - SS - price checked 6/14/23</t>
        </is>
      </c>
      <c r="E125" s="16" t="n"/>
      <c r="F125" s="17" t="inlineStr">
        <is>
          <t>Each</t>
        </is>
      </c>
      <c r="G125" s="15" t="inlineStr">
        <is>
          <t>McMaster-Carr</t>
        </is>
      </c>
      <c r="H125" s="15" t="inlineStr">
        <is>
          <t>6435K38</t>
        </is>
      </c>
      <c r="I125" s="15" t="inlineStr">
        <is>
          <t>NO</t>
        </is>
      </c>
      <c r="J125" s="18" t="n">
        <v>28.52</v>
      </c>
      <c r="K125" s="21" t="n">
        <v>45348</v>
      </c>
      <c r="L125" s="19" t="n">
        <v>0</v>
      </c>
      <c r="M125" s="20" t="n">
        <v>28.52</v>
      </c>
      <c r="N125" s="21" t="n">
        <v>45337</v>
      </c>
      <c r="O125" s="22" t="inlineStr">
        <is>
          <t>, 2/15/2024, 19.07</t>
        </is>
      </c>
      <c r="P125" s="24" t="n"/>
    </row>
    <row r="126" ht="37.5" customHeight="1">
      <c r="A126" s="14" t="inlineStr">
        <is>
          <t>40BS18-3/4</t>
        </is>
      </c>
      <c r="B126" s="15" t="inlineStr">
        <is>
          <t>40BS18-3/4</t>
        </is>
      </c>
      <c r="C126" s="15" t="inlineStr">
        <is>
          <t>Martin</t>
        </is>
      </c>
      <c r="D126" s="16" t="inlineStr">
        <is>
          <t>18 Tooth #40 Sprocket with 3/4" Dia. Bore - KWSS</t>
        </is>
      </c>
      <c r="E126" s="16" t="n"/>
      <c r="F126" s="17" t="n"/>
      <c r="G126" s="15" t="inlineStr">
        <is>
          <t>Motion Industries</t>
        </is>
      </c>
      <c r="H126" s="15" t="inlineStr">
        <is>
          <t>40BS18-3/4</t>
        </is>
      </c>
      <c r="I126" s="15" t="inlineStr">
        <is>
          <t>NO</t>
        </is>
      </c>
      <c r="J126" s="18" t="n">
        <v>11.15</v>
      </c>
      <c r="K126" s="14" t="n"/>
      <c r="L126" s="19" t="n"/>
      <c r="M126" s="20" t="n"/>
      <c r="N126" s="21" t="n"/>
      <c r="O126" s="22" t="n"/>
      <c r="P126" s="24" t="n"/>
    </row>
    <row r="127" ht="37.5" customHeight="1">
      <c r="A127" s="14" t="inlineStr">
        <is>
          <t>3724T52</t>
        </is>
      </c>
      <c r="B127" s="15" t="inlineStr">
        <is>
          <t>3724T52</t>
        </is>
      </c>
      <c r="C127" s="15" t="inlineStr">
        <is>
          <t>McMaster-Carr</t>
        </is>
      </c>
      <c r="D127" s="16" t="inlineStr">
        <is>
          <t>Spoked Alum Handwhl W/ Set Screw and Keyway Dished, Without Handle, 6" Whl Dia, 1/2" Hole Dia - price checked 06.23.21</t>
        </is>
      </c>
      <c r="E127" s="16" t="n"/>
      <c r="F127" s="17" t="inlineStr">
        <is>
          <t>Each</t>
        </is>
      </c>
      <c r="G127" s="15" t="inlineStr">
        <is>
          <t>McMaster-Carr</t>
        </is>
      </c>
      <c r="H127" s="15" t="inlineStr">
        <is>
          <t>3724T52</t>
        </is>
      </c>
      <c r="I127" s="15" t="inlineStr">
        <is>
          <t>NO</t>
        </is>
      </c>
      <c r="J127" s="18" t="n">
        <v>52.18</v>
      </c>
      <c r="K127" s="21" t="n">
        <v>45348</v>
      </c>
      <c r="L127" s="19" t="n">
        <v>0</v>
      </c>
      <c r="M127" s="20" t="n">
        <v>52.18</v>
      </c>
      <c r="N127" s="21" t="n"/>
      <c r="O127" s="22" t="inlineStr">
        <is>
          <t>, 2/15/2024, 52.18</t>
        </is>
      </c>
      <c r="P127" s="24" t="n"/>
    </row>
    <row r="128" ht="37.5" customHeight="1">
      <c r="A128" s="14" t="inlineStr">
        <is>
          <t>40BS35-1-1/4</t>
        </is>
      </c>
      <c r="B128" s="15" t="inlineStr">
        <is>
          <t>40BS35-1-1/4</t>
        </is>
      </c>
      <c r="C128" s="15" t="inlineStr">
        <is>
          <t>Motion Industries</t>
        </is>
      </c>
      <c r="D128" s="16" t="inlineStr">
        <is>
          <t>35 Tooth #40 Sprocket - 1-1/4" Dia. Bore - KWSS - Price Confirmed: 11.19.15</t>
        </is>
      </c>
      <c r="E128" s="16" t="n"/>
      <c r="F128" s="17" t="n"/>
      <c r="G128" s="15" t="inlineStr">
        <is>
          <t>Motion Industries</t>
        </is>
      </c>
      <c r="H128" s="15" t="inlineStr">
        <is>
          <t>40BS35-1-1/4</t>
        </is>
      </c>
      <c r="I128" s="15" t="inlineStr">
        <is>
          <t>NO</t>
        </is>
      </c>
      <c r="J128" s="18" t="n">
        <v>39.28</v>
      </c>
      <c r="K128" s="14" t="n"/>
      <c r="L128" s="19" t="n"/>
      <c r="M128" s="20" t="n"/>
      <c r="N128" s="21" t="n"/>
      <c r="O128" s="22" t="n"/>
      <c r="P128" s="24" t="n"/>
    </row>
    <row r="129" ht="37.5" customHeight="1">
      <c r="A129" s="14" t="inlineStr">
        <is>
          <t>35A20-1/2</t>
        </is>
      </c>
      <c r="B129" s="15" t="inlineStr">
        <is>
          <t>35A20-1/2</t>
        </is>
      </c>
      <c r="C129" s="15" t="inlineStr">
        <is>
          <t>Motion Industries</t>
        </is>
      </c>
      <c r="D129" s="16" t="inlineStr">
        <is>
          <t>Double Single 20 Tooth #40 Sprocket - 1/2" Dia. Bore - Price Confirmed: 11.19.15</t>
        </is>
      </c>
      <c r="E129" s="16" t="n"/>
      <c r="F129" s="17" t="n"/>
      <c r="G129" s="15" t="inlineStr">
        <is>
          <t>Motion Industries</t>
        </is>
      </c>
      <c r="H129" s="15" t="inlineStr">
        <is>
          <t>35A20-1/2</t>
        </is>
      </c>
      <c r="I129" s="15" t="inlineStr">
        <is>
          <t>NO</t>
        </is>
      </c>
      <c r="J129" s="18" t="n">
        <v>9.67</v>
      </c>
      <c r="K129" s="14" t="n"/>
      <c r="L129" s="19" t="n"/>
      <c r="M129" s="20" t="n"/>
      <c r="N129" s="21" t="n"/>
      <c r="O129" s="22" t="n"/>
      <c r="P129" s="24" t="n"/>
    </row>
    <row r="130" ht="37.5" customHeight="1">
      <c r="A130" s="14" t="inlineStr">
        <is>
          <t>LF1843K1.5GJ</t>
        </is>
      </c>
      <c r="B130" s="15" t="inlineStr">
        <is>
          <t>LF1843K1.5GJ</t>
        </is>
      </c>
      <c r="C130" s="15" t="inlineStr">
        <is>
          <t>Rexnord</t>
        </is>
      </c>
      <c r="D130" s="16" t="inlineStr">
        <is>
          <t>Rex 1843 TAB G (S) - Carbon Base Chain - "J" Finger Attachments - 10ft. Box - Price Checked: 06.23.21</t>
        </is>
      </c>
      <c r="E130" s="16" t="n"/>
      <c r="F130" s="17" t="n"/>
      <c r="G130" s="15" t="inlineStr">
        <is>
          <t>Rexnord</t>
        </is>
      </c>
      <c r="H130" s="15" t="inlineStr">
        <is>
          <t>LF1843K1.5GJ</t>
        </is>
      </c>
      <c r="I130" s="15" t="inlineStr">
        <is>
          <t>NO</t>
        </is>
      </c>
      <c r="J130" s="18">
        <f>69.24*10</f>
        <v/>
      </c>
      <c r="K130" s="14" t="n"/>
      <c r="L130" s="19" t="n"/>
      <c r="M130" s="20" t="n"/>
      <c r="N130" s="21" t="n"/>
      <c r="O130" s="22" t="n"/>
      <c r="P130" s="24" t="n"/>
    </row>
    <row r="131" ht="37.5" customHeight="1">
      <c r="A131" s="14" t="inlineStr">
        <is>
          <t>S35 RIV 10FT</t>
        </is>
      </c>
      <c r="B131" s="15" t="inlineStr">
        <is>
          <t>S35 RIV 10FT</t>
        </is>
      </c>
      <c r="C131" s="15" t="inlineStr">
        <is>
          <t>Motion Industries</t>
        </is>
      </c>
      <c r="D131" s="16" t="inlineStr">
        <is>
          <t>Martin #35 Riveted Roller Chain, Price Confirmed 06.23.21</t>
        </is>
      </c>
      <c r="E131" s="16" t="n"/>
      <c r="F131" s="17" t="n"/>
      <c r="G131" s="15" t="inlineStr">
        <is>
          <t>Motion Industries</t>
        </is>
      </c>
      <c r="H131" s="15" t="inlineStr">
        <is>
          <t>S35 RIV 10FT</t>
        </is>
      </c>
      <c r="I131" s="15" t="inlineStr">
        <is>
          <t>NO</t>
        </is>
      </c>
      <c r="J131" s="18">
        <f>2.46*10</f>
        <v/>
      </c>
      <c r="K131" s="14" t="n"/>
      <c r="L131" s="19" t="n"/>
      <c r="M131" s="20" t="n"/>
      <c r="N131" s="21" t="n"/>
      <c r="O131" s="22" t="n"/>
      <c r="P131" s="24" t="n"/>
    </row>
    <row r="132" ht="37.5" customHeight="1">
      <c r="A132" s="14" t="inlineStr">
        <is>
          <t>35BS20-1/2</t>
        </is>
      </c>
      <c r="B132" s="15" t="inlineStr">
        <is>
          <t>35BS20-1/2</t>
        </is>
      </c>
      <c r="C132" s="15" t="inlineStr">
        <is>
          <t>Martin</t>
        </is>
      </c>
      <c r="D132" s="16" t="inlineStr">
        <is>
          <t>20 Tooth #35 Sprocket - 1/2" Dia. Bore - KWSS - Price Confirmed: 06.23.21</t>
        </is>
      </c>
      <c r="E132" s="16" t="n"/>
      <c r="F132" s="17" t="n"/>
      <c r="G132" s="15" t="inlineStr">
        <is>
          <t>Motion Industries</t>
        </is>
      </c>
      <c r="H132" s="15" t="inlineStr">
        <is>
          <t>35BS20-1/2</t>
        </is>
      </c>
      <c r="I132" s="15" t="inlineStr">
        <is>
          <t>NO</t>
        </is>
      </c>
      <c r="J132" s="18" t="n">
        <v>16.74</v>
      </c>
      <c r="K132" s="14" t="n"/>
      <c r="L132" s="19" t="n"/>
      <c r="M132" s="20" t="n"/>
      <c r="N132" s="21" t="n"/>
      <c r="O132" s="22" t="n"/>
      <c r="P132" s="24" t="n"/>
    </row>
    <row r="133" ht="40.5" customHeight="1">
      <c r="A133" s="14" t="inlineStr">
        <is>
          <t>HP882TAB-4.5IN</t>
        </is>
      </c>
      <c r="B133" s="15" t="n">
        <v>10144633</v>
      </c>
      <c r="C133" s="15" t="inlineStr">
        <is>
          <t>Rexnord</t>
        </is>
      </c>
      <c r="D133" s="15" t="inlineStr">
        <is>
          <t>Rexnord High Performance 882 TAB 4.5" Wide -  Price Checked: 10/05/23</t>
        </is>
      </c>
      <c r="E133" s="15" t="n"/>
      <c r="F133" s="17" t="n"/>
      <c r="G133" s="15" t="inlineStr">
        <is>
          <t>Rexnord</t>
        </is>
      </c>
      <c r="H133" s="15" t="n">
        <v>10144633</v>
      </c>
      <c r="I133" s="15" t="inlineStr">
        <is>
          <t>NO</t>
        </is>
      </c>
      <c r="J133" s="18" t="n">
        <v>31.14</v>
      </c>
      <c r="K133" s="14" t="n"/>
      <c r="L133" s="19" t="n"/>
      <c r="M133" s="20" t="n"/>
      <c r="N133" s="21" t="n"/>
      <c r="O133" s="22" t="n"/>
      <c r="P133" s="24" t="n"/>
    </row>
    <row r="134" ht="40.5" customHeight="1">
      <c r="A134" s="14" t="inlineStr">
        <is>
          <t>HP882TAB-10IN</t>
        </is>
      </c>
      <c r="B134" s="15" t="n">
        <v>10144635</v>
      </c>
      <c r="C134" s="15" t="inlineStr">
        <is>
          <t>Rexnord</t>
        </is>
      </c>
      <c r="D134" s="15" t="inlineStr">
        <is>
          <t>Rexnord High Performance 882 TAB-K1000 -  Price Checked: 4/11/23</t>
        </is>
      </c>
      <c r="E134" s="15" t="n"/>
      <c r="F134" s="17" t="n"/>
      <c r="G134" s="15" t="inlineStr">
        <is>
          <t>Rexnord</t>
        </is>
      </c>
      <c r="H134" s="15" t="n">
        <v>10144635</v>
      </c>
      <c r="I134" s="15" t="inlineStr">
        <is>
          <t>NO</t>
        </is>
      </c>
      <c r="J134" s="18" t="n">
        <v>43.01</v>
      </c>
      <c r="K134" s="14" t="n"/>
      <c r="L134" s="19" t="n"/>
      <c r="M134" s="20" t="n"/>
      <c r="N134" s="21" t="n"/>
      <c r="O134" s="22" t="n"/>
      <c r="P134" s="24" t="n"/>
    </row>
    <row r="135" ht="40.5" customHeight="1">
      <c r="A135" s="14" t="inlineStr">
        <is>
          <t>40BS18-1-1/4</t>
        </is>
      </c>
      <c r="B135" s="15" t="inlineStr">
        <is>
          <t>40BS18</t>
        </is>
      </c>
      <c r="C135" s="15" t="inlineStr">
        <is>
          <t>Martin</t>
        </is>
      </c>
      <c r="D135" s="15" t="inlineStr">
        <is>
          <t>18 Tooth #40 Roller Chain Sprocket with 1-1/4" Dia. Finished Bore - 10/1/2010</t>
        </is>
      </c>
      <c r="E135" s="15" t="n"/>
      <c r="F135" s="17" t="n"/>
      <c r="G135" s="15" t="inlineStr">
        <is>
          <t>Motion Industries</t>
        </is>
      </c>
      <c r="H135" s="15" t="inlineStr">
        <is>
          <t>40BS18</t>
        </is>
      </c>
      <c r="I135" s="15" t="inlineStr">
        <is>
          <t>NO</t>
        </is>
      </c>
      <c r="J135" s="18" t="n">
        <v>13.14</v>
      </c>
      <c r="K135" s="14" t="n"/>
      <c r="L135" s="19" t="n"/>
      <c r="M135" s="20" t="n"/>
      <c r="N135" s="21" t="n"/>
      <c r="O135" s="22" t="n"/>
      <c r="P135" s="24" t="n"/>
    </row>
    <row r="136" ht="40.5" customHeight="1">
      <c r="A136" s="14" t="inlineStr">
        <is>
          <t>ESV371N01SXC</t>
        </is>
      </c>
      <c r="B136" s="15" t="inlineStr">
        <is>
          <t>ESV371N01SXC</t>
        </is>
      </c>
      <c r="C136" s="15" t="inlineStr">
        <is>
          <t>AC Tech</t>
        </is>
      </c>
      <c r="D136" s="15" t="inlineStr">
        <is>
          <t>SM Vector Series Drive: 0.5 HP,120V 1Ø input in NEMA 4 encl.  - Price Checked - 10/14/15</t>
        </is>
      </c>
      <c r="E136" s="15" t="n"/>
      <c r="F136" s="17" t="n"/>
      <c r="G136" s="15" t="inlineStr">
        <is>
          <t>AC Tech</t>
        </is>
      </c>
      <c r="H136" s="15" t="inlineStr">
        <is>
          <t>N/A</t>
        </is>
      </c>
      <c r="I136" s="15" t="inlineStr">
        <is>
          <t>NO</t>
        </is>
      </c>
      <c r="J136" s="18" t="n">
        <v>216</v>
      </c>
      <c r="K136" s="14" t="n"/>
      <c r="L136" s="19" t="n"/>
      <c r="M136" s="20" t="n"/>
      <c r="N136" s="21" t="n"/>
      <c r="O136" s="22" t="n"/>
      <c r="P136" s="24" t="n"/>
    </row>
    <row r="137" ht="40.5" customHeight="1">
      <c r="A137" s="14" t="inlineStr">
        <is>
          <t>59625K75</t>
        </is>
      </c>
      <c r="B137" s="15" t="inlineStr">
        <is>
          <t>59625K75</t>
        </is>
      </c>
      <c r="C137" s="15" t="inlineStr">
        <is>
          <t>McMaster Carr</t>
        </is>
      </c>
      <c r="D137" s="15" t="inlineStr">
        <is>
          <t>Five-Arm Knob 5/16"-18 Thrd Thru, 2-1/4" Dia, Vibration Absorbing - price checked 2.4.14</t>
        </is>
      </c>
      <c r="E137" s="15" t="n"/>
      <c r="F137" s="17" t="inlineStr">
        <is>
          <t>Each</t>
        </is>
      </c>
      <c r="G137" s="15" t="inlineStr">
        <is>
          <t>McMaster-Carr</t>
        </is>
      </c>
      <c r="H137" s="15" t="inlineStr">
        <is>
          <t>59625K75</t>
        </is>
      </c>
      <c r="I137" s="15" t="inlineStr">
        <is>
          <t>NO</t>
        </is>
      </c>
      <c r="J137" s="18" t="n">
        <v>1.43</v>
      </c>
      <c r="K137" s="21" t="n">
        <v>45348</v>
      </c>
      <c r="L137" s="19" t="n">
        <v>0</v>
      </c>
      <c r="M137" s="20" t="n">
        <v>1.43</v>
      </c>
      <c r="N137" s="21" t="n">
        <v>45337</v>
      </c>
      <c r="O137" s="22" t="inlineStr">
        <is>
          <t>, 2/15/2024, 1.2</t>
        </is>
      </c>
      <c r="P137" s="24" t="n"/>
    </row>
    <row r="138" ht="40.5" customHeight="1">
      <c r="A138" s="14" t="inlineStr">
        <is>
          <t>6471K354</t>
        </is>
      </c>
      <c r="B138" s="15" t="inlineStr">
        <is>
          <t>6471K354</t>
        </is>
      </c>
      <c r="C138" s="15">
        <f>#N/A</f>
        <v/>
      </c>
      <c r="D138" s="15" t="inlineStr">
        <is>
          <t xml:space="preserve">6471K354
(Same as 6471K35)
Switch-Ready Aluminum Air Cylinder 2" Bore, 12" Stroke Length
</t>
        </is>
      </c>
      <c r="E138" s="15" t="n"/>
      <c r="F138" s="17" t="inlineStr">
        <is>
          <t>Each</t>
        </is>
      </c>
      <c r="G138" s="15" t="inlineStr">
        <is>
          <t>McMaster-Carr</t>
        </is>
      </c>
      <c r="H138" s="15" t="inlineStr">
        <is>
          <t>6471K354</t>
        </is>
      </c>
      <c r="I138" s="15" t="inlineStr">
        <is>
          <t>NO</t>
        </is>
      </c>
      <c r="J138" s="18" t="n">
        <v>110.73</v>
      </c>
      <c r="K138" s="21" t="n">
        <v>45348</v>
      </c>
      <c r="L138" s="19" t="n">
        <v>0</v>
      </c>
      <c r="M138" s="20" t="n">
        <v>110.73</v>
      </c>
      <c r="N138" s="21" t="n">
        <v>45337</v>
      </c>
      <c r="O138" s="22" t="inlineStr">
        <is>
          <t>, 2/15/2024, 99.74</t>
        </is>
      </c>
      <c r="P138" s="24" t="n"/>
    </row>
    <row r="139" ht="40.5" customHeight="1">
      <c r="A139" s="14" t="inlineStr">
        <is>
          <t>6471K64</t>
        </is>
      </c>
      <c r="B139" s="15" t="inlineStr">
        <is>
          <t>6471K64</t>
        </is>
      </c>
      <c r="C139" s="15" t="inlineStr">
        <is>
          <t>SMC</t>
        </is>
      </c>
      <c r="D139" s="15" t="inlineStr">
        <is>
          <t>SMC Rod Clevis with Pin for 2" &amp; 2-1/2" Bore Switch-Ready Aluminum Air Cylinder - price checked 2.4.14</t>
        </is>
      </c>
      <c r="E139" s="15" t="n"/>
      <c r="F139" s="17" t="inlineStr">
        <is>
          <t>Each</t>
        </is>
      </c>
      <c r="G139" s="15" t="inlineStr">
        <is>
          <t>McMaster-Carr</t>
        </is>
      </c>
      <c r="H139" s="15" t="inlineStr">
        <is>
          <t>6471K64</t>
        </is>
      </c>
      <c r="I139" s="15" t="inlineStr">
        <is>
          <t>NO</t>
        </is>
      </c>
      <c r="J139" s="18" t="n">
        <v>11.66</v>
      </c>
      <c r="K139" s="21" t="n">
        <v>45348</v>
      </c>
      <c r="L139" s="19" t="n">
        <v>0</v>
      </c>
      <c r="M139" s="20" t="n">
        <v>11.66</v>
      </c>
      <c r="N139" s="21" t="n">
        <v>45336</v>
      </c>
      <c r="O139" s="22" t="inlineStr">
        <is>
          <t>, 2/15/2024, 11.66</t>
        </is>
      </c>
      <c r="P139" s="24" t="n"/>
    </row>
    <row r="140" ht="40.5" customHeight="1">
      <c r="A140" s="14" t="inlineStr">
        <is>
          <t>6471K45</t>
        </is>
      </c>
      <c r="B140" s="15" t="inlineStr">
        <is>
          <t>6471K45</t>
        </is>
      </c>
      <c r="C140" s="15" t="inlineStr">
        <is>
          <t>SMC</t>
        </is>
      </c>
      <c r="D140" s="15" t="inlineStr">
        <is>
          <t xml:space="preserve">
Foot Mount Set for 2" Bore Switch-Ready Aluminum Air Cylinder
In stock at $5.12 per Set - checked 2.4.14</t>
        </is>
      </c>
      <c r="E140" s="15" t="n"/>
      <c r="F140" s="17" t="inlineStr">
        <is>
          <t>set</t>
        </is>
      </c>
      <c r="G140" s="15" t="inlineStr">
        <is>
          <t>McMaster-Carr</t>
        </is>
      </c>
      <c r="H140" s="15" t="inlineStr">
        <is>
          <t>6471K45</t>
        </is>
      </c>
      <c r="I140" s="15" t="inlineStr">
        <is>
          <t>NO</t>
        </is>
      </c>
      <c r="J140" s="18" t="n">
        <v>5.12</v>
      </c>
      <c r="K140" s="21" t="n">
        <v>45348</v>
      </c>
      <c r="L140" s="19" t="n">
        <v>0</v>
      </c>
      <c r="M140" s="20" t="n">
        <v>5.12</v>
      </c>
      <c r="N140" s="21" t="n"/>
      <c r="O140" s="22" t="inlineStr">
        <is>
          <t>, 2/15/2024, 5.12</t>
        </is>
      </c>
      <c r="P140" s="24" t="n"/>
    </row>
    <row r="141" ht="40.5" customHeight="1">
      <c r="A141" s="14" t="inlineStr">
        <is>
          <t>D-B53Z</t>
        </is>
      </c>
      <c r="B141" s="15" t="inlineStr">
        <is>
          <t>D-B53Z</t>
        </is>
      </c>
      <c r="C141" s="15">
        <f>#N/A</f>
        <v/>
      </c>
      <c r="D141" s="15" t="inlineStr">
        <is>
          <t>5m Reed Switch</t>
        </is>
      </c>
      <c r="E141" s="15" t="n"/>
      <c r="F141" s="17" t="n"/>
      <c r="G141" s="15" t="inlineStr">
        <is>
          <t>Coast Pneumatics</t>
        </is>
      </c>
      <c r="H141" s="15" t="inlineStr">
        <is>
          <t>N/A</t>
        </is>
      </c>
      <c r="I141" s="15" t="inlineStr">
        <is>
          <t>NO</t>
        </is>
      </c>
      <c r="J141" s="18" t="n">
        <v>25.5</v>
      </c>
      <c r="K141" s="14" t="n"/>
      <c r="L141" s="19" t="n"/>
      <c r="M141" s="20" t="n"/>
      <c r="N141" s="21" t="n"/>
      <c r="O141" s="22" t="n"/>
      <c r="P141" s="24" t="n"/>
    </row>
    <row r="142" ht="40.5" customHeight="1">
      <c r="A142" s="14" t="inlineStr">
        <is>
          <t>4208K193</t>
        </is>
      </c>
      <c r="B142" s="15" t="inlineStr">
        <is>
          <t>4208K193</t>
        </is>
      </c>
      <c r="C142" s="15">
        <f>#N/A</f>
        <v/>
      </c>
      <c r="D142" s="15" t="inlineStr">
        <is>
          <t xml:space="preserve"> Pancake Stainless Steel Tie Rod Air Cylinder 2" Bore, 1" Stroke Length - Price Checked: 2.4.14</t>
        </is>
      </c>
      <c r="E142" s="15" t="n"/>
      <c r="F142" s="17" t="inlineStr">
        <is>
          <t>Each</t>
        </is>
      </c>
      <c r="G142" s="15" t="inlineStr">
        <is>
          <t>McMaster-Carr</t>
        </is>
      </c>
      <c r="H142" s="15" t="inlineStr">
        <is>
          <t>4208K193</t>
        </is>
      </c>
      <c r="I142" s="15" t="inlineStr">
        <is>
          <t>NO</t>
        </is>
      </c>
      <c r="J142" s="18" t="n">
        <v>112.96</v>
      </c>
      <c r="K142" s="21" t="n">
        <v>45348</v>
      </c>
      <c r="L142" s="19" t="n">
        <v>0</v>
      </c>
      <c r="M142" s="20" t="n">
        <v>112.96</v>
      </c>
      <c r="N142" s="21" t="n">
        <v>45337</v>
      </c>
      <c r="O142" s="22" t="inlineStr">
        <is>
          <t>, 2/15/2024, 72.51</t>
        </is>
      </c>
      <c r="P142" s="24" t="n"/>
    </row>
    <row r="143" ht="40.5" customHeight="1">
      <c r="A143" s="14" t="inlineStr">
        <is>
          <t xml:space="preserve"> 17BKS12500PL</t>
        </is>
      </c>
      <c r="B143" s="15" t="inlineStr">
        <is>
          <t xml:space="preserve"> 17BKS12500PL</t>
        </is>
      </c>
      <c r="C143" s="15" t="inlineStr">
        <is>
          <t>Uni-Chains</t>
        </is>
      </c>
      <c r="D143" s="15" t="inlineStr">
        <is>
          <t>1 1/4 Keyway and Set Screw</t>
        </is>
      </c>
      <c r="E143" s="15" t="n"/>
      <c r="F143" s="17" t="n">
        <v>6</v>
      </c>
      <c r="G143" s="15" t="inlineStr">
        <is>
          <t>Uni-Chains</t>
        </is>
      </c>
      <c r="H143" s="15" t="inlineStr">
        <is>
          <t xml:space="preserve"> 17BKS12500PL</t>
        </is>
      </c>
      <c r="I143" s="15" t="inlineStr">
        <is>
          <t>NO</t>
        </is>
      </c>
      <c r="J143" s="18" t="n">
        <v>0</v>
      </c>
      <c r="K143" s="14" t="n"/>
      <c r="L143" s="19" t="n"/>
      <c r="M143" s="20" t="n"/>
      <c r="N143" s="21" t="n"/>
      <c r="O143" s="22" t="n"/>
      <c r="P143" s="24" t="n"/>
    </row>
    <row r="144" ht="40.5" customHeight="1">
      <c r="A144" s="14" t="inlineStr">
        <is>
          <t>6264K51</t>
        </is>
      </c>
      <c r="B144" s="15" t="inlineStr">
        <is>
          <t>6264K51</t>
        </is>
      </c>
      <c r="C144" s="15" t="inlineStr">
        <is>
          <t>Mc-Master Carr</t>
        </is>
      </c>
      <c r="D144" s="15" t="inlineStr">
        <is>
          <t>#35-ss Connecting Link For Stainless Steel Ansi Roller Chain - price checked 2.4.14</t>
        </is>
      </c>
      <c r="E144" s="15" t="n"/>
      <c r="F144" s="17" t="inlineStr">
        <is>
          <t>Each</t>
        </is>
      </c>
      <c r="G144" s="15" t="inlineStr">
        <is>
          <t>McMaster-Carr</t>
        </is>
      </c>
      <c r="H144" s="15" t="inlineStr">
        <is>
          <t>6264K51</t>
        </is>
      </c>
      <c r="I144" s="15" t="inlineStr">
        <is>
          <t>NO</t>
        </is>
      </c>
      <c r="J144" s="18" t="n">
        <v>3.6</v>
      </c>
      <c r="K144" s="21" t="n">
        <v>45348</v>
      </c>
      <c r="L144" s="19" t="n">
        <v>0</v>
      </c>
      <c r="M144" s="20" t="n">
        <v>3.6</v>
      </c>
      <c r="N144" s="21" t="n">
        <v>45336</v>
      </c>
      <c r="O144" s="22" t="inlineStr">
        <is>
          <t>, 2/15/2024, 3.6</t>
        </is>
      </c>
      <c r="P144" s="24" t="n"/>
    </row>
    <row r="145" ht="40.5" customHeight="1">
      <c r="A145" s="14" t="inlineStr">
        <is>
          <t>BF2R-04X2-EZ</t>
        </is>
      </c>
      <c r="B145" s="15">
        <f>#N/A</f>
        <v/>
      </c>
      <c r="C145" s="15">
        <f>#N/A</f>
        <v/>
      </c>
      <c r="D145" s="15" t="inlineStr">
        <is>
          <t>2"D x 4"W x 120"l - PRICE CONFIRMED 5.6.15</t>
        </is>
      </c>
      <c r="E145" s="15" t="n"/>
      <c r="F145" s="17" t="n"/>
      <c r="G145" s="15" t="inlineStr">
        <is>
          <t>ECK Supply</t>
        </is>
      </c>
      <c r="H145" s="15">
        <f>#N/A</f>
        <v/>
      </c>
      <c r="I145" s="15" t="inlineStr">
        <is>
          <t>NO</t>
        </is>
      </c>
      <c r="J145" s="18" t="n">
        <v>56.95</v>
      </c>
      <c r="K145" s="14" t="n"/>
      <c r="L145" s="19" t="n"/>
      <c r="M145" s="20" t="n"/>
      <c r="N145" s="21" t="n"/>
      <c r="O145" s="22" t="n"/>
      <c r="P145" s="24" t="n"/>
    </row>
    <row r="146" ht="40.5" customHeight="1">
      <c r="A146" s="14" t="inlineStr">
        <is>
          <t>MP-S4-H-704-10-34-SS</t>
        </is>
      </c>
      <c r="B146" s="15" t="inlineStr">
        <is>
          <t>MP-S4-H-704-10-34-SS</t>
        </is>
      </c>
      <c r="C146" s="15" t="inlineStr">
        <is>
          <t>Mason Plastic</t>
        </is>
      </c>
      <c r="D146" s="15" t="inlineStr">
        <is>
          <t>4" Adjustable Leveler w/ skinned over lag holes L 10" x 3/4-10 thread, SS,  Hex metal ball.
Max Load 2600 lbs. - Price Confirmed 8/27/14 - (200 Bought)</t>
        </is>
      </c>
      <c r="E146" s="15" t="n"/>
      <c r="F146" s="17" t="n"/>
      <c r="G146" s="15" t="inlineStr">
        <is>
          <t>Mason Plastic</t>
        </is>
      </c>
      <c r="H146" s="15" t="inlineStr">
        <is>
          <t>MP-S4-H-704-10-34-SS</t>
        </is>
      </c>
      <c r="I146" s="15" t="inlineStr">
        <is>
          <t>NO</t>
        </is>
      </c>
      <c r="J146" s="18" t="n">
        <v>17.44</v>
      </c>
      <c r="K146" s="14" t="n"/>
      <c r="L146" s="19" t="n"/>
      <c r="M146" s="20" t="n"/>
      <c r="N146" s="21" t="n"/>
      <c r="O146" s="22" t="n"/>
      <c r="P146" s="24" t="n"/>
    </row>
    <row r="147" ht="40.5" customHeight="1">
      <c r="A147" s="14" t="inlineStr">
        <is>
          <t>6MN05</t>
        </is>
      </c>
      <c r="B147" s="15" t="inlineStr">
        <is>
          <t>6MN05</t>
        </is>
      </c>
      <c r="C147" s="15" t="inlineStr">
        <is>
          <t>APPROVED VENDOR</t>
        </is>
      </c>
      <c r="D147" s="15" t="inlineStr">
        <is>
          <t>Male Connector, Push To Connect, Tube Size 3/8 In, Pipe Size 1/4 In, Tube x MNPT Connection, Material of Construction Nickel Plated Brass, Outside Dia .188 In, Thread Size 1/4 In, Pressure (PSI) 250, Temp Range 0 To 160 Deg F, Package Quantity 10</t>
        </is>
      </c>
      <c r="E147" s="15" t="n">
        <v>10</v>
      </c>
      <c r="F147" s="17" t="inlineStr">
        <is>
          <t>pkg. of</t>
        </is>
      </c>
      <c r="G147" s="15" t="inlineStr">
        <is>
          <t>Grainger</t>
        </is>
      </c>
      <c r="H147" s="15" t="inlineStr">
        <is>
          <t>6MN05</t>
        </is>
      </c>
      <c r="I147" s="15" t="inlineStr">
        <is>
          <t>NO</t>
        </is>
      </c>
      <c r="J147" s="18" t="n">
        <v>52.47</v>
      </c>
      <c r="K147" s="21" t="n">
        <v>45348</v>
      </c>
      <c r="L147" s="19" t="n">
        <v>0.454354869449209</v>
      </c>
      <c r="M147" s="20" t="n">
        <v>28.63</v>
      </c>
      <c r="N147" s="21" t="n"/>
      <c r="O147" s="22" t="inlineStr">
        <is>
          <t>, 2/15/2024, 28.63</t>
        </is>
      </c>
      <c r="P147" s="24" t="n"/>
    </row>
    <row r="148" ht="40.5" customHeight="1">
      <c r="A148" s="14" t="inlineStr">
        <is>
          <t>1AJP6</t>
        </is>
      </c>
      <c r="B148" s="15" t="inlineStr">
        <is>
          <t>W169PLP-6-4</t>
        </is>
      </c>
      <c r="C148" s="15" t="inlineStr">
        <is>
          <t>PARKER</t>
        </is>
      </c>
      <c r="D148"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48" s="15" t="n">
        <v>10</v>
      </c>
      <c r="F148" s="17" t="inlineStr">
        <is>
          <t>per Pack</t>
        </is>
      </c>
      <c r="G148" s="15" t="inlineStr">
        <is>
          <t>Grainger</t>
        </is>
      </c>
      <c r="H148" s="15" t="inlineStr">
        <is>
          <t>1AJP6</t>
        </is>
      </c>
      <c r="I148" s="15" t="inlineStr">
        <is>
          <t>NO</t>
        </is>
      </c>
      <c r="J148" s="18" t="n">
        <v>0</v>
      </c>
      <c r="K148" s="21" t="n">
        <v>45448</v>
      </c>
      <c r="L148" s="19" t="n"/>
      <c r="M148" s="31" t="n">
        <v>10.8</v>
      </c>
      <c r="N148" s="21" t="n">
        <v>45425</v>
      </c>
      <c r="O148" s="22" t="inlineStr">
        <is>
          <t>, 2/15/2024, 54.08, 5/13/2024, 10.8, 6/5/2024, 0</t>
        </is>
      </c>
      <c r="P148" s="24" t="n"/>
    </row>
    <row r="149" ht="40.5" customHeight="1">
      <c r="A149" s="14" t="inlineStr">
        <is>
          <t>4HM10</t>
        </is>
      </c>
      <c r="B149" s="15" t="inlineStr">
        <is>
          <t>N38-NA</t>
        </is>
      </c>
      <c r="C149" s="15" t="inlineStr">
        <is>
          <t>ATP</t>
        </is>
      </c>
      <c r="D149" s="15" t="inlineStr">
        <is>
          <t>Tubing, Inside Dia. .275 In, Outside Dia. 3/8 In, Material of Construction Nylon, Wall Thickness .050 In, Temp. Range -60 to 200 F, Max. Pressure 250 PSI, Burst Pressure 750 PSI, Length 100 Ft., Color Natural</t>
        </is>
      </c>
      <c r="E149" s="15" t="n">
        <v>1</v>
      </c>
      <c r="F149" s="17" t="inlineStr">
        <is>
          <t>each</t>
        </is>
      </c>
      <c r="G149" s="15" t="inlineStr">
        <is>
          <t>Grainger</t>
        </is>
      </c>
      <c r="H149" s="15" t="inlineStr">
        <is>
          <t>4HM10</t>
        </is>
      </c>
      <c r="I149" s="15" t="inlineStr">
        <is>
          <t>NO</t>
        </is>
      </c>
      <c r="J149" s="18" t="n">
        <v>134.63</v>
      </c>
      <c r="K149" s="21" t="n">
        <v>45348</v>
      </c>
      <c r="L149" s="19" t="n">
        <v>0.478348065067221</v>
      </c>
      <c r="M149" s="20" t="n">
        <v>70.23</v>
      </c>
      <c r="N149" s="21" t="n"/>
      <c r="O149" s="22" t="inlineStr">
        <is>
          <t>, 2/15/2024, 70.23</t>
        </is>
      </c>
      <c r="P149" s="24" t="n"/>
    </row>
    <row r="150" ht="40.5" customHeight="1">
      <c r="A150" s="14" t="inlineStr">
        <is>
          <t>6243K53</t>
        </is>
      </c>
      <c r="B150" s="15" t="inlineStr">
        <is>
          <t>6243K53</t>
        </is>
      </c>
      <c r="C150" s="15" t="inlineStr">
        <is>
          <t>Mc-Master Carr</t>
        </is>
      </c>
      <c r="D150" s="15" t="inlineStr">
        <is>
          <t>Spoked Nylon Dished Hand Wheel, Revolving Handle, 6-5/16" Wheel Diameter, 13/32" Hole Diameter - price checked 4/5/22</t>
        </is>
      </c>
      <c r="E150" s="15" t="n"/>
      <c r="F150" s="17" t="inlineStr">
        <is>
          <t>Each</t>
        </is>
      </c>
      <c r="G150" s="15" t="inlineStr">
        <is>
          <t>McMaster-Carr</t>
        </is>
      </c>
      <c r="H150" s="15" t="inlineStr">
        <is>
          <t>6243K53</t>
        </is>
      </c>
      <c r="I150" s="15" t="inlineStr">
        <is>
          <t>NO</t>
        </is>
      </c>
      <c r="J150" s="18" t="n">
        <v>49.44</v>
      </c>
      <c r="K150" s="21" t="n">
        <v>45348</v>
      </c>
      <c r="L150" s="19" t="n">
        <v>0</v>
      </c>
      <c r="M150" s="20" t="n">
        <v>49.44</v>
      </c>
      <c r="N150" s="21" t="n">
        <v>45336</v>
      </c>
      <c r="O150" s="22" t="inlineStr">
        <is>
          <t>, 2/15/2024, 49.44</t>
        </is>
      </c>
      <c r="P150" s="24" t="n"/>
    </row>
    <row r="151" ht="40.5" customHeight="1">
      <c r="A151" s="14" t="inlineStr">
        <is>
          <t>2345K184</t>
        </is>
      </c>
      <c r="B151" s="15" t="inlineStr">
        <is>
          <t>2345K184</t>
        </is>
      </c>
      <c r="C151" s="15" t="inlineStr">
        <is>
          <t>Mc-Master Carr</t>
        </is>
      </c>
      <c r="D151" s="15" t="inlineStr">
        <is>
          <t xml:space="preserve">Stainless Steel Finished-Bore Sprockets for #35 Chain, 3/8" Pitch, 16 Teeth, 3/4" Bore - price checked 12.29.15
</t>
        </is>
      </c>
      <c r="E151" s="15" t="n"/>
      <c r="F151" s="17" t="inlineStr">
        <is>
          <t>Each</t>
        </is>
      </c>
      <c r="G151" s="15" t="inlineStr">
        <is>
          <t>McMaster-Carr</t>
        </is>
      </c>
      <c r="H151" s="15" t="inlineStr">
        <is>
          <t>2345K184</t>
        </is>
      </c>
      <c r="I151" s="15" t="inlineStr">
        <is>
          <t>NO</t>
        </is>
      </c>
      <c r="J151" s="18" t="n">
        <v>129.9</v>
      </c>
      <c r="K151" s="21" t="n">
        <v>45348</v>
      </c>
      <c r="L151" s="19" t="n">
        <v>0</v>
      </c>
      <c r="M151" s="20" t="n">
        <v>129.9</v>
      </c>
      <c r="N151" s="21" t="n">
        <v>45336</v>
      </c>
      <c r="O151" s="22" t="inlineStr">
        <is>
          <t>, 2/15/2024, 129.9</t>
        </is>
      </c>
      <c r="P151" s="24" t="n"/>
    </row>
    <row r="152" ht="40.5" customHeight="1">
      <c r="A152" s="14" t="inlineStr">
        <is>
          <t>6264K401</t>
        </is>
      </c>
      <c r="B152" s="15" t="inlineStr">
        <is>
          <t>6264K401</t>
        </is>
      </c>
      <c r="C152" s="15" t="inlineStr">
        <is>
          <t>Mc-Master Carr</t>
        </is>
      </c>
      <c r="D152" s="15" t="inlineStr">
        <is>
          <t>Stainless Steel ANSI Roller Chain #35SS, Single Strand, 3/8" Pitch, Rollerless,.2" D, 20'L - Price Confirmed: 03.31.14</t>
        </is>
      </c>
      <c r="E152" s="15" t="n"/>
      <c r="F152" s="17" t="n"/>
      <c r="G152" s="15" t="inlineStr">
        <is>
          <t>McMaster-Carr</t>
        </is>
      </c>
      <c r="H152" s="15" t="inlineStr">
        <is>
          <t>6264K401</t>
        </is>
      </c>
      <c r="I152" s="15" t="inlineStr">
        <is>
          <t>NO</t>
        </is>
      </c>
      <c r="J152" s="18" t="n">
        <v>0</v>
      </c>
      <c r="K152" s="21" t="n">
        <v>45348</v>
      </c>
      <c r="L152" s="19" t="n"/>
      <c r="M152" s="20" t="n">
        <v>309.6</v>
      </c>
      <c r="N152" s="21" t="n"/>
      <c r="O152" s="22" t="inlineStr">
        <is>
          <t>, 2/15/2024, 0</t>
        </is>
      </c>
      <c r="P152" s="24" t="n"/>
    </row>
    <row r="153" ht="40.5" customHeight="1">
      <c r="A153" s="14" t="inlineStr">
        <is>
          <t>90145A510</t>
        </is>
      </c>
      <c r="B153" s="15" t="inlineStr">
        <is>
          <t>90145A510</t>
        </is>
      </c>
      <c r="C153" s="15" t="inlineStr">
        <is>
          <t>Mc-Master Carr</t>
        </is>
      </c>
      <c r="D153" s="15" t="inlineStr">
        <is>
          <t>18-8 Stainless Steel Dowel Pin 3/16" Diameter, 1" Length, packs of 20 - price per pack 2.5.14</t>
        </is>
      </c>
      <c r="E153" s="15" t="n">
        <v>20</v>
      </c>
      <c r="F153" s="17" t="inlineStr">
        <is>
          <t>pack</t>
        </is>
      </c>
      <c r="G153" s="15" t="inlineStr">
        <is>
          <t>McMaster-Carr</t>
        </is>
      </c>
      <c r="H153" s="15" t="inlineStr">
        <is>
          <t>90145A510</t>
        </is>
      </c>
      <c r="I153" s="15" t="inlineStr">
        <is>
          <t>NO</t>
        </is>
      </c>
      <c r="J153" s="18" t="n">
        <v>9.31</v>
      </c>
      <c r="K153" s="21" t="n">
        <v>45348</v>
      </c>
      <c r="L153" s="19" t="n">
        <v>0</v>
      </c>
      <c r="M153" s="20" t="n">
        <v>9.31</v>
      </c>
      <c r="N153" s="21" t="n">
        <v>45336</v>
      </c>
      <c r="O153" s="22" t="inlineStr">
        <is>
          <t>, 2/15/2024, 9.31</t>
        </is>
      </c>
      <c r="P153" s="24" t="n"/>
    </row>
    <row r="154" ht="40.5" customHeight="1">
      <c r="A154" s="14" t="inlineStr">
        <is>
          <t>HWDHBLDS3</t>
        </is>
      </c>
      <c r="B154" s="15" t="inlineStr">
        <is>
          <t>N/A</t>
        </is>
      </c>
      <c r="C154" s="15" t="inlineStr">
        <is>
          <t>Hubbel</t>
        </is>
      </c>
      <c r="D154" s="15" t="inlineStr">
        <is>
          <t>30 AMP SWITCHED ENCLOSURE - Non Fusible; 480 Vac 1 Phase, 600 Vac 3 Phase; 30 Ampere; Power Rating 1 HP At 120 Vac 1 Phase, 2.5 HP At 208 to 240 Vac 1 Phase, 5 HP At 480 Vac 1 Phase, 5 HP At 208 to 240 Vac 3 Phase, 10 HP At 480/600 Vac 3 Phase; Lockable Rotary Handle Operator - Price Checked: 04/10/13</t>
        </is>
      </c>
      <c r="E154" s="15" t="n"/>
      <c r="F154" s="17" t="n"/>
      <c r="G154" s="15" t="inlineStr">
        <is>
          <t>Eck Supply</t>
        </is>
      </c>
      <c r="H154" s="15" t="inlineStr">
        <is>
          <t>N/A</t>
        </is>
      </c>
      <c r="I154" s="15" t="inlineStr">
        <is>
          <t>NO</t>
        </is>
      </c>
      <c r="J154" s="18" t="n">
        <v>169</v>
      </c>
      <c r="K154" s="14" t="n"/>
      <c r="L154" s="19" t="n"/>
      <c r="M154" s="20" t="n"/>
      <c r="N154" s="21" t="n"/>
      <c r="O154" s="22" t="n"/>
      <c r="P154" s="24" t="n"/>
    </row>
    <row r="155" ht="40.5" customHeight="1">
      <c r="A155" s="14" t="inlineStr">
        <is>
          <t>2DPE4</t>
        </is>
      </c>
      <c r="B155" s="15" t="inlineStr">
        <is>
          <t>SEC50BA</t>
        </is>
      </c>
      <c r="C155" s="15" t="inlineStr">
        <is>
          <t>HUBBELL WIRING DEVICE-KELLEMS</t>
        </is>
      </c>
      <c r="D155" s="15" t="inlineStr">
        <is>
          <t>Cord Connector, NPT Type, Straight and Low Profile, Color Black, Cord Dia 0.17-0.45 In, Length 1.70 In, Conduit Size 1/2 In, Min Throat Dia 0.17 In, Material of Construction Nylon, Standards UL/CSA/VDE - Price Checked: 3/4/13</t>
        </is>
      </c>
      <c r="E155" s="15" t="n">
        <v>1</v>
      </c>
      <c r="F155" s="17" t="inlineStr">
        <is>
          <t>each</t>
        </is>
      </c>
      <c r="G155" s="15" t="inlineStr">
        <is>
          <t>Grainger</t>
        </is>
      </c>
      <c r="H155" s="15" t="inlineStr">
        <is>
          <t>2DPE4</t>
        </is>
      </c>
      <c r="I155" s="15" t="inlineStr">
        <is>
          <t>NO</t>
        </is>
      </c>
      <c r="J155" s="18" t="n">
        <v>4.25</v>
      </c>
      <c r="K155" s="21" t="n">
        <v>45348</v>
      </c>
      <c r="L155" s="19" t="n">
        <v>0.543529411764706</v>
      </c>
      <c r="M155" s="20" t="n">
        <v>1.94</v>
      </c>
      <c r="N155" s="21" t="n"/>
      <c r="O155" s="22" t="inlineStr">
        <is>
          <t>, 2/15/2024, 1.94</t>
        </is>
      </c>
      <c r="P155" s="24" t="n"/>
    </row>
    <row r="156" ht="40.5" customHeight="1">
      <c r="A156" s="14" t="inlineStr">
        <is>
          <t>HP880TAB-3.25IN</t>
        </is>
      </c>
      <c r="B156" s="15" t="n">
        <v>81400061</v>
      </c>
      <c r="C156" s="15" t="inlineStr">
        <is>
          <t>Rexnord</t>
        </is>
      </c>
      <c r="D156" s="15" t="inlineStr">
        <is>
          <t>HP880TK3.25 - Rexnord High Perfomance Chain - Price Confirmed: 12/5/22</t>
        </is>
      </c>
      <c r="E156" s="15" t="n"/>
      <c r="F156" s="17" t="n"/>
      <c r="G156" s="15" t="inlineStr">
        <is>
          <t>Rexnord</t>
        </is>
      </c>
      <c r="H156" s="15" t="inlineStr">
        <is>
          <t>HP880TAB-3.25IN</t>
        </is>
      </c>
      <c r="I156" s="15" t="inlineStr">
        <is>
          <t>NO</t>
        </is>
      </c>
      <c r="J156" s="18" t="n">
        <v>15.45</v>
      </c>
      <c r="K156" s="14" t="n"/>
      <c r="L156" s="19" t="n"/>
      <c r="M156" s="20" t="n"/>
      <c r="N156" s="21" t="n"/>
      <c r="O156" s="22" t="n"/>
      <c r="P156" s="24" t="n"/>
    </row>
    <row r="157" ht="40.5" customHeight="1">
      <c r="A157" s="14" t="inlineStr">
        <is>
          <t>E4-4169-339TG-BRK4</t>
        </is>
      </c>
      <c r="B157" s="15" t="inlineStr">
        <is>
          <t>E4-4169-339TG-BRK4</t>
        </is>
      </c>
      <c r="C157" s="15" t="inlineStr">
        <is>
          <t>Allied Caster</t>
        </is>
      </c>
      <c r="D157" s="15" t="inlineStr">
        <is>
          <t xml:space="preserve">  4"x2" phenolic wheel w/ roller bearing and bushing  5-5/8" overall height   800lbs load rating   Comes w/ metal thread guards and a total locking brake.  Swivel fork w/ 4"x4.5" top plate. 3"x3" bolt hole spacings - PRICE CONFIRMED 8/9/13</t>
        </is>
      </c>
      <c r="E157" s="15" t="n"/>
      <c r="F157" s="17" t="n">
        <v>6</v>
      </c>
      <c r="G157" s="15" t="inlineStr">
        <is>
          <t>Allied Caster</t>
        </is>
      </c>
      <c r="H157" s="15" t="inlineStr">
        <is>
          <t>N/A</t>
        </is>
      </c>
      <c r="I157" s="15" t="inlineStr">
        <is>
          <t>NO</t>
        </is>
      </c>
      <c r="J157" s="18" t="n">
        <v>19.57</v>
      </c>
      <c r="K157" s="14" t="n"/>
      <c r="L157" s="19" t="n"/>
      <c r="M157" s="20" t="n"/>
      <c r="N157" s="21" t="n"/>
      <c r="O157" s="22" t="n"/>
      <c r="P157" s="24" t="n"/>
    </row>
    <row r="158" ht="40.5" customHeight="1">
      <c r="A158" s="14" t="inlineStr">
        <is>
          <t>SA47DRE80M4</t>
        </is>
      </c>
      <c r="B158" s="15" t="inlineStr">
        <is>
          <t>SA47DRE80M4</t>
        </is>
      </c>
      <c r="C158" s="15" t="inlineStr">
        <is>
          <t>SEW-Eurodrive</t>
        </is>
      </c>
      <c r="D158" s="15" t="inlineStr">
        <is>
          <t xml:space="preserve">SEW-Eurodrive __ HP - __ RPM - __ Ratio - 230/460 VAC - 1-1/4" dia. hollow bore - M__ Mount - __ TB Position - __ Cable Entry </t>
        </is>
      </c>
      <c r="E158" s="15" t="n"/>
      <c r="F158" s="17" t="n"/>
      <c r="G158" s="15" t="inlineStr">
        <is>
          <t>SEW-Eurodrive</t>
        </is>
      </c>
      <c r="H158" s="15" t="inlineStr">
        <is>
          <t>N/A</t>
        </is>
      </c>
      <c r="I158" s="15" t="inlineStr">
        <is>
          <t>NO</t>
        </is>
      </c>
      <c r="J158" s="18" t="n">
        <v>0</v>
      </c>
      <c r="K158" s="14" t="n"/>
      <c r="L158" s="19" t="n"/>
      <c r="M158" s="20" t="n"/>
      <c r="N158" s="21" t="n"/>
      <c r="O158" s="22" t="n"/>
      <c r="P158" s="24" t="n"/>
    </row>
    <row r="159" ht="40.5" customHeight="1">
      <c r="A159" s="14" t="inlineStr">
        <is>
          <t>6305K94</t>
        </is>
      </c>
      <c r="B159" s="15" t="inlineStr">
        <is>
          <t>6305K94</t>
        </is>
      </c>
      <c r="C159" s="15" t="inlineStr">
        <is>
          <t>McMaster Carr</t>
        </is>
      </c>
      <c r="D159" s="15" t="inlineStr">
        <is>
          <t>Nylon Contemporary Style Adjustable Handle, 5/16"-18 X 9/16" D Thread, 3-1/16" L Handle, Orange</t>
        </is>
      </c>
      <c r="E159" s="15" t="n"/>
      <c r="F159" s="17" t="inlineStr">
        <is>
          <t>Each</t>
        </is>
      </c>
      <c r="G159" s="15" t="inlineStr">
        <is>
          <t>McMaster-Carr</t>
        </is>
      </c>
      <c r="H159" s="15" t="inlineStr">
        <is>
          <t>6305K94</t>
        </is>
      </c>
      <c r="I159" s="15" t="inlineStr">
        <is>
          <t>NO</t>
        </is>
      </c>
      <c r="J159" s="18" t="n">
        <v>8.289999999999999</v>
      </c>
      <c r="K159" s="21" t="n">
        <v>45348</v>
      </c>
      <c r="L159" s="19" t="n">
        <v>0</v>
      </c>
      <c r="M159" s="20" t="n">
        <v>8.289999999999999</v>
      </c>
      <c r="N159" s="21" t="n">
        <v>45336</v>
      </c>
      <c r="O159" s="22" t="inlineStr">
        <is>
          <t>, 2/15/2024, 8.29</t>
        </is>
      </c>
      <c r="P159" s="24" t="n"/>
    </row>
    <row r="160" ht="40.5" customHeight="1">
      <c r="A160" s="14" t="inlineStr">
        <is>
          <t>MP-S2-H-704-7-58-SS</t>
        </is>
      </c>
      <c r="B160" s="15" t="inlineStr">
        <is>
          <t>MP-S2-H-704-7-58-SS</t>
        </is>
      </c>
      <c r="C160" s="15" t="inlineStr">
        <is>
          <t>Mason Plastics</t>
        </is>
      </c>
      <c r="D160" s="15" t="inlineStr">
        <is>
          <t>4" Adjustable Leveler w/Hex Metal Ball, 7" L x 5/8-11 thread, Stainless Steel
Rod, 2 lag holes. Max load 2600 lbs.  - Price Checked: 2/25/13</t>
        </is>
      </c>
      <c r="E160" s="15" t="n"/>
      <c r="F160" s="17" t="n"/>
      <c r="G160" s="15" t="inlineStr">
        <is>
          <t>Mason Plastics</t>
        </is>
      </c>
      <c r="H160" s="15" t="inlineStr">
        <is>
          <t>MP-S2-H-704-7-58-SS</t>
        </is>
      </c>
      <c r="I160" s="15" t="inlineStr">
        <is>
          <t>NO</t>
        </is>
      </c>
      <c r="J160" s="18" t="n">
        <v>11.19</v>
      </c>
      <c r="K160" s="14" t="n"/>
      <c r="L160" s="19" t="n"/>
      <c r="M160" s="20" t="n"/>
      <c r="N160" s="21" t="n"/>
      <c r="O160" s="22" t="n"/>
      <c r="P160" s="24" t="n"/>
    </row>
    <row r="161" ht="40.5" customHeight="1">
      <c r="A161" s="14" t="inlineStr">
        <is>
          <t>1A326</t>
        </is>
      </c>
      <c r="B161" s="15" t="inlineStr">
        <is>
          <t>1A326</t>
        </is>
      </c>
      <c r="C161" s="15" t="inlineStr">
        <is>
          <t>SpeedAire</t>
        </is>
      </c>
      <c r="D161" s="15" t="inlineStr">
        <is>
          <t>Exhaust Muffler, NPT 1/4 Inch, Hex 9/16 Inch, Length 1 3/8 Inches</t>
        </is>
      </c>
      <c r="E161" s="15" t="n"/>
      <c r="F161" s="17" t="n">
        <v>0</v>
      </c>
      <c r="G161" s="15" t="inlineStr">
        <is>
          <t>Zoro</t>
        </is>
      </c>
      <c r="H161" s="15" t="inlineStr">
        <is>
          <t>1A326</t>
        </is>
      </c>
      <c r="I161" s="15" t="inlineStr">
        <is>
          <t>NO</t>
        </is>
      </c>
      <c r="J161" s="18" t="n">
        <v>2.45</v>
      </c>
      <c r="K161" s="14" t="n"/>
      <c r="L161" s="19" t="n"/>
      <c r="M161" s="20" t="n"/>
      <c r="N161" s="21" t="n"/>
      <c r="O161" s="22" t="n"/>
      <c r="P161" s="24" t="n"/>
    </row>
    <row r="162" ht="40.5" customHeight="1">
      <c r="A162" s="14" t="inlineStr">
        <is>
          <t>614-181-3</t>
        </is>
      </c>
      <c r="B162" s="15" t="inlineStr">
        <is>
          <t>614-181-3</t>
        </is>
      </c>
      <c r="C162" s="15" t="inlineStr">
        <is>
          <t>Rexnord</t>
        </is>
      </c>
      <c r="D162" s="15" t="inlineStr">
        <is>
          <t>NS1500 Thermoplastic Split Sprocket 32T w/ 1.25" Round Bore w/ KWSS</t>
        </is>
      </c>
      <c r="E162" s="15" t="n"/>
      <c r="F162" s="17" t="n"/>
      <c r="G162" s="15" t="inlineStr">
        <is>
          <t>Rexnord</t>
        </is>
      </c>
      <c r="H162" s="15" t="inlineStr">
        <is>
          <t>N/A</t>
        </is>
      </c>
      <c r="I162" s="15" t="inlineStr">
        <is>
          <t>NO</t>
        </is>
      </c>
      <c r="J162" s="18" t="n">
        <v>30.92</v>
      </c>
      <c r="K162" s="14" t="n"/>
      <c r="L162" s="19" t="n"/>
      <c r="M162" s="20" t="n"/>
      <c r="N162" s="21" t="n"/>
      <c r="O162" s="22" t="n"/>
      <c r="P162" s="24" t="n"/>
    </row>
    <row r="163" ht="40.5" customHeight="1">
      <c r="A163" s="14" t="inlineStr">
        <is>
          <t>SA47-SPACER</t>
        </is>
      </c>
      <c r="B163" s="15" t="inlineStr">
        <is>
          <t>SA47-SPACER</t>
        </is>
      </c>
      <c r="C163" s="15" t="inlineStr">
        <is>
          <t>Advantage Conveyor, Inc.</t>
        </is>
      </c>
      <c r="D163" s="15" t="inlineStr">
        <is>
          <t>Advantage Conveyor SA47DT7xxx Motor Mount Spacer</t>
        </is>
      </c>
      <c r="E163" s="15" t="n"/>
      <c r="F163" s="17" t="n"/>
      <c r="G163" s="15" t="inlineStr">
        <is>
          <t>Advantage Conveyor, Inc.</t>
        </is>
      </c>
      <c r="H163" s="15" t="inlineStr">
        <is>
          <t>N/A</t>
        </is>
      </c>
      <c r="I163" s="15" t="inlineStr">
        <is>
          <t>NO</t>
        </is>
      </c>
      <c r="J163" s="18" t="n">
        <v>2.15</v>
      </c>
      <c r="K163" s="14" t="n"/>
      <c r="L163" s="19" t="n"/>
      <c r="M163" s="20" t="n"/>
      <c r="N163" s="21" t="n"/>
      <c r="O163" s="22" t="n"/>
      <c r="P163" s="24" t="n"/>
    </row>
    <row r="164" ht="40.5" customHeight="1">
      <c r="A164" s="14" t="inlineStr">
        <is>
          <t>2DZG6</t>
        </is>
      </c>
      <c r="B164" s="15" t="inlineStr">
        <is>
          <t>31622003L</t>
        </is>
      </c>
      <c r="C164" s="15" t="inlineStr">
        <is>
          <t>HUBBELL WIRING DEVICE-KELLEMS</t>
        </is>
      </c>
      <c r="D164" s="15" t="inlineStr">
        <is>
          <t>Cord Connector Locknut, Non-metallic, Hub Size 1/2 In, Material of Construction Nylon</t>
        </is>
      </c>
      <c r="E164" s="15" t="n">
        <v>1</v>
      </c>
      <c r="F164" s="17" t="inlineStr">
        <is>
          <t>each</t>
        </is>
      </c>
      <c r="G164" s="15" t="inlineStr">
        <is>
          <t>Grainger</t>
        </is>
      </c>
      <c r="H164" s="15" t="inlineStr">
        <is>
          <t>2DZG6</t>
        </is>
      </c>
      <c r="I164" s="15" t="inlineStr">
        <is>
          <t>NO</t>
        </is>
      </c>
      <c r="J164" s="18" t="n">
        <v>0.72</v>
      </c>
      <c r="K164" s="21" t="n">
        <v>45348</v>
      </c>
      <c r="L164" s="19" t="n">
        <v>0.152777777777778</v>
      </c>
      <c r="M164" s="20" t="n">
        <v>0.61</v>
      </c>
      <c r="N164" s="21" t="n"/>
      <c r="O164" s="22" t="inlineStr">
        <is>
          <t>, 2/15/2024, 0.61</t>
        </is>
      </c>
      <c r="P164" s="24" t="n"/>
    </row>
    <row r="165" ht="38.25" customHeight="1">
      <c r="A165" s="14" t="inlineStr">
        <is>
          <t>2-35-0562-02-ANL</t>
        </is>
      </c>
      <c r="B165" s="15" t="inlineStr">
        <is>
          <t>2-35-0562-02-ANL</t>
        </is>
      </c>
      <c r="C165" s="15" t="inlineStr">
        <is>
          <t>Stearns</t>
        </is>
      </c>
      <c r="D165" s="15" t="inlineStr">
        <is>
          <t>Stearns Super Mod Clutch Brake (Model # SM-1020WD) - 56C- 115 VAC</t>
        </is>
      </c>
      <c r="E165" s="15" t="n"/>
      <c r="F165" s="17" t="n"/>
      <c r="G165" s="15" t="inlineStr">
        <is>
          <t>Motion Industries</t>
        </is>
      </c>
      <c r="H165" s="15" t="inlineStr">
        <is>
          <t>N/A</t>
        </is>
      </c>
      <c r="I165" s="15" t="inlineStr">
        <is>
          <t>NO</t>
        </is>
      </c>
      <c r="J165" s="18" t="n">
        <v>1359.17</v>
      </c>
      <c r="K165" s="14" t="n"/>
      <c r="L165" s="19" t="n"/>
      <c r="M165" s="20" t="n"/>
      <c r="N165" s="21" t="n"/>
      <c r="O165" s="22" t="n"/>
      <c r="P165" s="24" t="n"/>
    </row>
    <row r="166" ht="40.5" customHeight="1">
      <c r="A166" s="14" t="inlineStr">
        <is>
          <t>1PFG1</t>
        </is>
      </c>
      <c r="B166" s="15" t="inlineStr">
        <is>
          <t>3175 56 14</t>
        </is>
      </c>
      <c r="C166" s="15" t="inlineStr">
        <is>
          <t>Legris</t>
        </is>
      </c>
      <c r="D166" s="15" t="inlineStr">
        <is>
          <t>Male Connector, Push To Connect, Tube Size 1/4 In, Pipe Size 1/4 In, Tube To MNPT Connection, Material of Construction Nickel Plated Brass, Hex Size 14mm, Pressure (PSI) 290, Temp Range -4 To 175 Deg F</t>
        </is>
      </c>
      <c r="E166" s="15" t="n">
        <v>10</v>
      </c>
      <c r="F166" s="17" t="inlineStr">
        <is>
          <t>pkg. of</t>
        </is>
      </c>
      <c r="G166" s="15" t="inlineStr">
        <is>
          <t>Grainger</t>
        </is>
      </c>
      <c r="H166" s="15" t="inlineStr">
        <is>
          <t>1PFG1</t>
        </is>
      </c>
      <c r="I166" s="15" t="inlineStr">
        <is>
          <t>NO</t>
        </is>
      </c>
      <c r="J166" s="18" t="n">
        <v>49.36</v>
      </c>
      <c r="K166" s="21" t="n">
        <v>45413</v>
      </c>
      <c r="L166" s="19" t="n">
        <v>0.281807131280389</v>
      </c>
      <c r="M166" s="20" t="n">
        <v>35.45</v>
      </c>
      <c r="N166" s="21" t="n"/>
      <c r="O166" s="22" t="inlineStr">
        <is>
          <t>, 2/15/2024, 35.45, 2/26/2024, 49.36</t>
        </is>
      </c>
      <c r="P166" s="24" t="n"/>
    </row>
    <row r="167" ht="40.5" customHeight="1">
      <c r="A167" s="14" t="inlineStr">
        <is>
          <t>1PFG2</t>
        </is>
      </c>
      <c r="B167" s="15" t="inlineStr">
        <is>
          <t>3175 56 18</t>
        </is>
      </c>
      <c r="C167" s="15" t="inlineStr">
        <is>
          <t>Legris</t>
        </is>
      </c>
      <c r="D167" s="15" t="inlineStr">
        <is>
          <t>Male Connector, Push To Connect, Tube Size 1/4 In, Pipe Size 3/8 In, Tube To MNPT Connection, Material of Construction Nickel Plated Brass, Hex Size 18mm, Pressure (PSI) 290, Temp Range -4 To 175 Deg F,</t>
        </is>
      </c>
      <c r="E167" s="15" t="n">
        <v>10</v>
      </c>
      <c r="F167" s="17" t="inlineStr">
        <is>
          <t>pkg. of</t>
        </is>
      </c>
      <c r="G167" s="15" t="inlineStr">
        <is>
          <t>Grainger</t>
        </is>
      </c>
      <c r="H167" s="15" t="inlineStr">
        <is>
          <t>1PFG2</t>
        </is>
      </c>
      <c r="I167" s="15" t="inlineStr">
        <is>
          <t>NO</t>
        </is>
      </c>
      <c r="J167" s="18" t="n">
        <v>63.49</v>
      </c>
      <c r="K167" s="21" t="n">
        <v>45348</v>
      </c>
      <c r="L167" s="19" t="n">
        <v>0.350133879351079</v>
      </c>
      <c r="M167" s="20" t="n">
        <v>41.26</v>
      </c>
      <c r="N167" s="21" t="n"/>
      <c r="O167" s="22" t="inlineStr">
        <is>
          <t>, 2/15/2024, 41.26</t>
        </is>
      </c>
      <c r="P167" s="24" t="n"/>
    </row>
    <row r="168" ht="40.5" customHeight="1">
      <c r="A168" s="14" t="inlineStr">
        <is>
          <t>#50 Roller Chain</t>
        </is>
      </c>
      <c r="B168" s="15" t="inlineStr">
        <is>
          <t>#50 Roller Chain</t>
        </is>
      </c>
      <c r="C168" s="15" t="inlineStr">
        <is>
          <t>CIB</t>
        </is>
      </c>
      <c r="D168" s="15" t="inlineStr">
        <is>
          <t>#50 Roller Chain x 10' Lg.  - Price Checked: 2/6/13</t>
        </is>
      </c>
      <c r="E168" s="15" t="n"/>
      <c r="F168" s="17" t="n">
        <v>1</v>
      </c>
      <c r="G168" s="15" t="inlineStr">
        <is>
          <t>Motion Industries</t>
        </is>
      </c>
      <c r="H168" s="15" t="inlineStr">
        <is>
          <t>N/A</t>
        </is>
      </c>
      <c r="I168" s="15" t="inlineStr">
        <is>
          <t>NO</t>
        </is>
      </c>
      <c r="J168" s="18" t="n">
        <v>57.2</v>
      </c>
      <c r="K168" s="14" t="n"/>
      <c r="L168" s="19" t="n"/>
      <c r="M168" s="20" t="n"/>
      <c r="N168" s="21" t="n"/>
      <c r="O168" s="22" t="n"/>
      <c r="P168" s="24" t="n"/>
    </row>
    <row r="169" ht="40.5" customHeight="1">
      <c r="A169" s="14" t="inlineStr">
        <is>
          <t xml:space="preserve"> 95066A414</t>
        </is>
      </c>
      <c r="B169" s="15" t="inlineStr">
        <is>
          <t xml:space="preserve"> 95066A414</t>
        </is>
      </c>
      <c r="C169" s="15" t="inlineStr">
        <is>
          <t>McMaster-Carr</t>
        </is>
      </c>
      <c r="D169" s="15" t="inlineStr">
        <is>
          <t>18-8 Stainless Steel General Purpose ACME Hex Nut, Left-Hand, 3/4"-5 ACME Size</t>
        </is>
      </c>
      <c r="E169" s="15" t="n"/>
      <c r="F169" s="17" t="inlineStr">
        <is>
          <t>Each</t>
        </is>
      </c>
      <c r="G169" s="15" t="inlineStr">
        <is>
          <t>McMaster-Carr</t>
        </is>
      </c>
      <c r="H169" s="15" t="inlineStr">
        <is>
          <t xml:space="preserve"> 95066A414</t>
        </is>
      </c>
      <c r="I169" s="15" t="inlineStr">
        <is>
          <t>NO</t>
        </is>
      </c>
      <c r="J169" s="18" t="n">
        <v>27.13</v>
      </c>
      <c r="K169" s="21" t="n">
        <v>45348</v>
      </c>
      <c r="L169" s="19" t="n">
        <v>0.0917505030181086</v>
      </c>
      <c r="M169" s="20" t="n">
        <v>24.85</v>
      </c>
      <c r="N169" s="21" t="n"/>
      <c r="O169" s="22" t="inlineStr">
        <is>
          <t>, 2/26/2024, 24.85</t>
        </is>
      </c>
      <c r="P169" s="24" t="n"/>
    </row>
    <row r="170" ht="40.5" customHeight="1">
      <c r="A170" s="14" t="inlineStr">
        <is>
          <t>WA30DRS71S4</t>
        </is>
      </c>
      <c r="B170" s="15" t="inlineStr">
        <is>
          <t>WA30DRS71S4</t>
        </is>
      </c>
      <c r="C170" s="15" t="inlineStr">
        <is>
          <t>SEW-Eurodrive</t>
        </is>
      </c>
      <c r="D170" s="15" t="inlineStr">
        <is>
          <t>SEW-Eurodrive__ HP - __ RPM - __ Ratio - 230/460 VAC Gearmotor - 1-1/4" dia. hollow bore - __ Mount - __ TB Position</t>
        </is>
      </c>
      <c r="E170" s="15" t="n"/>
      <c r="F170" s="17" t="n"/>
      <c r="G170" s="15" t="inlineStr">
        <is>
          <t>SEW-Eurodrive</t>
        </is>
      </c>
      <c r="H170" s="15" t="inlineStr">
        <is>
          <t>WA30DRS71S4</t>
        </is>
      </c>
      <c r="I170" s="15" t="inlineStr">
        <is>
          <t>NO</t>
        </is>
      </c>
      <c r="J170" s="18" t="n">
        <v>0</v>
      </c>
      <c r="K170" s="14" t="n"/>
      <c r="L170" s="19" t="n"/>
      <c r="M170" s="20" t="n"/>
      <c r="N170" s="21" t="n"/>
      <c r="O170" s="22" t="n"/>
      <c r="P170" s="24" t="n"/>
    </row>
    <row r="171" ht="40.5" customHeight="1">
      <c r="A171" s="35" t="inlineStr">
        <is>
          <t>MP-S4-H-704-7-58-SS</t>
        </is>
      </c>
      <c r="B171" s="15" t="inlineStr">
        <is>
          <t>MP-S4-H-704-7-58-SS</t>
        </is>
      </c>
      <c r="C171" s="15" t="inlineStr">
        <is>
          <t>Mason Plastics</t>
        </is>
      </c>
      <c r="D171" s="15" t="inlineStr">
        <is>
          <t>4" Adjustable Leveler w/Hex Metal Ball, 7" L x 5/8-11 thread, Stainless Steel Rod, 2 skinned-over lag holes. Max load 2600 lbs.  - Price Checked: 4.9.15</t>
        </is>
      </c>
      <c r="E171" s="15" t="n"/>
      <c r="F171" s="17" t="n"/>
      <c r="G171" s="15" t="inlineStr">
        <is>
          <t>Mason Plastics</t>
        </is>
      </c>
      <c r="H171" s="15" t="inlineStr">
        <is>
          <t>MP-S4-H-704-7-58-SS</t>
        </is>
      </c>
      <c r="I171" s="15" t="inlineStr">
        <is>
          <t>NO</t>
        </is>
      </c>
      <c r="J171" s="18" t="n">
        <v>12.04</v>
      </c>
      <c r="K171" s="14" t="n"/>
      <c r="L171" s="19" t="n"/>
      <c r="M171" s="20" t="n"/>
      <c r="N171" s="21" t="n"/>
      <c r="O171" s="22" t="n"/>
      <c r="P171" s="24" t="n"/>
    </row>
    <row r="172" ht="40.5" customHeight="1">
      <c r="A172" s="14" t="inlineStr">
        <is>
          <t>393388212NT</t>
        </is>
      </c>
      <c r="B172" s="15" t="inlineStr">
        <is>
          <t>393388212NT</t>
        </is>
      </c>
      <c r="C172" s="15" t="inlineStr">
        <is>
          <t>Uni-Chains</t>
        </is>
      </c>
      <c r="D172" s="15" t="inlineStr">
        <is>
          <t xml:space="preserve"> 3-882-12 NYLON SPR 2-PART - PCS (List Price - ?) -Price Checked: 08.13.13</t>
        </is>
      </c>
      <c r="E172" s="15" t="n"/>
      <c r="F172" s="17" t="n">
        <v>1</v>
      </c>
      <c r="G172" s="15" t="inlineStr">
        <is>
          <t>Uni-Chains</t>
        </is>
      </c>
      <c r="H172" s="15" t="inlineStr">
        <is>
          <t>393388212NT</t>
        </is>
      </c>
      <c r="I172" s="15" t="inlineStr">
        <is>
          <t>NO</t>
        </is>
      </c>
      <c r="J172" s="18" t="n">
        <v>33.9</v>
      </c>
      <c r="K172" s="14" t="n"/>
      <c r="L172" s="19" t="n"/>
      <c r="M172" s="20" t="n"/>
      <c r="N172" s="21" t="n"/>
      <c r="O172" s="22" t="n"/>
      <c r="P172" s="24" t="n"/>
    </row>
    <row r="173" ht="40.5" customHeight="1">
      <c r="A173" s="14" t="inlineStr">
        <is>
          <t>VG-P7GABC-NS-100</t>
        </is>
      </c>
      <c r="B173" s="15" t="inlineStr">
        <is>
          <t>VG-P7GABC-NS-100</t>
        </is>
      </c>
      <c r="C173" s="15" t="inlineStr">
        <is>
          <t>Emerson</t>
        </is>
      </c>
      <c r="D173" s="15" t="inlineStr">
        <is>
          <t>UHMW, U-shaped Nolu-S Bar Cap for 7 ga. Steel, 100 ft. Coil - 1EA - List Price : $201.43 - Price Checked - 08.25.14</t>
        </is>
      </c>
      <c r="E173" s="15" t="n"/>
      <c r="F173" s="17" t="n">
        <v>1547</v>
      </c>
      <c r="G173" s="15" t="inlineStr">
        <is>
          <t>Emerson</t>
        </is>
      </c>
      <c r="H173" s="15" t="inlineStr">
        <is>
          <t>N/A</t>
        </is>
      </c>
      <c r="I173" s="15" t="inlineStr">
        <is>
          <t>NO</t>
        </is>
      </c>
      <c r="J173" s="18" t="n">
        <v>156</v>
      </c>
      <c r="K173" s="14" t="n"/>
      <c r="L173" s="19" t="n"/>
      <c r="M173" s="20" t="n"/>
      <c r="N173" s="21" t="n"/>
      <c r="O173" s="22" t="n"/>
      <c r="P173" s="24" t="n"/>
    </row>
    <row r="174" ht="40.5" customHeight="1">
      <c r="A174" s="14" t="inlineStr">
        <is>
          <t>HP1505-12</t>
        </is>
      </c>
      <c r="B174" s="15" t="inlineStr">
        <is>
          <t>HP1505-12</t>
        </is>
      </c>
      <c r="C174" s="15" t="inlineStr">
        <is>
          <t>Rexnord</t>
        </is>
      </c>
      <c r="D174" s="15" t="inlineStr">
        <is>
          <t>High Performance 1505 Chain - 12" Wide X ___ FT Long - Price Checked: 10.02.14</t>
        </is>
      </c>
      <c r="E174" s="15" t="n"/>
      <c r="F174" s="17" t="n">
        <v>81.7395833333333</v>
      </c>
      <c r="G174" s="15" t="inlineStr">
        <is>
          <t>Rexnord</t>
        </is>
      </c>
      <c r="H174" s="15" t="inlineStr">
        <is>
          <t>N/A</t>
        </is>
      </c>
      <c r="I174" s="15" t="inlineStr">
        <is>
          <t>NO</t>
        </is>
      </c>
      <c r="J174" s="18" t="n">
        <v>18.72</v>
      </c>
      <c r="K174" s="14" t="n"/>
      <c r="L174" s="19" t="n"/>
      <c r="M174" s="20" t="n"/>
      <c r="N174" s="21" t="n"/>
      <c r="O174" s="22" t="n"/>
      <c r="P174" s="24" t="n"/>
    </row>
    <row r="175" ht="40.5" customHeight="1">
      <c r="A175" s="14" t="inlineStr">
        <is>
          <t>40BS24-1-1/4</t>
        </is>
      </c>
      <c r="B175" s="15" t="inlineStr">
        <is>
          <t>N/A</t>
        </is>
      </c>
      <c r="C175" s="15" t="inlineStr">
        <is>
          <t>Martin</t>
        </is>
      </c>
      <c r="D175" s="15" t="inlineStr">
        <is>
          <t>24 Tooth #40 Roller Chain Sprocket with 1 1/4" Dia. Finished Bore</t>
        </is>
      </c>
      <c r="E175" s="15" t="n"/>
      <c r="F175" s="17" t="n">
        <v>2</v>
      </c>
      <c r="G175" s="15" t="inlineStr">
        <is>
          <t>Motion Industries</t>
        </is>
      </c>
      <c r="H175" s="15" t="inlineStr">
        <is>
          <t>N/A</t>
        </is>
      </c>
      <c r="I175" s="15" t="inlineStr">
        <is>
          <t>NO</t>
        </is>
      </c>
      <c r="J175" s="18" t="n">
        <v>25.76</v>
      </c>
      <c r="K175" s="14" t="n"/>
      <c r="L175" s="19" t="n"/>
      <c r="M175" s="20" t="n"/>
      <c r="N175" s="21" t="n"/>
      <c r="O175" s="22" t="n"/>
      <c r="P175" s="24" t="n"/>
    </row>
    <row r="176" ht="40.5" customHeight="1">
      <c r="A176" s="14" t="inlineStr">
        <is>
          <t>DS40A24-1-1/4</t>
        </is>
      </c>
      <c r="B176" s="15" t="inlineStr">
        <is>
          <t>N/A</t>
        </is>
      </c>
      <c r="C176" s="15" t="inlineStr">
        <is>
          <t>Martin</t>
        </is>
      </c>
      <c r="D176" s="15" t="inlineStr">
        <is>
          <t>Double Single #40 24 Tooth #40 Roller Chain Sprocket with 1 1/4" Dia. Finished Bore</t>
        </is>
      </c>
      <c r="E176" s="15" t="n"/>
      <c r="F176" s="17" t="n">
        <v>1</v>
      </c>
      <c r="G176" s="15" t="inlineStr">
        <is>
          <t>Motion Industries</t>
        </is>
      </c>
      <c r="H176" s="15" t="inlineStr">
        <is>
          <t>N/A</t>
        </is>
      </c>
      <c r="I176" s="15" t="inlineStr">
        <is>
          <t>NO</t>
        </is>
      </c>
      <c r="J176" s="18" t="n">
        <v>150.71</v>
      </c>
      <c r="K176" s="14" t="n"/>
      <c r="L176" s="19" t="n"/>
      <c r="M176" s="20" t="n"/>
      <c r="N176" s="21" t="n"/>
      <c r="O176" s="22" t="n"/>
      <c r="P176" s="24" t="n"/>
    </row>
    <row r="177" ht="40.5" customHeight="1">
      <c r="A177" s="14" t="inlineStr">
        <is>
          <t>6462K16</t>
        </is>
      </c>
      <c r="B177" s="15" t="inlineStr">
        <is>
          <t>6462K16</t>
        </is>
      </c>
      <c r="C177" s="15" t="inlineStr">
        <is>
          <t>McMaster Carr</t>
        </is>
      </c>
      <c r="D177" s="15" t="inlineStr">
        <is>
          <t>Set Srew Shaft Collar for 1/2" Diameter, Type 303 Stainless Steel - 10/6/22</t>
        </is>
      </c>
      <c r="E177" s="15" t="n"/>
      <c r="F177" s="17" t="inlineStr">
        <is>
          <t>Each</t>
        </is>
      </c>
      <c r="G177" s="15" t="inlineStr">
        <is>
          <t>McMaster-Carr</t>
        </is>
      </c>
      <c r="H177" s="15" t="inlineStr">
        <is>
          <t>6462K16</t>
        </is>
      </c>
      <c r="I177" s="15" t="inlineStr">
        <is>
          <t>NO</t>
        </is>
      </c>
      <c r="J177" s="18" t="n">
        <v>7.29</v>
      </c>
      <c r="K177" s="21" t="n">
        <v>45348</v>
      </c>
      <c r="L177" s="19" t="n">
        <v>0</v>
      </c>
      <c r="M177" s="20" t="n">
        <v>7.29</v>
      </c>
      <c r="N177" s="21" t="n">
        <v>45336</v>
      </c>
      <c r="O177" s="22" t="inlineStr">
        <is>
          <t>, 2/15/2024, 7.29</t>
        </is>
      </c>
      <c r="P177" s="24" t="n"/>
    </row>
    <row r="178" ht="40.5" customHeight="1">
      <c r="A178" s="14" t="inlineStr">
        <is>
          <t>6435K36</t>
        </is>
      </c>
      <c r="B178" s="15" t="inlineStr">
        <is>
          <t>6435K36</t>
        </is>
      </c>
      <c r="C178" s="15" t="inlineStr">
        <is>
          <t>McMaster-Carr</t>
        </is>
      </c>
      <c r="D178" s="15" t="inlineStr">
        <is>
          <t>One-Piece Clamp-on Shaft Collar for 3/4" Diameter, Type 303 Stainless Steel - Price Checked: 4/5/22</t>
        </is>
      </c>
      <c r="E178" s="15" t="n"/>
      <c r="F178" s="17" t="inlineStr">
        <is>
          <t>Each</t>
        </is>
      </c>
      <c r="G178" s="15" t="inlineStr">
        <is>
          <t>McMaster-Carr</t>
        </is>
      </c>
      <c r="H178" s="15" t="inlineStr">
        <is>
          <t>6435K36</t>
        </is>
      </c>
      <c r="I178" s="15" t="inlineStr">
        <is>
          <t>NO</t>
        </is>
      </c>
      <c r="J178" s="18" t="n">
        <v>23.24</v>
      </c>
      <c r="K178" s="21" t="n">
        <v>45348</v>
      </c>
      <c r="L178" s="19" t="n">
        <v>0</v>
      </c>
      <c r="M178" s="20" t="n">
        <v>23.24</v>
      </c>
      <c r="N178" s="21" t="n">
        <v>45336</v>
      </c>
      <c r="O178" s="22" t="inlineStr">
        <is>
          <t>, 2/15/2024, 23.24</t>
        </is>
      </c>
      <c r="P178" s="24" t="n"/>
    </row>
    <row r="179" ht="40.5" customHeight="1">
      <c r="A179" s="14" t="inlineStr">
        <is>
          <t>1PFB5</t>
        </is>
      </c>
      <c r="B179" s="15" t="inlineStr">
        <is>
          <t>3109 56 18</t>
        </is>
      </c>
      <c r="C179" s="15" t="inlineStr">
        <is>
          <t>Legris</t>
        </is>
      </c>
      <c r="D179" s="15" t="inlineStr">
        <is>
          <t>Male Elbow, Tube Size 1/4 In, Pipe Size 3/8 In, Hex Size 18mm, Tube x MNPT Connection, Max Pressure 290 PSI, Temp Range -4 To 175 Deg F, Material of Construction Glass Filled Nylon And Nickel Plated Brass, Package Quantity 10 - Price Checked: 07/16/21</t>
        </is>
      </c>
      <c r="E179" s="15" t="n">
        <v>10</v>
      </c>
      <c r="F179" s="17" t="inlineStr">
        <is>
          <t>pkg. of</t>
        </is>
      </c>
      <c r="G179" s="15" t="inlineStr">
        <is>
          <t>Grainger</t>
        </is>
      </c>
      <c r="H179" s="15" t="inlineStr">
        <is>
          <t>1PFB5</t>
        </is>
      </c>
      <c r="I179" s="15" t="inlineStr">
        <is>
          <t>NO</t>
        </is>
      </c>
      <c r="J179" s="18" t="n">
        <v>72.78</v>
      </c>
      <c r="K179" s="21" t="n">
        <v>45348</v>
      </c>
      <c r="L179" s="19" t="n">
        <v>0.316433086012641</v>
      </c>
      <c r="M179" s="20" t="n">
        <v>49.75</v>
      </c>
      <c r="N179" s="21" t="n"/>
      <c r="O179" s="22" t="inlineStr">
        <is>
          <t>, 2/15/2024, 49.75</t>
        </is>
      </c>
      <c r="P179" s="24" t="n"/>
    </row>
    <row r="180" ht="40.5" customHeight="1">
      <c r="A180" s="14" t="inlineStr">
        <is>
          <t>3404K785</t>
        </is>
      </c>
      <c r="B180" s="15" t="inlineStr">
        <is>
          <t>3404K785</t>
        </is>
      </c>
      <c r="C180" s="15" t="inlineStr">
        <is>
          <t>McMaster-Carr</t>
        </is>
      </c>
      <c r="D180" s="15" t="inlineStr">
        <is>
          <t>120 Degree Angle Stainless Steel Flat Spray Nozzle with 1/8" NPT Male End - Price Checked 1.8.15</t>
        </is>
      </c>
      <c r="E180" s="15" t="n"/>
      <c r="F180" s="17" t="inlineStr">
        <is>
          <t>Each</t>
        </is>
      </c>
      <c r="G180" s="15" t="inlineStr">
        <is>
          <t>McMaster-Carr</t>
        </is>
      </c>
      <c r="H180" s="15" t="inlineStr">
        <is>
          <t>3404K78</t>
        </is>
      </c>
      <c r="I180" s="15" t="inlineStr">
        <is>
          <t>NO</t>
        </is>
      </c>
      <c r="J180" s="18" t="n">
        <v>16.34</v>
      </c>
      <c r="K180" s="21" t="n">
        <v>45348</v>
      </c>
      <c r="L180" s="19" t="n">
        <v>0</v>
      </c>
      <c r="M180" s="20" t="n">
        <v>16.34</v>
      </c>
      <c r="N180" s="21" t="n">
        <v>45337</v>
      </c>
      <c r="O180" s="22" t="inlineStr">
        <is>
          <t>, 2/15/2024, 11.37</t>
        </is>
      </c>
      <c r="P180" s="24" t="n"/>
    </row>
    <row r="181" ht="40.5" customHeight="1">
      <c r="A181" s="14" t="inlineStr">
        <is>
          <t>4749T131</t>
        </is>
      </c>
      <c r="B181" s="15" t="inlineStr">
        <is>
          <t>4749T131</t>
        </is>
      </c>
      <c r="C181" s="15" t="inlineStr">
        <is>
          <t>McMaster-Carr</t>
        </is>
      </c>
      <c r="D181" s="15" t="inlineStr">
        <is>
          <t>Male Shank Clevis Rod End 3/8"-24 Right-Hand Thread Size, 5/16" ID, 2-1/4" L - PRICE CONFIRMED 6.3.13</t>
        </is>
      </c>
      <c r="E181" s="15" t="n"/>
      <c r="F181" s="17" t="inlineStr">
        <is>
          <t>Each</t>
        </is>
      </c>
      <c r="G181" s="15" t="inlineStr">
        <is>
          <t>McMaster-Carr</t>
        </is>
      </c>
      <c r="H181" s="15" t="inlineStr">
        <is>
          <t>4749T131</t>
        </is>
      </c>
      <c r="I181" s="15" t="inlineStr">
        <is>
          <t>NO</t>
        </is>
      </c>
      <c r="J181" s="18" t="n">
        <v>7.55</v>
      </c>
      <c r="K181" s="21" t="n">
        <v>45348</v>
      </c>
      <c r="L181" s="19" t="n">
        <v>0</v>
      </c>
      <c r="M181" s="20" t="n">
        <v>7.55</v>
      </c>
      <c r="N181" s="21" t="n">
        <v>45336</v>
      </c>
      <c r="O181" s="22" t="inlineStr">
        <is>
          <t>, 2/15/2024, 7.55</t>
        </is>
      </c>
      <c r="P181" s="24" t="n"/>
    </row>
    <row r="182" ht="40.5" customHeight="1">
      <c r="A182" s="14" t="inlineStr">
        <is>
          <t>A3BXXX1D5INM-00</t>
        </is>
      </c>
      <c r="B182" s="15" t="inlineStr">
        <is>
          <t>A3BXXX1D5INM-00</t>
        </is>
      </c>
      <c r="C182" s="15" t="inlineStr">
        <is>
          <t>Intralox</t>
        </is>
      </c>
      <c r="D182" s="15" t="inlineStr">
        <is>
          <t>1.5" STAINLESS STEEL SELF-SET
RETAINER RING WITH SET SCREW</t>
        </is>
      </c>
      <c r="E182" s="15" t="n"/>
      <c r="F182" s="17" t="n"/>
      <c r="G182" s="15" t="inlineStr">
        <is>
          <t>Intralox</t>
        </is>
      </c>
      <c r="H182" s="15" t="inlineStr">
        <is>
          <t>A3BXXX1D5INM</t>
        </is>
      </c>
      <c r="I182" s="15" t="inlineStr">
        <is>
          <t>NO</t>
        </is>
      </c>
      <c r="J182" s="18" t="n">
        <v>7.33</v>
      </c>
      <c r="K182" s="14" t="n"/>
      <c r="L182" s="19" t="n"/>
      <c r="M182" s="20" t="n"/>
      <c r="N182" s="21" t="n"/>
      <c r="O182" s="22" t="n"/>
      <c r="P182" s="24" t="n"/>
    </row>
    <row r="183" ht="40.5" customHeight="1">
      <c r="A183" s="14" t="inlineStr">
        <is>
          <t>G42-2D100K</t>
        </is>
      </c>
      <c r="B183" s="15" t="inlineStr">
        <is>
          <t>G42-2D100K</t>
        </is>
      </c>
      <c r="C183" s="15" t="inlineStr">
        <is>
          <t>Wire Belt</t>
        </is>
      </c>
      <c r="D183" s="15" t="inlineStr">
        <is>
          <t>SPRK,2.00D,20T,1.80R,1.00B,AC,KW</t>
        </is>
      </c>
      <c r="E183" s="15" t="n"/>
      <c r="F183" s="17" t="n"/>
      <c r="G183" s="15" t="inlineStr">
        <is>
          <t>Wire Belt</t>
        </is>
      </c>
      <c r="H183" s="15" t="inlineStr">
        <is>
          <t>G42-2D-100K</t>
        </is>
      </c>
      <c r="I183" s="15" t="inlineStr">
        <is>
          <t>NO</t>
        </is>
      </c>
      <c r="J183" s="18" t="n">
        <v>14.21</v>
      </c>
      <c r="K183" s="14" t="n"/>
      <c r="L183" s="19" t="n"/>
      <c r="M183" s="20" t="n"/>
      <c r="N183" s="21" t="n"/>
      <c r="O183" s="22" t="n"/>
      <c r="P183" s="24" t="n"/>
    </row>
    <row r="184" ht="40.5" customHeight="1">
      <c r="A184" s="14" t="inlineStr">
        <is>
          <t>614-40-3</t>
        </is>
      </c>
      <c r="B184" s="15" t="inlineStr">
        <is>
          <t>614-40-3</t>
        </is>
      </c>
      <c r="C184" s="15" t="inlineStr">
        <is>
          <t>Rexnord</t>
        </is>
      </c>
      <c r="D184" s="15" t="inlineStr">
        <is>
          <t>Rexnord - NS820  (25T) Thermoplastic Split Sprocket W/ 1.25" Round Bore w/ Key way and Setscrew - Price Confirmed: 01.01.19</t>
        </is>
      </c>
      <c r="E184" s="15" t="n"/>
      <c r="F184" s="17" t="n"/>
      <c r="G184" s="15" t="inlineStr">
        <is>
          <t>Rexnord</t>
        </is>
      </c>
      <c r="H184" s="15" t="inlineStr">
        <is>
          <t>614-40-3</t>
        </is>
      </c>
      <c r="I184" s="15" t="inlineStr">
        <is>
          <t>NO</t>
        </is>
      </c>
      <c r="J184" s="18" t="n">
        <v>45.19</v>
      </c>
      <c r="K184" s="14" t="n"/>
      <c r="L184" s="19" t="n"/>
      <c r="M184" s="20" t="n"/>
      <c r="N184" s="21" t="n"/>
      <c r="O184" s="22" t="n"/>
      <c r="P184" s="24" t="n"/>
    </row>
    <row r="185" ht="75" customHeight="1">
      <c r="A185" s="14" t="inlineStr">
        <is>
          <t>S6E2XXDAK5NN</t>
        </is>
      </c>
      <c r="B185" s="15" t="inlineStr">
        <is>
          <t>S6E2XXDAK5NN</t>
        </is>
      </c>
      <c r="C185" s="15" t="inlineStr">
        <is>
          <t>Intralox</t>
        </is>
      </c>
      <c r="D185" s="15" t="inlineStr">
        <is>
          <t>SERIES 1400/4000 6.7" (21T) GREY
GLASS FILLED NYLON SPLIT
SPROCKET WITH 1-1/4" ROUND BORE
AND SET SCREW
Lead Time: Stock - 3/9/23</t>
        </is>
      </c>
      <c r="E185" s="15" t="n"/>
      <c r="F185" s="17" t="n"/>
      <c r="G185" s="15" t="inlineStr">
        <is>
          <t>Intralox</t>
        </is>
      </c>
      <c r="H185" s="15" t="inlineStr">
        <is>
          <t>S6E2XXDAK5NN</t>
        </is>
      </c>
      <c r="I185" s="15" t="inlineStr">
        <is>
          <t>NO</t>
        </is>
      </c>
      <c r="J185" s="18" t="n">
        <v>62.98</v>
      </c>
      <c r="K185" s="14" t="n"/>
      <c r="L185" s="19" t="n"/>
      <c r="M185" s="20" t="n"/>
      <c r="N185" s="21" t="n"/>
      <c r="O185" s="22" t="n"/>
      <c r="P185" s="24" t="n"/>
    </row>
    <row r="186" ht="40.5" customHeight="1">
      <c r="A186" s="14" t="inlineStr">
        <is>
          <t>SR-3120-D</t>
        </is>
      </c>
      <c r="B186" s="15" t="inlineStr">
        <is>
          <t>SR-3120-D</t>
        </is>
      </c>
      <c r="C186" s="15" t="inlineStr">
        <is>
          <t>Bimba</t>
        </is>
      </c>
      <c r="D186" s="15" t="inlineStr">
        <is>
          <t>Original Line Cylinder - 2" Bore, 20" Stroke - Double Acting, Standard Front Nose, Without Magnet Piston, Standard Rod Extension, Rod Material Stainless Steel, Standard Male Thread, Without Mounting Bracket Price Checked: 08.14.13</t>
        </is>
      </c>
      <c r="E186" s="15" t="n"/>
      <c r="F186" s="17" t="n"/>
      <c r="G186" s="15" t="inlineStr">
        <is>
          <t>Scott Equipment</t>
        </is>
      </c>
      <c r="H186" s="15" t="inlineStr">
        <is>
          <t>SR-3120-D</t>
        </is>
      </c>
      <c r="I186" s="15" t="inlineStr">
        <is>
          <t>NO</t>
        </is>
      </c>
      <c r="J186" s="18" t="n">
        <v>113.39</v>
      </c>
      <c r="K186" s="14" t="n"/>
      <c r="L186" s="19" t="n"/>
      <c r="M186" s="20" t="n"/>
      <c r="N186" s="21" t="n"/>
      <c r="O186" s="22" t="n"/>
      <c r="P186" s="24" t="n"/>
    </row>
    <row r="187" ht="40.5" customHeight="1">
      <c r="A187" s="14" t="inlineStr">
        <is>
          <t>SR-5025-D</t>
        </is>
      </c>
      <c r="B187" s="15" t="inlineStr">
        <is>
          <t>SR-5025-D</t>
        </is>
      </c>
      <c r="C187" s="15" t="inlineStr">
        <is>
          <t>Bimba</t>
        </is>
      </c>
      <c r="D187" s="15" t="inlineStr">
        <is>
          <t>Original Line Cylinder - 2" Bore, 25" Stroke - Double Acting, Standard Front Nose, Without Magnet Piston, Standard Rod Extension, Rod Material Stainless Steel, Standard Male Thread, Without Mounting Bracket Price Checked: 08.14.13</t>
        </is>
      </c>
      <c r="E187" s="15" t="n"/>
      <c r="F187" s="17" t="n"/>
      <c r="G187" s="15" t="inlineStr">
        <is>
          <t>Scott Equipment</t>
        </is>
      </c>
      <c r="H187" s="15" t="inlineStr">
        <is>
          <t>SR-5025-D</t>
        </is>
      </c>
      <c r="I187" s="15" t="inlineStr">
        <is>
          <t>NO</t>
        </is>
      </c>
      <c r="J187" s="18" t="n">
        <v>152.7</v>
      </c>
      <c r="K187" s="14" t="n"/>
      <c r="L187" s="19" t="n"/>
      <c r="M187" s="20" t="n"/>
      <c r="N187" s="21" t="n"/>
      <c r="O187" s="22" t="n"/>
      <c r="P187" s="24" t="n"/>
    </row>
    <row r="188" ht="40.5" customHeight="1">
      <c r="A188" s="14" t="inlineStr">
        <is>
          <t>SR-1214-D</t>
        </is>
      </c>
      <c r="B188" s="15" t="inlineStr">
        <is>
          <t>SR-1214-D</t>
        </is>
      </c>
      <c r="C188" s="15" t="inlineStr">
        <is>
          <t>Bimba</t>
        </is>
      </c>
      <c r="D188" s="15" t="inlineStr">
        <is>
          <t>Original Line Cylinder - 2" Bore, 14" Stroke - Double Acting, Standard Front Nose, Without Magnet Piston, Standard Rod Extension, Rod Material Stainless Steel, Standard Male Thread, Without Mounting Bracket Price Checked: 08.14.13</t>
        </is>
      </c>
      <c r="E188" s="15" t="n"/>
      <c r="F188" s="17" t="n"/>
      <c r="G188" s="15" t="inlineStr">
        <is>
          <t>Scott Equipment</t>
        </is>
      </c>
      <c r="H188" s="15" t="inlineStr">
        <is>
          <t>SR-1214-D</t>
        </is>
      </c>
      <c r="I188" s="15" t="inlineStr">
        <is>
          <t>NO</t>
        </is>
      </c>
      <c r="J188" s="18" t="n">
        <v>65.70999999999999</v>
      </c>
      <c r="K188" s="14" t="n"/>
      <c r="L188" s="19" t="n"/>
      <c r="M188" s="20" t="n"/>
      <c r="N188" s="21" t="n"/>
      <c r="O188" s="22" t="n"/>
      <c r="P188" s="24" t="n"/>
    </row>
    <row r="189" ht="40.5" customHeight="1">
      <c r="A189" s="14" t="inlineStr">
        <is>
          <t>FO-313</t>
        </is>
      </c>
      <c r="B189" s="15" t="inlineStr">
        <is>
          <t>FO-313</t>
        </is>
      </c>
      <c r="C189" s="15" t="inlineStr">
        <is>
          <t>Bimba</t>
        </is>
      </c>
      <c r="D189" s="15" t="inlineStr">
        <is>
          <t>Pancake Cylinder - 2" Bore, 3" Stroke, Double Acting, Single End Rod, Standard Rod Extension, Without Bumper, Standard Steel Fasteners, Non-Coated (Standard) Price Checked: 08.14.13</t>
        </is>
      </c>
      <c r="E189" s="15" t="n"/>
      <c r="F189" s="17" t="n"/>
      <c r="G189" s="15" t="inlineStr">
        <is>
          <t>Scott Equipment</t>
        </is>
      </c>
      <c r="H189" s="15" t="inlineStr">
        <is>
          <t>FO-313</t>
        </is>
      </c>
      <c r="I189" s="15" t="inlineStr">
        <is>
          <t>NO</t>
        </is>
      </c>
      <c r="J189" s="18" t="n">
        <v>87.89</v>
      </c>
      <c r="K189" s="14" t="n"/>
      <c r="L189" s="19" t="n"/>
      <c r="M189" s="20" t="n"/>
      <c r="N189" s="21" t="n"/>
      <c r="O189" s="22" t="n"/>
      <c r="P189" s="24" t="n"/>
    </row>
    <row r="190" ht="40.5" customHeight="1">
      <c r="A190" s="14" t="inlineStr">
        <is>
          <t>6261K191</t>
        </is>
      </c>
      <c r="B190" s="15" t="inlineStr">
        <is>
          <t>6261K191</t>
        </is>
      </c>
      <c r="C190" s="15" t="inlineStr">
        <is>
          <t>McMaster-Carr</t>
        </is>
      </c>
      <c r="D190" s="15" t="inlineStr">
        <is>
          <t>#35 Connecting Link for Standard ANSI Roller Chain  - Price Checked: 06.23.21</t>
        </is>
      </c>
      <c r="E190" s="15" t="n"/>
      <c r="F190" s="17" t="inlineStr">
        <is>
          <t>Each</t>
        </is>
      </c>
      <c r="G190" s="15" t="inlineStr">
        <is>
          <t>McMaster-Carr</t>
        </is>
      </c>
      <c r="H190" s="15" t="inlineStr">
        <is>
          <t>6261K191</t>
        </is>
      </c>
      <c r="I190" s="15" t="inlineStr">
        <is>
          <t>NO</t>
        </is>
      </c>
      <c r="J190" s="18" t="n">
        <v>1.84</v>
      </c>
      <c r="K190" s="21" t="n">
        <v>45348</v>
      </c>
      <c r="L190" s="19" t="n">
        <v>0</v>
      </c>
      <c r="M190" s="20" t="n">
        <v>1.84</v>
      </c>
      <c r="N190" s="21" t="n">
        <v>45336</v>
      </c>
      <c r="O190" s="22" t="inlineStr">
        <is>
          <t>, 2/21/2024, 1.84</t>
        </is>
      </c>
      <c r="P190" s="24" t="n"/>
    </row>
    <row r="191" ht="105" customHeight="1">
      <c r="A191" s="14" t="inlineStr">
        <is>
          <t>BN4161406CHSSA</t>
        </is>
      </c>
      <c r="B191" s="15" t="inlineStr">
        <is>
          <t>BN4161406CHSSA</t>
        </is>
      </c>
      <c r="C191" s="15" t="inlineStr">
        <is>
          <t>Wiegmann</t>
        </is>
      </c>
      <c r="D191" s="15" t="inlineStr">
        <is>
          <t>Item# BN4161406CHSSA - N4X, JIC Box - 316 S.S. Cont. Hinge
BN4-CHSS Series Information
Nema Types 4, 4X, 12 and 13
UL E6924; CSA LL66078
16 Gauge Stainless Steel
Smooth Grained Finish
Continuous Hinge Door - PRICE CONFIRMED 08.19.13</t>
        </is>
      </c>
      <c r="E191" s="15" t="n"/>
      <c r="F191" s="17" t="n"/>
      <c r="G191" s="15" t="inlineStr">
        <is>
          <t>Eck Supply</t>
        </is>
      </c>
      <c r="H191" s="15" t="inlineStr">
        <is>
          <t>BN4161406CHSSA</t>
        </is>
      </c>
      <c r="I191" s="15" t="inlineStr">
        <is>
          <t>NO</t>
        </is>
      </c>
      <c r="J191" s="18" t="n">
        <v>650</v>
      </c>
      <c r="K191" s="14" t="n"/>
      <c r="L191" s="19" t="n"/>
      <c r="M191" s="20" t="n"/>
      <c r="N191" s="21" t="n"/>
      <c r="O191" s="22" t="n"/>
      <c r="P191" s="24" t="n"/>
    </row>
    <row r="192" ht="40.5" customHeight="1">
      <c r="A192" s="14" t="inlineStr">
        <is>
          <t>3NA88</t>
        </is>
      </c>
      <c r="B192" s="15" t="inlineStr">
        <is>
          <t>M252HS-15</t>
        </is>
      </c>
      <c r="C192" s="15" t="inlineStr">
        <is>
          <t>Ingersoll-Rand</t>
        </is>
      </c>
      <c r="D192" s="15" t="inlineStr">
        <is>
          <t>INGERSOLL-RAND/ARO Valve, Pneumatic - Pneumatic Valve, NPT Port 1/4 Inch, Actuator/Return Palm Button with Detend Spring, Maximum Operating Pressure 150 PSI, Air Flow 26 CFM, Cv 0.70, Length 1.56 Inches, Height 5.02 Inches, Width 1.56 Inches, 3 Way - PRICE CONFIRMED 8/20/13</t>
        </is>
      </c>
      <c r="E192" s="15" t="n">
        <v>1</v>
      </c>
      <c r="F192" s="17" t="inlineStr">
        <is>
          <t>each</t>
        </is>
      </c>
      <c r="G192" s="15" t="inlineStr">
        <is>
          <t>Grainger</t>
        </is>
      </c>
      <c r="H192" s="15" t="inlineStr">
        <is>
          <t>3NA88</t>
        </is>
      </c>
      <c r="I192" s="15" t="inlineStr">
        <is>
          <t>NO</t>
        </is>
      </c>
      <c r="J192" s="18" t="n">
        <v>91.17</v>
      </c>
      <c r="K192" s="21" t="n">
        <v>45348</v>
      </c>
      <c r="L192" s="19" t="n">
        <v>0.07732806844356691</v>
      </c>
      <c r="M192" s="20" t="n">
        <v>84.12</v>
      </c>
      <c r="N192" s="21" t="n"/>
      <c r="O192" s="22" t="inlineStr">
        <is>
          <t>, 2/15/2024, 84.12</t>
        </is>
      </c>
      <c r="P192" s="24" t="n"/>
    </row>
    <row r="193" ht="40.5" customHeight="1">
      <c r="A193" s="14" t="inlineStr">
        <is>
          <t>1DDX1</t>
        </is>
      </c>
      <c r="B193" s="15" t="inlineStr">
        <is>
          <t>7015 56 11</t>
        </is>
      </c>
      <c r="C193" s="15" t="inlineStr">
        <is>
          <t>Legris</t>
        </is>
      </c>
      <c r="D193" s="15" t="inlineStr">
        <is>
          <t>Flow Control Regulator, Compact, Knobless, Tube Size 1/4 In, Pipe Size 1/8 In, Hex Size 13mm, Tube x MNPT Connection, Temp Range 32 To 158 Deg F, Material of Construction Nickel Plated Brass And Glass Filled Nylon</t>
        </is>
      </c>
      <c r="E193" s="15" t="n">
        <v>1</v>
      </c>
      <c r="F193" s="17" t="inlineStr">
        <is>
          <t>each</t>
        </is>
      </c>
      <c r="G193" s="15" t="inlineStr">
        <is>
          <t>Grainger</t>
        </is>
      </c>
      <c r="H193" s="15" t="inlineStr">
        <is>
          <t>1DDX1</t>
        </is>
      </c>
      <c r="I193" s="15" t="inlineStr">
        <is>
          <t>NO</t>
        </is>
      </c>
      <c r="J193" s="18" t="n">
        <v>29.39</v>
      </c>
      <c r="K193" s="21" t="n">
        <v>45348</v>
      </c>
      <c r="L193" s="19" t="n">
        <v>0.266076896903709</v>
      </c>
      <c r="M193" s="20" t="n">
        <v>21.57</v>
      </c>
      <c r="N193" s="21" t="n"/>
      <c r="O193" s="22" t="inlineStr">
        <is>
          <t>, 2/15/2024, 21.57</t>
        </is>
      </c>
      <c r="P193" s="24" t="n"/>
    </row>
    <row r="194" ht="40.5" customHeight="1">
      <c r="A194" s="14" t="inlineStr">
        <is>
          <t>End Bearings</t>
        </is>
      </c>
      <c r="B194" s="15" t="inlineStr">
        <is>
          <t>N/A</t>
        </is>
      </c>
      <c r="C194" s="15" t="inlineStr">
        <is>
          <t>Advantage Conveyor, Inc.</t>
        </is>
      </c>
      <c r="D194" s="15" t="inlineStr">
        <is>
          <t xml:space="preserve">UHMW End Bearings </t>
        </is>
      </c>
      <c r="E194" s="15" t="n"/>
      <c r="F194" s="17" t="n">
        <v>200</v>
      </c>
      <c r="G194" s="15" t="inlineStr">
        <is>
          <t>Plastic Products</t>
        </is>
      </c>
      <c r="H194" s="15" t="inlineStr">
        <is>
          <t>N/A</t>
        </is>
      </c>
      <c r="I194" s="15" t="inlineStr">
        <is>
          <t>NO</t>
        </is>
      </c>
      <c r="J194" s="18" t="n">
        <v>10</v>
      </c>
      <c r="K194" s="14" t="n"/>
      <c r="L194" s="19" t="n"/>
      <c r="M194" s="20" t="n"/>
      <c r="N194" s="21" t="n"/>
      <c r="O194" s="22" t="n"/>
      <c r="P194" s="24" t="n"/>
    </row>
    <row r="195" ht="40.5" customHeight="1">
      <c r="A195" s="14" t="inlineStr">
        <is>
          <t>5071A58</t>
        </is>
      </c>
      <c r="B195" s="15" t="inlineStr">
        <is>
          <t>5071A58</t>
        </is>
      </c>
      <c r="C195" s="15" t="inlineStr">
        <is>
          <t>McMaster-Carr</t>
        </is>
      </c>
      <c r="D195" s="15" t="inlineStr">
        <is>
          <t>Pull-Action Toggle Clamp, U-Bolt, 720 lb Maximum Holding Capacity, Stainless Steel</t>
        </is>
      </c>
      <c r="E195" s="15" t="n"/>
      <c r="F195" s="17" t="inlineStr">
        <is>
          <t>Each</t>
        </is>
      </c>
      <c r="G195" s="15" t="inlineStr">
        <is>
          <t>McMaster-Carr</t>
        </is>
      </c>
      <c r="H195" s="15" t="inlineStr">
        <is>
          <t>5071A58</t>
        </is>
      </c>
      <c r="I195" s="15" t="inlineStr">
        <is>
          <t>NO</t>
        </is>
      </c>
      <c r="J195" s="18" t="n">
        <v>44.06</v>
      </c>
      <c r="K195" s="21" t="n">
        <v>45348</v>
      </c>
      <c r="L195" s="19" t="n">
        <v>0</v>
      </c>
      <c r="M195" s="20" t="n">
        <v>44.06</v>
      </c>
      <c r="N195" s="21" t="n">
        <v>45336</v>
      </c>
      <c r="O195" s="22" t="inlineStr">
        <is>
          <t>, 2/15/2024, 44.06</t>
        </is>
      </c>
      <c r="P195" s="24" t="n"/>
    </row>
    <row r="196" ht="40.5" customHeight="1">
      <c r="A196" s="14" t="inlineStr">
        <is>
          <t>15095A41</t>
        </is>
      </c>
      <c r="B196" s="15" t="inlineStr">
        <is>
          <t>15095A41</t>
        </is>
      </c>
      <c r="C196" s="15" t="inlineStr">
        <is>
          <t>McMaster-Carr</t>
        </is>
      </c>
      <c r="D196" s="15" t="inlineStr">
        <is>
          <t>Unfinished 316 Stainless Steel Surface-Mount Hinge without Holes, Nonremovable Pin, 2" Height, 2" Width, .075" Thickness</t>
        </is>
      </c>
      <c r="E196" s="15" t="n"/>
      <c r="F196" s="17" t="inlineStr">
        <is>
          <t>Each</t>
        </is>
      </c>
      <c r="G196" s="15" t="inlineStr">
        <is>
          <t>McMaster-Carr</t>
        </is>
      </c>
      <c r="H196" s="15" t="inlineStr">
        <is>
          <t>15095A41</t>
        </is>
      </c>
      <c r="I196" s="15" t="inlineStr">
        <is>
          <t>NO</t>
        </is>
      </c>
      <c r="J196" s="18" t="n">
        <v>10.48</v>
      </c>
      <c r="K196" s="21" t="n">
        <v>45348</v>
      </c>
      <c r="L196" s="19" t="n">
        <v>0</v>
      </c>
      <c r="M196" s="20" t="n">
        <v>10.48</v>
      </c>
      <c r="N196" s="21" t="n">
        <v>45337</v>
      </c>
      <c r="O196" s="22" t="inlineStr">
        <is>
          <t>, 2/15/2024, 9.85</t>
        </is>
      </c>
      <c r="P196" s="24" t="n"/>
    </row>
    <row r="197" ht="40.5" customHeight="1">
      <c r="A197" s="14" t="inlineStr">
        <is>
          <t>614-29-3</t>
        </is>
      </c>
      <c r="B197" s="15" t="inlineStr">
        <is>
          <t>614-29-3</t>
        </is>
      </c>
      <c r="C197" s="15" t="inlineStr">
        <is>
          <t>Rexnord</t>
        </is>
      </c>
      <c r="D197" s="15" t="inlineStr">
        <is>
          <t>NS882 Thermoplastic Split Sprocket 12T  1.25" Round Bore w/ Key way and setscrew</t>
        </is>
      </c>
      <c r="E197" s="15" t="n"/>
      <c r="F197" s="17" t="n"/>
      <c r="G197" s="15" t="inlineStr">
        <is>
          <t>Rexnord</t>
        </is>
      </c>
      <c r="H197" s="15" t="inlineStr">
        <is>
          <t>N/A</t>
        </is>
      </c>
      <c r="I197" s="15" t="inlineStr">
        <is>
          <t>NO</t>
        </is>
      </c>
      <c r="J197" s="18" t="n">
        <v>34.15</v>
      </c>
      <c r="K197" s="14" t="n"/>
      <c r="L197" s="19" t="n"/>
      <c r="M197" s="20" t="n"/>
      <c r="N197" s="21" t="n"/>
      <c r="O197" s="22" t="n"/>
      <c r="P197" s="24" t="n"/>
    </row>
    <row r="198" ht="40.5" customHeight="1">
      <c r="A198" s="14" t="inlineStr">
        <is>
          <t>614-34-3</t>
        </is>
      </c>
      <c r="B198" s="15" t="n">
        <v>10028729</v>
      </c>
      <c r="C198" s="15" t="inlineStr">
        <is>
          <t>Rexnord</t>
        </is>
      </c>
      <c r="D198" s="15" t="inlineStr">
        <is>
          <t>NS880 Thermoplastic Split Sprocket 12T - 1.25" Round Bore W/ Keyway and Setscrew - Price Confirmed: 02.12.19</t>
        </is>
      </c>
      <c r="E198" s="15" t="n"/>
      <c r="F198" s="17" t="n">
        <v>1</v>
      </c>
      <c r="G198" s="15" t="inlineStr">
        <is>
          <t>Rexnord</t>
        </is>
      </c>
      <c r="H198" s="15" t="n">
        <v>10028729</v>
      </c>
      <c r="I198" s="15" t="inlineStr">
        <is>
          <t>NO</t>
        </is>
      </c>
      <c r="J198" s="18" t="n">
        <v>36.61</v>
      </c>
      <c r="K198" s="14" t="n"/>
      <c r="L198" s="19" t="n"/>
      <c r="M198" s="20" t="n"/>
      <c r="N198" s="21" t="n"/>
      <c r="O198" s="22" t="n"/>
      <c r="P198" s="24" t="n"/>
    </row>
    <row r="199" ht="40.5" customHeight="1">
      <c r="A199" s="14" t="inlineStr">
        <is>
          <t>HP8505-18</t>
        </is>
      </c>
      <c r="B199" s="15" t="inlineStr">
        <is>
          <t>HP8505-18.00IN</t>
        </is>
      </c>
      <c r="C199" s="15" t="inlineStr">
        <is>
          <t>Rexnord</t>
        </is>
      </c>
      <c r="D199" s="15" t="inlineStr">
        <is>
          <t>High Performance 8505 - Straight Running Chain - 18" Wide - Price Confirmed: 01.22.14</t>
        </is>
      </c>
      <c r="E199" s="15" t="n"/>
      <c r="F199" s="17" t="n"/>
      <c r="G199" s="15" t="inlineStr">
        <is>
          <t>Rexnord</t>
        </is>
      </c>
      <c r="H199" s="15" t="inlineStr">
        <is>
          <t>HP8505-18</t>
        </is>
      </c>
      <c r="I199" s="15" t="inlineStr">
        <is>
          <t>NO</t>
        </is>
      </c>
      <c r="J199" s="18" t="n">
        <v>22.04</v>
      </c>
      <c r="K199" s="14" t="n"/>
      <c r="L199" s="19" t="n"/>
      <c r="M199" s="20" t="n"/>
      <c r="N199" s="21" t="n"/>
      <c r="O199" s="22" t="n"/>
      <c r="P199" s="24" t="n"/>
    </row>
    <row r="200" ht="40.5" customHeight="1">
      <c r="A200" s="14" t="inlineStr">
        <is>
          <t>614-190-3</t>
        </is>
      </c>
      <c r="B200" s="15" t="inlineStr">
        <is>
          <t>NS8500-25T_1_1/4_1KW_1SS</t>
        </is>
      </c>
      <c r="C200" s="15" t="inlineStr">
        <is>
          <t>Rexnord</t>
        </is>
      </c>
      <c r="D200" s="15" t="inlineStr">
        <is>
          <t>NS8500 Thermoplastic Split Sprocket 25T - 6.040" PD - 1.25" Round Bore W/ Keyway and Setscrew - Price Checked: 03.29.21</t>
        </is>
      </c>
      <c r="E200" s="15" t="n"/>
      <c r="F200" s="17" t="n"/>
      <c r="G200" s="15" t="inlineStr">
        <is>
          <t>Rexnord</t>
        </is>
      </c>
      <c r="H200" s="15" t="inlineStr">
        <is>
          <t>614-190-3</t>
        </is>
      </c>
      <c r="I200" s="15" t="inlineStr">
        <is>
          <t>NO</t>
        </is>
      </c>
      <c r="J200" s="18" t="n">
        <v>32.24</v>
      </c>
      <c r="K200" s="14" t="n"/>
      <c r="L200" s="19" t="n"/>
      <c r="M200" s="20" t="n"/>
      <c r="N200" s="21" t="n"/>
      <c r="O200" s="22" t="n"/>
      <c r="P200" s="24" t="n"/>
    </row>
    <row r="201" ht="40.5" customHeight="1">
      <c r="A201" s="14" t="inlineStr">
        <is>
          <t>44635K271</t>
        </is>
      </c>
      <c r="B201" s="15" t="inlineStr">
        <is>
          <t>44635K271</t>
        </is>
      </c>
      <c r="C201" s="15" t="inlineStr">
        <is>
          <t>McMaster-Carr</t>
        </is>
      </c>
      <c r="D201" s="15" t="inlineStr">
        <is>
          <t>Standard-Wall T304 Stainless Steel Unthreaded Welded Pipe, 304/304L Stainless Steel, 1 Pipe Size x 1' Length - 10/20/21</t>
        </is>
      </c>
      <c r="E201" s="15" t="n"/>
      <c r="F201" s="17" t="inlineStr">
        <is>
          <t>Each</t>
        </is>
      </c>
      <c r="G201" s="15" t="inlineStr">
        <is>
          <t>McMaster-Carr</t>
        </is>
      </c>
      <c r="H201" s="15" t="inlineStr">
        <is>
          <t>44635K271</t>
        </is>
      </c>
      <c r="I201" s="15" t="inlineStr">
        <is>
          <t>NO</t>
        </is>
      </c>
      <c r="J201" s="18" t="n">
        <v>47.1</v>
      </c>
      <c r="K201" s="21" t="n">
        <v>45348</v>
      </c>
      <c r="L201" s="19" t="n">
        <v>0</v>
      </c>
      <c r="M201" s="20" t="n">
        <v>47.1</v>
      </c>
      <c r="N201" s="21" t="n">
        <v>45336</v>
      </c>
      <c r="O201" s="22" t="inlineStr">
        <is>
          <t>, 2/15/2024, 47.1</t>
        </is>
      </c>
      <c r="P201" s="24" t="n"/>
    </row>
    <row r="202" ht="40.5" customHeight="1">
      <c r="A202" s="14" t="inlineStr">
        <is>
          <t>40BS20-1-1/4</t>
        </is>
      </c>
      <c r="B202" s="15" t="n">
        <v>168377</v>
      </c>
      <c r="C202" s="15" t="inlineStr">
        <is>
          <t>Martin</t>
        </is>
      </c>
      <c r="D202" s="15" t="inlineStr">
        <is>
          <t>20 Tooth #40 Sprocket with 1.25" Dia. Bore - Price Checked 06.23.21</t>
        </is>
      </c>
      <c r="E202" s="15" t="n"/>
      <c r="F202" s="17" t="n">
        <v>1</v>
      </c>
      <c r="G202" s="15" t="inlineStr">
        <is>
          <t>Motion Industries</t>
        </is>
      </c>
      <c r="H202" s="15" t="n">
        <v>168377</v>
      </c>
      <c r="I202" s="15" t="inlineStr">
        <is>
          <t>NO</t>
        </is>
      </c>
      <c r="J202" s="18" t="n">
        <v>33</v>
      </c>
      <c r="K202" s="14" t="n"/>
      <c r="L202" s="19" t="n"/>
      <c r="M202" s="20" t="n"/>
      <c r="N202" s="21" t="n"/>
      <c r="O202" s="22" t="n"/>
      <c r="P202" s="24" t="n"/>
    </row>
    <row r="203" ht="40.5" customHeight="1">
      <c r="A203" s="14" t="inlineStr">
        <is>
          <t>90268A035</t>
        </is>
      </c>
      <c r="B203" s="15" t="inlineStr">
        <is>
          <t>90268A035</t>
        </is>
      </c>
      <c r="C203" s="15" t="inlineStr">
        <is>
          <t>McMaster-Carr</t>
        </is>
      </c>
      <c r="D203" s="15" t="inlineStr">
        <is>
          <t>18-8 Stainless Steel Coupling Nut, 5/8"-11 Thread Size, 1-3/4" Length, 7/8" Width</t>
        </is>
      </c>
      <c r="E203" s="15" t="n"/>
      <c r="F203" s="17" t="inlineStr">
        <is>
          <t>Each</t>
        </is>
      </c>
      <c r="G203" s="15" t="inlineStr">
        <is>
          <t>McMaster-Carr</t>
        </is>
      </c>
      <c r="H203" s="15" t="inlineStr">
        <is>
          <t>90268A035</t>
        </is>
      </c>
      <c r="I203" s="15" t="inlineStr">
        <is>
          <t>NO</t>
        </is>
      </c>
      <c r="J203" s="18" t="n">
        <v>7.9</v>
      </c>
      <c r="K203" s="21" t="n">
        <v>45348</v>
      </c>
      <c r="L203" s="19" t="n">
        <v>0</v>
      </c>
      <c r="M203" s="20" t="n">
        <v>7.9</v>
      </c>
      <c r="N203" s="21" t="n">
        <v>45337</v>
      </c>
      <c r="O203" s="22" t="inlineStr">
        <is>
          <t>, 2/15/2024, 4.9</t>
        </is>
      </c>
      <c r="P203" s="24" t="n"/>
    </row>
    <row r="204" ht="40.5" customHeight="1">
      <c r="A204" s="14" t="inlineStr">
        <is>
          <t>614-143-1</t>
        </is>
      </c>
      <c r="B204" s="15" t="inlineStr">
        <is>
          <t>614-143-1</t>
        </is>
      </c>
      <c r="C204" s="15" t="inlineStr">
        <is>
          <t>Rexnord</t>
        </is>
      </c>
      <c r="D204" s="15" t="inlineStr">
        <is>
          <t>NS1500 Thermoplastic Split Sprocket, 24Tooth,  1 " Dia. Bore, Keyway w/ Set Screw, Price Checked 08.24.18</t>
        </is>
      </c>
      <c r="E204" s="15" t="n"/>
      <c r="F204" s="17" t="n"/>
      <c r="G204" s="15" t="inlineStr">
        <is>
          <t>Rexnord</t>
        </is>
      </c>
      <c r="H204" s="15" t="inlineStr">
        <is>
          <t>614-143-7</t>
        </is>
      </c>
      <c r="I204" s="15" t="inlineStr">
        <is>
          <t>NO</t>
        </is>
      </c>
      <c r="J204" s="18" t="n">
        <v>29.76</v>
      </c>
      <c r="K204" s="14" t="n"/>
      <c r="L204" s="19" t="n"/>
      <c r="M204" s="20" t="n"/>
      <c r="N204" s="21" t="n"/>
      <c r="O204" s="22" t="n"/>
      <c r="P204" s="24" t="n"/>
    </row>
    <row r="205" ht="40.5" customHeight="1">
      <c r="A205" s="14" t="inlineStr">
        <is>
          <t>25-JBAA</t>
        </is>
      </c>
      <c r="B205" s="15" t="inlineStr">
        <is>
          <t>25-JBAA</t>
        </is>
      </c>
      <c r="C205" s="15" t="inlineStr">
        <is>
          <t>Allen Bradley</t>
        </is>
      </c>
      <c r="D205" s="15" t="inlineStr">
        <is>
          <t>PF520 Series NEMA/UL Type 1 KIT Frame A - Price Confirmed: 01.01.19</t>
        </is>
      </c>
      <c r="E205" s="15" t="n"/>
      <c r="F205" s="17" t="n">
        <v>5</v>
      </c>
      <c r="G205" s="15" t="inlineStr">
        <is>
          <t>Electric Supply &amp; Equipment. Co.</t>
        </is>
      </c>
      <c r="H205" s="15" t="inlineStr">
        <is>
          <t>25-JBAA</t>
        </is>
      </c>
      <c r="I205" s="15" t="inlineStr">
        <is>
          <t>NO</t>
        </is>
      </c>
      <c r="J205" s="18" t="n">
        <v>24.92</v>
      </c>
      <c r="K205" s="14" t="n"/>
      <c r="L205" s="19" t="n"/>
      <c r="M205" s="20" t="n"/>
      <c r="N205" s="21" t="n"/>
      <c r="O205" s="22" t="n"/>
      <c r="P205" s="24" t="n"/>
    </row>
    <row r="206" ht="40.5" customHeight="1">
      <c r="A206" s="14" t="inlineStr">
        <is>
          <t>89895K769</t>
        </is>
      </c>
      <c r="B206" s="15" t="inlineStr">
        <is>
          <t>89895K769</t>
        </is>
      </c>
      <c r="C206" s="15" t="inlineStr">
        <is>
          <t>McMaster-Carr</t>
        </is>
      </c>
      <c r="D206" s="15" t="inlineStr">
        <is>
          <t>Type 304 Smooth-Bore Seamless Stainless Steel Tubing, 1" OD, .87" ID, .065" Wall, 6' Length</t>
        </is>
      </c>
      <c r="E206" s="15" t="n"/>
      <c r="F206" s="17" t="n"/>
      <c r="G206" s="15" t="inlineStr">
        <is>
          <t>McMaster-Carr</t>
        </is>
      </c>
      <c r="H206" s="15" t="inlineStr">
        <is>
          <t>89895K769</t>
        </is>
      </c>
      <c r="I206" s="15" t="inlineStr">
        <is>
          <t>NO</t>
        </is>
      </c>
      <c r="J206" s="18" t="n">
        <v>0</v>
      </c>
      <c r="K206" s="21" t="n">
        <v>45348</v>
      </c>
      <c r="L206" s="19" t="n"/>
      <c r="M206" s="20" t="n">
        <v>61.93</v>
      </c>
      <c r="N206" s="21" t="n"/>
      <c r="O206" s="22" t="inlineStr">
        <is>
          <t>, 2/15/2024, 0</t>
        </is>
      </c>
      <c r="P206" s="24" t="n"/>
    </row>
    <row r="207" ht="40.5" customHeight="1">
      <c r="A207" s="14" t="inlineStr">
        <is>
          <t>RH ACME ROD</t>
        </is>
      </c>
      <c r="B207" s="15" t="inlineStr">
        <is>
          <t>N/A</t>
        </is>
      </c>
      <c r="C207" s="15" t="inlineStr">
        <is>
          <t>Automotive Fasteners</t>
        </is>
      </c>
      <c r="D207" s="15" t="inlineStr">
        <is>
          <t>NSFT 3/4-5 X 6FT RH THD ACME FULL THD ROD 18-8- SS</t>
        </is>
      </c>
      <c r="E207" s="15" t="n"/>
      <c r="F207" s="17" t="n">
        <v>1</v>
      </c>
      <c r="G207" s="15" t="inlineStr">
        <is>
          <t>Automotive Fasteners</t>
        </is>
      </c>
      <c r="H207" s="15" t="inlineStr">
        <is>
          <t>N/A</t>
        </is>
      </c>
      <c r="I207" s="15" t="inlineStr">
        <is>
          <t>NO</t>
        </is>
      </c>
      <c r="J207" s="18" t="n">
        <v>107.58</v>
      </c>
      <c r="K207" s="14" t="n"/>
      <c r="L207" s="19" t="n"/>
      <c r="M207" s="20" t="n"/>
      <c r="N207" s="21" t="n"/>
      <c r="O207" s="22" t="n"/>
      <c r="P207" s="24" t="n"/>
    </row>
    <row r="208" ht="40.5" customHeight="1">
      <c r="A208" s="14" t="inlineStr">
        <is>
          <t>LH ACME ROD</t>
        </is>
      </c>
      <c r="B208" s="15" t="inlineStr">
        <is>
          <t>N/A</t>
        </is>
      </c>
      <c r="C208" s="15" t="inlineStr">
        <is>
          <t>Automotive Fasteners</t>
        </is>
      </c>
      <c r="D208" s="15" t="inlineStr">
        <is>
          <t>NSFT 3/4-5 X 6 FT LH THD ACME FULL THD ROD 18-8 SS</t>
        </is>
      </c>
      <c r="E208" s="15" t="n"/>
      <c r="F208" s="17" t="n">
        <v>0</v>
      </c>
      <c r="G208" s="15" t="inlineStr">
        <is>
          <t>Automotive Fasteners</t>
        </is>
      </c>
      <c r="H208" s="15" t="inlineStr">
        <is>
          <t>N/A</t>
        </is>
      </c>
      <c r="I208" s="15" t="inlineStr">
        <is>
          <t>NO</t>
        </is>
      </c>
      <c r="J208" s="18" t="n">
        <v>118.42</v>
      </c>
      <c r="K208" s="14" t="n"/>
      <c r="L208" s="19" t="n"/>
      <c r="M208" s="20" t="n"/>
      <c r="N208" s="21" t="n"/>
      <c r="O208" s="22" t="n"/>
      <c r="P208" s="24" t="n"/>
    </row>
    <row r="209" ht="40.5" customHeight="1">
      <c r="A209" s="14" t="inlineStr">
        <is>
          <t>6261K261</t>
        </is>
      </c>
      <c r="B209" s="15" t="inlineStr">
        <is>
          <t>6261K261</t>
        </is>
      </c>
      <c r="C209" s="15" t="inlineStr">
        <is>
          <t>McMaster-Carr</t>
        </is>
      </c>
      <c r="D209" s="15" t="inlineStr">
        <is>
          <t>Add-and-Connect Link for #35 Standard ANSI Roller Chain- Price Checked: 06.23.21</t>
        </is>
      </c>
      <c r="E209" s="15" t="n"/>
      <c r="F209" s="17" t="inlineStr">
        <is>
          <t>Each</t>
        </is>
      </c>
      <c r="G209" s="15" t="inlineStr">
        <is>
          <t>McMaster-Carr</t>
        </is>
      </c>
      <c r="H209" s="15" t="inlineStr">
        <is>
          <t>6261K261</t>
        </is>
      </c>
      <c r="I209" s="15" t="inlineStr">
        <is>
          <t>NO</t>
        </is>
      </c>
      <c r="J209" s="18" t="n">
        <v>3.48</v>
      </c>
      <c r="K209" s="21" t="n">
        <v>45348</v>
      </c>
      <c r="L209" s="19" t="n">
        <v>0</v>
      </c>
      <c r="M209" s="20" t="n">
        <v>3.48</v>
      </c>
      <c r="N209" s="21" t="n">
        <v>45336</v>
      </c>
      <c r="O209" s="22" t="inlineStr">
        <is>
          <t>, 2/15/2024, 3.48</t>
        </is>
      </c>
      <c r="P209" s="24" t="n"/>
    </row>
    <row r="210" ht="40.5" customHeight="1">
      <c r="A210" s="14" t="inlineStr">
        <is>
          <t>92125A239</t>
        </is>
      </c>
      <c r="B210" s="15" t="inlineStr">
        <is>
          <t>92125A239</t>
        </is>
      </c>
      <c r="C210" s="36" t="inlineStr">
        <is>
          <t>McMaster-Carr</t>
        </is>
      </c>
      <c r="D210" s="16" t="inlineStr">
        <is>
          <t>Type 18-8 Stainless Steel Flat-Head Socket Cap Screw, M6 Size, 18mm Length, 1.00mm Pitch, Pack of 25</t>
        </is>
      </c>
      <c r="E210" s="16" t="n">
        <v>25</v>
      </c>
      <c r="F210" s="17" t="inlineStr">
        <is>
          <t>pack</t>
        </is>
      </c>
      <c r="G210" s="15" t="inlineStr">
        <is>
          <t>McMaster-Carr</t>
        </is>
      </c>
      <c r="H210" s="15" t="inlineStr">
        <is>
          <t>92125A239</t>
        </is>
      </c>
      <c r="I210" s="15" t="inlineStr">
        <is>
          <t>NO</t>
        </is>
      </c>
      <c r="J210" s="18" t="n">
        <v>8.880000000000001</v>
      </c>
      <c r="K210" s="21" t="n">
        <v>45348</v>
      </c>
      <c r="L210" s="19" t="n">
        <v>0</v>
      </c>
      <c r="M210" s="20" t="n">
        <v>8.880000000000001</v>
      </c>
      <c r="N210" s="21" t="n">
        <v>45336</v>
      </c>
      <c r="O210" s="22" t="inlineStr">
        <is>
          <t>, 2/15/2024, 8.88</t>
        </is>
      </c>
      <c r="P210" s="24" t="n"/>
    </row>
    <row r="211" ht="40.5" customHeight="1">
      <c r="A211" s="14" t="inlineStr">
        <is>
          <t>SA47DRE80M4/DH</t>
        </is>
      </c>
      <c r="B211" s="15" t="inlineStr">
        <is>
          <t>SA47DRE80M4/DH</t>
        </is>
      </c>
      <c r="C211" s="15" t="inlineStr">
        <is>
          <t>SEW-Eurodrive</t>
        </is>
      </c>
      <c r="D211" s="15" t="inlineStr">
        <is>
          <t>SEW-Eurodrive 1 HP - __RPM - ___ Ratio - 230/460 VAC Gearmotor - 1-1/4" dia. hollow bore  W/ OS4 Surface Protection - ___ Mount - ___ TB Position -___ Cable Entry</t>
        </is>
      </c>
      <c r="E211" s="15" t="n"/>
      <c r="F211" s="17" t="n"/>
      <c r="G211" s="15" t="inlineStr">
        <is>
          <t>SEW-Eurodrive</t>
        </is>
      </c>
      <c r="H211" s="15" t="inlineStr">
        <is>
          <t>SA47DRE80M4/DH</t>
        </is>
      </c>
      <c r="I211" s="15" t="inlineStr">
        <is>
          <t>NO</t>
        </is>
      </c>
      <c r="J211" s="18" t="n"/>
      <c r="K211" s="14" t="n"/>
      <c r="L211" s="19" t="n"/>
      <c r="M211" s="20" t="n"/>
      <c r="N211" s="21" t="n"/>
      <c r="O211" s="22" t="n"/>
      <c r="P211" s="24" t="n"/>
    </row>
    <row r="212" ht="40.5" customHeight="1">
      <c r="A212" s="14" t="inlineStr">
        <is>
          <t>6320K19</t>
        </is>
      </c>
      <c r="B212" s="15" t="inlineStr">
        <is>
          <t>6320K19</t>
        </is>
      </c>
      <c r="C212" s="15" t="inlineStr">
        <is>
          <t>McMaster-Carr</t>
        </is>
      </c>
      <c r="D212" s="15" t="inlineStr">
        <is>
          <t xml:space="preserve">Nylon Adjustable Handle with Stainless Steel Components, 5/16"-18 x 3/4" Thread Length, 2-1/2" Long Handle </t>
        </is>
      </c>
      <c r="E212" s="15" t="n"/>
      <c r="F212" s="17" t="inlineStr">
        <is>
          <t>Each</t>
        </is>
      </c>
      <c r="G212" s="15" t="inlineStr">
        <is>
          <t>McMaster-Carr</t>
        </is>
      </c>
      <c r="H212" s="15" t="inlineStr">
        <is>
          <t>6320K19</t>
        </is>
      </c>
      <c r="I212" s="15" t="inlineStr">
        <is>
          <t>NO</t>
        </is>
      </c>
      <c r="J212" s="18" t="n">
        <v>13.06</v>
      </c>
      <c r="K212" s="21" t="n">
        <v>45348</v>
      </c>
      <c r="L212" s="19" t="n">
        <v>0</v>
      </c>
      <c r="M212" s="20" t="n">
        <v>13.06</v>
      </c>
      <c r="N212" s="21" t="n">
        <v>45336</v>
      </c>
      <c r="O212" s="22" t="inlineStr">
        <is>
          <t>, 2/15/2024, 13.06</t>
        </is>
      </c>
      <c r="P212" s="24" t="n"/>
    </row>
    <row r="213" ht="40.5" customHeight="1">
      <c r="A213" s="14" t="inlineStr">
        <is>
          <t>CSS5/8TWOPC</t>
        </is>
      </c>
      <c r="B213" s="15" t="inlineStr">
        <is>
          <t>CSS5/8TWOPC</t>
        </is>
      </c>
      <c r="C213" s="15" t="inlineStr">
        <is>
          <t>POBCO, Inc.</t>
        </is>
      </c>
      <c r="D213" s="15" t="inlineStr">
        <is>
          <t>Heavy Duty Rail Clip, Stainless Steel, 5/16-18 x 5/8" Long Stud - 1EA
INCORRECT P/N PLEASE UPDATE TO CSS-5/8TWOPC</t>
        </is>
      </c>
      <c r="E213" s="15" t="n"/>
      <c r="F213" s="17" t="n">
        <v>1</v>
      </c>
      <c r="G213" s="15" t="inlineStr">
        <is>
          <t>POBCO, Inc.</t>
        </is>
      </c>
      <c r="H213" s="15" t="inlineStr">
        <is>
          <t>CSS5/8TWOPC</t>
        </is>
      </c>
      <c r="I213" s="15" t="inlineStr">
        <is>
          <t>NO</t>
        </is>
      </c>
      <c r="J213" s="18" t="inlineStr">
        <is>
          <t>INCORRECT P/N
PLEASE UPDATE</t>
        </is>
      </c>
      <c r="K213" s="14" t="inlineStr">
        <is>
          <t>BAD P/N</t>
        </is>
      </c>
      <c r="L213" s="19" t="n"/>
      <c r="M213" s="20" t="n"/>
      <c r="N213" s="21" t="n"/>
      <c r="O213" s="22" t="n"/>
      <c r="P213" s="24" t="n"/>
    </row>
    <row r="214" ht="40.5" customHeight="1">
      <c r="A214" s="14" t="inlineStr">
        <is>
          <t>WA30DRS71S4/DH</t>
        </is>
      </c>
      <c r="B214" s="15" t="inlineStr">
        <is>
          <t>WA30DRS71S4/DH</t>
        </is>
      </c>
      <c r="C214" s="15" t="inlineStr">
        <is>
          <t>SEW-Eurodrive</t>
        </is>
      </c>
      <c r="D214" s="15" t="inlineStr">
        <is>
          <t>SEW-Eurodrive__ HP - __ RPM - __ Ratio - 230/460 VAC Gearmotor - OS4 Epoxy Gray Paint - 1-1/4" dia. hollow bore - __ Mount - __ TB Position</t>
        </is>
      </c>
      <c r="E214" s="15" t="n"/>
      <c r="F214" s="17" t="n"/>
      <c r="G214" s="15" t="inlineStr">
        <is>
          <t>SEW-Eurodrive</t>
        </is>
      </c>
      <c r="H214" s="15" t="inlineStr">
        <is>
          <t>WA30DRS71S4/DH</t>
        </is>
      </c>
      <c r="I214" s="15" t="inlineStr">
        <is>
          <t>NO</t>
        </is>
      </c>
      <c r="J214" s="18" t="n">
        <v>0</v>
      </c>
      <c r="K214" s="14" t="n"/>
      <c r="L214" s="19" t="n"/>
      <c r="M214" s="20" t="n"/>
      <c r="N214" s="21" t="n"/>
      <c r="O214" s="22" t="n"/>
      <c r="P214" s="24" t="n"/>
    </row>
    <row r="215" ht="40.5" customHeight="1">
      <c r="A215" s="14" t="inlineStr">
        <is>
          <t>HP1505-6IN_MTW</t>
        </is>
      </c>
      <c r="B215" s="15" t="n">
        <v>10028894</v>
      </c>
      <c r="C215" s="15" t="inlineStr">
        <is>
          <t>Rexnord</t>
        </is>
      </c>
      <c r="D215" s="15" t="inlineStr">
        <is>
          <t>Rexnord High Performance Series 1505 Flat Top Belting Molded to Width - 6" wide -Price Checked:09/12/23</t>
        </is>
      </c>
      <c r="E215" s="15" t="n"/>
      <c r="F215" s="17" t="n"/>
      <c r="G215" s="15" t="inlineStr">
        <is>
          <t>Rexnord</t>
        </is>
      </c>
      <c r="H215" s="15" t="n">
        <v>10028894</v>
      </c>
      <c r="I215" s="15" t="inlineStr">
        <is>
          <t>NO</t>
        </is>
      </c>
      <c r="J215" s="18" t="n">
        <v>13.27</v>
      </c>
      <c r="K215" s="14" t="n"/>
      <c r="L215" s="19" t="n"/>
      <c r="M215" s="20" t="n"/>
      <c r="N215" s="21" t="n"/>
      <c r="O215" s="22" t="n"/>
      <c r="P215" s="24" t="n"/>
    </row>
    <row r="216" ht="40.5" customHeight="1">
      <c r="A216" s="14" t="inlineStr">
        <is>
          <t>HP1505-21.75in</t>
        </is>
      </c>
      <c r="B216" s="15" t="inlineStr">
        <is>
          <t>HP1505-21.75in</t>
        </is>
      </c>
      <c r="C216" s="15" t="inlineStr">
        <is>
          <t>Rexnord</t>
        </is>
      </c>
      <c r="D216" s="15" t="inlineStr">
        <is>
          <t>High Performance 1505 Chain - 21.75" Wide  - Price Checked: 09.19.14</t>
        </is>
      </c>
      <c r="E216" s="15" t="n"/>
      <c r="F216" s="17" t="n">
        <v>14.34375</v>
      </c>
      <c r="G216" s="15" t="inlineStr">
        <is>
          <t>Rexnord</t>
        </is>
      </c>
      <c r="H216" s="15" t="inlineStr">
        <is>
          <t>HP1505-21.75in</t>
        </is>
      </c>
      <c r="I216" s="15" t="inlineStr">
        <is>
          <t>NO</t>
        </is>
      </c>
      <c r="J216" s="18" t="n">
        <v>41.31</v>
      </c>
      <c r="K216" s="14" t="n"/>
      <c r="L216" s="19" t="n"/>
      <c r="M216" s="20" t="n"/>
      <c r="N216" s="21" t="n"/>
      <c r="O216" s="22" t="n"/>
      <c r="P216" s="24" t="n"/>
    </row>
    <row r="217" ht="40.5" customHeight="1">
      <c r="A217" s="14" t="inlineStr">
        <is>
          <t>HP8505-4.5_MTW</t>
        </is>
      </c>
      <c r="B217" s="15" t="inlineStr">
        <is>
          <t>HP8505-4.5IN_MTW</t>
        </is>
      </c>
      <c r="C217" s="15" t="inlineStr">
        <is>
          <t>Rexnord</t>
        </is>
      </c>
      <c r="D217" s="15" t="inlineStr">
        <is>
          <t>High Performance 8505 - Straight Running Chain - 4.5" Wide - Price Confirmed: 2.23.15</t>
        </is>
      </c>
      <c r="E217" s="15" t="n"/>
      <c r="F217" s="17" t="n">
        <v>20.8333333333333</v>
      </c>
      <c r="G217" s="15" t="inlineStr">
        <is>
          <t>Rexnord</t>
        </is>
      </c>
      <c r="H217" s="15" t="inlineStr">
        <is>
          <t>N/A</t>
        </is>
      </c>
      <c r="I217" s="15" t="inlineStr">
        <is>
          <t>NO</t>
        </is>
      </c>
      <c r="J217" s="18" t="n">
        <v>8.789999999999999</v>
      </c>
      <c r="K217" s="14" t="n"/>
      <c r="L217" s="19" t="n"/>
      <c r="M217" s="20" t="n"/>
      <c r="N217" s="21" t="n"/>
      <c r="O217" s="22" t="n"/>
      <c r="P217" s="24" t="n"/>
    </row>
    <row r="218" ht="40.5" customHeight="1">
      <c r="A218" s="14" t="inlineStr">
        <is>
          <t>3403A34</t>
        </is>
      </c>
      <c r="B218" s="15" t="inlineStr">
        <is>
          <t>3403A34</t>
        </is>
      </c>
      <c r="C218" s="15" t="inlineStr">
        <is>
          <t>McMaster-Carr</t>
        </is>
      </c>
      <c r="D218" s="15" t="inlineStr">
        <is>
          <t xml:space="preserve">Retractable Spring Plunger with L-Handle, Stainless Steel, Lock Nose, 5/8"-11 Thread, .8-2.5 lb. Nose Force </t>
        </is>
      </c>
      <c r="E218" s="15" t="n"/>
      <c r="F218" s="17" t="inlineStr">
        <is>
          <t>Each</t>
        </is>
      </c>
      <c r="G218" s="15" t="inlineStr">
        <is>
          <t>McMaster-Carr</t>
        </is>
      </c>
      <c r="H218" s="15" t="inlineStr">
        <is>
          <t>3403A34</t>
        </is>
      </c>
      <c r="I218" s="15" t="inlineStr">
        <is>
          <t>NO</t>
        </is>
      </c>
      <c r="J218" s="18" t="n">
        <v>32.37</v>
      </c>
      <c r="K218" s="21" t="n">
        <v>45348</v>
      </c>
      <c r="L218" s="19" t="n">
        <v>0</v>
      </c>
      <c r="M218" s="20" t="n">
        <v>32.37</v>
      </c>
      <c r="N218" s="21" t="n">
        <v>45336</v>
      </c>
      <c r="O218" s="22" t="inlineStr">
        <is>
          <t>, 2/15/2024, 32.37</t>
        </is>
      </c>
      <c r="P218" s="24" t="n"/>
    </row>
    <row r="219" ht="40.5" customHeight="1">
      <c r="A219" s="14" t="inlineStr">
        <is>
          <t>6435K41</t>
        </is>
      </c>
      <c r="B219" s="15" t="inlineStr">
        <is>
          <t>6435K41</t>
        </is>
      </c>
      <c r="C219" s="15" t="inlineStr">
        <is>
          <t>McMaster-Carr</t>
        </is>
      </c>
      <c r="D219" s="15" t="inlineStr">
        <is>
          <t>One-Piece Clamp-on Shaft Collar, for 1-1/4" Diameter, Type 303 Stainless SteeL (Price Check 6/14/23</t>
        </is>
      </c>
      <c r="E219" s="15" t="n"/>
      <c r="F219" s="17" t="inlineStr">
        <is>
          <t>Each</t>
        </is>
      </c>
      <c r="G219" s="15" t="inlineStr">
        <is>
          <t>McMaster-Carr</t>
        </is>
      </c>
      <c r="H219" s="15" t="inlineStr">
        <is>
          <t>6435K41</t>
        </is>
      </c>
      <c r="I219" s="15" t="inlineStr">
        <is>
          <t>NO</t>
        </is>
      </c>
      <c r="J219" s="18" t="n">
        <v>38.95</v>
      </c>
      <c r="K219" s="21" t="n">
        <v>45348</v>
      </c>
      <c r="L219" s="19" t="n">
        <v>0</v>
      </c>
      <c r="M219" s="20" t="n">
        <v>38.95</v>
      </c>
      <c r="N219" s="21" t="n">
        <v>45336</v>
      </c>
      <c r="O219" s="22" t="inlineStr">
        <is>
          <t>, 2/15/2024, 38.95</t>
        </is>
      </c>
      <c r="P219" s="24" t="n"/>
    </row>
    <row r="220" ht="40.5" customHeight="1">
      <c r="A220" s="14" t="inlineStr">
        <is>
          <t>HP1505-9</t>
        </is>
      </c>
      <c r="B220" s="15" t="inlineStr">
        <is>
          <t>HP1505-9</t>
        </is>
      </c>
      <c r="C220" s="15" t="inlineStr">
        <is>
          <t>Rexnord</t>
        </is>
      </c>
      <c r="D220" s="15" t="inlineStr">
        <is>
          <t>High Performance 1505 Chain - 9" Wide X ___ FT Long - Price Checked: 10/05/23</t>
        </is>
      </c>
      <c r="E220" s="15" t="n"/>
      <c r="F220" s="17" t="n">
        <v>7.08333333333333</v>
      </c>
      <c r="G220" s="15" t="inlineStr">
        <is>
          <t>Rexnord</t>
        </is>
      </c>
      <c r="H220" s="15" t="inlineStr">
        <is>
          <t>N/A</t>
        </is>
      </c>
      <c r="I220" s="15" t="inlineStr">
        <is>
          <t>NO</t>
        </is>
      </c>
      <c r="J220" s="18" t="n">
        <v>19.91</v>
      </c>
      <c r="K220" s="14" t="n"/>
      <c r="L220" s="19" t="n"/>
      <c r="M220" s="20" t="n"/>
      <c r="N220" s="21" t="n"/>
      <c r="O220" s="22" t="n"/>
      <c r="P220" s="24" t="n"/>
    </row>
    <row r="221" ht="40.5" customHeight="1">
      <c r="A221" s="14" t="inlineStr">
        <is>
          <t>HP880TAB-BO-3.25IN</t>
        </is>
      </c>
      <c r="B221" s="15" t="inlineStr">
        <is>
          <t>L0880649241</t>
        </is>
      </c>
      <c r="C221" s="15" t="inlineStr">
        <is>
          <t>Rexnord</t>
        </is>
      </c>
      <c r="D221" s="15" t="inlineStr">
        <is>
          <t>High Performance 880TAB - 3-1/4 BO Conveyor Chain - Price Confirmed: 10.30.14</t>
        </is>
      </c>
      <c r="E221" s="15" t="n"/>
      <c r="F221" s="17" t="n"/>
      <c r="G221" s="15" t="inlineStr">
        <is>
          <t>Rexnord</t>
        </is>
      </c>
      <c r="H221" s="15" t="inlineStr">
        <is>
          <t>HP880TAB-BO-3.25IN</t>
        </is>
      </c>
      <c r="I221" s="15" t="inlineStr">
        <is>
          <t>NO</t>
        </is>
      </c>
      <c r="J221" s="18" t="n">
        <v>11.63</v>
      </c>
      <c r="K221" s="14" t="n"/>
      <c r="L221" s="19" t="n"/>
      <c r="M221" s="20" t="n"/>
      <c r="N221" s="21" t="n"/>
      <c r="O221" s="22" t="n"/>
      <c r="P221" s="24" t="n"/>
    </row>
    <row r="222" ht="60" customHeight="1">
      <c r="A222" s="14" t="inlineStr">
        <is>
          <t>HBLDS3</t>
        </is>
      </c>
      <c r="B222" s="15" t="inlineStr">
        <is>
          <t>HBLDS3</t>
        </is>
      </c>
      <c r="C222" s="15" t="inlineStr">
        <is>
          <t>Hubbell</t>
        </is>
      </c>
      <c r="D222" s="15" t="inlineStr">
        <is>
          <t>Disconnect Switch, Nonfusible, Heavy Duty, 30 Amps, Voltage 600VAC, 3 Phase, 10 HP @ 600VAC HP, 4, 4X, 12K NEMA Enclosure Type, 66 IP Rating, Material of Construction Valox with Stainless Steel Hardware, Number of Wires 5, Number of Poles 3, Contact Form 3PST, Height 7.6 In., Width 5.1 In., Depth 4.1 In., Standards UL/CSA - Price Confirmed: 10.10.16</t>
        </is>
      </c>
      <c r="E222" s="15" t="n"/>
      <c r="F222" s="17" t="n">
        <v>1</v>
      </c>
      <c r="G222" s="15" t="inlineStr">
        <is>
          <t>Eck Supply</t>
        </is>
      </c>
      <c r="H222" s="15" t="inlineStr">
        <is>
          <t>N/A</t>
        </is>
      </c>
      <c r="I222" s="15" t="inlineStr">
        <is>
          <t>NO</t>
        </is>
      </c>
      <c r="J222" s="18" t="n">
        <v>171.25</v>
      </c>
      <c r="K222" s="14" t="n"/>
      <c r="L222" s="19" t="n"/>
      <c r="M222" s="20" t="n"/>
      <c r="N222" s="21" t="n"/>
      <c r="O222" s="22" t="n"/>
      <c r="P222" s="24" t="n"/>
    </row>
    <row r="223" ht="40.5" customHeight="1">
      <c r="A223" s="14" t="inlineStr">
        <is>
          <t>LF880TAB-3.25IN</t>
        </is>
      </c>
      <c r="B223" s="15" t="inlineStr">
        <is>
          <t>L0880604031</t>
        </is>
      </c>
      <c r="C223" s="15" t="inlineStr">
        <is>
          <t>Rexnord</t>
        </is>
      </c>
      <c r="D223" s="15" t="inlineStr">
        <is>
          <t>LF 880 TAB-K325  BROWN  - Plastic Side Flexing - PRICE CONFIRMED 10.07.15</t>
        </is>
      </c>
      <c r="E223" s="15" t="n"/>
      <c r="F223" s="17" t="n">
        <v>14.6666666666667</v>
      </c>
      <c r="G223" s="15" t="inlineStr">
        <is>
          <t>Rexnord</t>
        </is>
      </c>
      <c r="H223" s="15" t="inlineStr">
        <is>
          <t>N/A</t>
        </is>
      </c>
      <c r="I223" s="15" t="inlineStr">
        <is>
          <t>NO</t>
        </is>
      </c>
      <c r="J223" s="18" t="n">
        <v>9.52</v>
      </c>
      <c r="K223" s="14" t="n"/>
      <c r="L223" s="19" t="n"/>
      <c r="M223" s="20" t="n"/>
      <c r="N223" s="21" t="n"/>
      <c r="O223" s="22" t="n"/>
      <c r="P223" s="24" t="n"/>
    </row>
    <row r="224" ht="40.5" customHeight="1">
      <c r="A224" s="14" t="inlineStr">
        <is>
          <t>614-34-12</t>
        </is>
      </c>
      <c r="B224" s="15" t="n">
        <v>10028728</v>
      </c>
      <c r="C224" s="15" t="inlineStr">
        <is>
          <t>Rexnord</t>
        </is>
      </c>
      <c r="D224" s="15" t="inlineStr">
        <is>
          <t>NS880 Thermoplastic Split Sprocket 12T - 1.25" Round Bore – Plain Bore - Price Confirmed: 11.20.15</t>
        </is>
      </c>
      <c r="E224" s="15" t="n"/>
      <c r="F224" s="17" t="n">
        <v>1</v>
      </c>
      <c r="G224" s="15" t="inlineStr">
        <is>
          <t>Rexnord</t>
        </is>
      </c>
      <c r="H224" s="15" t="n">
        <v>10028728</v>
      </c>
      <c r="I224" s="15" t="inlineStr">
        <is>
          <t>NO</t>
        </is>
      </c>
      <c r="J224" s="18" t="n">
        <v>33.66</v>
      </c>
      <c r="K224" s="14" t="n"/>
      <c r="L224" s="19" t="n"/>
      <c r="M224" s="20" t="n"/>
      <c r="N224" s="21" t="n"/>
      <c r="O224" s="22" t="n"/>
      <c r="P224" s="24" t="n"/>
    </row>
    <row r="225" ht="40.5" customHeight="1">
      <c r="A225" s="14" t="inlineStr">
        <is>
          <t>614-34-7</t>
        </is>
      </c>
      <c r="B225" s="15" t="n">
        <v>10028725</v>
      </c>
      <c r="C225" s="15" t="inlineStr">
        <is>
          <t>Rexnord</t>
        </is>
      </c>
      <c r="D225" s="15" t="inlineStr">
        <is>
          <t>NS880 Thermoplastic Split Sprocket 12T - 1.00" Round Bore Plain Bore - Price Confirmed: 11.20.15</t>
        </is>
      </c>
      <c r="E225" s="15" t="n"/>
      <c r="F225" s="17" t="n">
        <v>1</v>
      </c>
      <c r="G225" s="15" t="inlineStr">
        <is>
          <t>Rexnord</t>
        </is>
      </c>
      <c r="H225" s="15" t="n">
        <v>10028725</v>
      </c>
      <c r="I225" s="15" t="inlineStr">
        <is>
          <t>NO</t>
        </is>
      </c>
      <c r="J225" s="18" t="n">
        <v>33.66</v>
      </c>
      <c r="K225" s="14" t="n"/>
      <c r="L225" s="19" t="n"/>
      <c r="M225" s="20" t="n"/>
      <c r="N225" s="21" t="n"/>
      <c r="O225" s="22" t="n"/>
      <c r="P225" s="24" t="n"/>
    </row>
    <row r="226" ht="40.5" customHeight="1">
      <c r="A226" s="14" t="inlineStr">
        <is>
          <t>614-40-1</t>
        </is>
      </c>
      <c r="B226" s="15" t="inlineStr">
        <is>
          <t>614-40-1</t>
        </is>
      </c>
      <c r="C226" s="15" t="inlineStr">
        <is>
          <t>Rexnord</t>
        </is>
      </c>
      <c r="D226" s="15" t="inlineStr">
        <is>
          <t>NS820 Thermoplastic Split Sprocket 25T - 1.00" Round Bore W/ Keyway and Setscrew - Price Confirmed: 12.17.14</t>
        </is>
      </c>
      <c r="E226" s="15" t="n"/>
      <c r="F226" s="17" t="n">
        <v>1</v>
      </c>
      <c r="G226" s="15" t="inlineStr">
        <is>
          <t>Rexnord</t>
        </is>
      </c>
      <c r="H226" s="15" t="inlineStr">
        <is>
          <t>614-40-1</t>
        </is>
      </c>
      <c r="I226" s="15" t="inlineStr">
        <is>
          <t>NO</t>
        </is>
      </c>
      <c r="J226" s="18" t="n">
        <v>41.53</v>
      </c>
      <c r="K226" s="14" t="n"/>
      <c r="L226" s="19" t="n"/>
      <c r="M226" s="20" t="n"/>
      <c r="N226" s="21" t="n"/>
      <c r="O226" s="22" t="n"/>
      <c r="P226" s="24" t="n"/>
    </row>
    <row r="227" ht="40.5" customHeight="1">
      <c r="A227" s="14" t="inlineStr">
        <is>
          <t>614-39-3</t>
        </is>
      </c>
      <c r="B227" s="15" t="inlineStr">
        <is>
          <t>614-39-3</t>
        </is>
      </c>
      <c r="C227" s="15" t="inlineStr">
        <is>
          <t>Rexnord</t>
        </is>
      </c>
      <c r="D227" s="15" t="inlineStr">
        <is>
          <t>NS820 Thermoplastic Split Sprocket 23T - 1.25" Round Bore W/ Keyway and Setscrew - Price Confirmed: 06.23.15</t>
        </is>
      </c>
      <c r="E227" s="15" t="n"/>
      <c r="F227" s="17" t="n">
        <v>1</v>
      </c>
      <c r="G227" s="15" t="inlineStr">
        <is>
          <t>Rexnord</t>
        </is>
      </c>
      <c r="H227" s="15" t="inlineStr">
        <is>
          <t>614-39-3</t>
        </is>
      </c>
      <c r="I227" s="15" t="inlineStr">
        <is>
          <t>NO</t>
        </is>
      </c>
      <c r="J227" s="18" t="n">
        <v>40.32</v>
      </c>
      <c r="K227" s="14" t="n"/>
      <c r="L227" s="19" t="n"/>
      <c r="M227" s="20" t="n"/>
      <c r="N227" s="21" t="n"/>
      <c r="O227" s="22" t="n"/>
      <c r="P227" s="24" t="n"/>
    </row>
    <row r="228" ht="40.5" customHeight="1">
      <c r="A228" s="14" t="inlineStr">
        <is>
          <t>101-8255-3</t>
        </is>
      </c>
      <c r="B228" s="15" t="inlineStr">
        <is>
          <t>101-8255-3</t>
        </is>
      </c>
      <c r="C228" s="15" t="inlineStr">
        <is>
          <t>Rexnord</t>
        </is>
      </c>
      <c r="D228" s="15" t="inlineStr">
        <is>
          <t>NT 820 Idler Wheel 25T w/ 1.00" Plain Round Bore  - Price Confrimed: 01.01.19</t>
        </is>
      </c>
      <c r="E228" s="15" t="n"/>
      <c r="F228" s="17" t="n">
        <v>1</v>
      </c>
      <c r="G228" s="15" t="inlineStr">
        <is>
          <t>Rexnord</t>
        </is>
      </c>
      <c r="H228" s="15" t="inlineStr">
        <is>
          <t>101-8255-3</t>
        </is>
      </c>
      <c r="I228" s="15" t="inlineStr">
        <is>
          <t>NO</t>
        </is>
      </c>
      <c r="J228" s="18" t="n">
        <v>14.35</v>
      </c>
      <c r="K228" s="14" t="n"/>
      <c r="L228" s="19" t="n"/>
      <c r="M228" s="20" t="n"/>
      <c r="N228" s="21" t="n"/>
      <c r="O228" s="22" t="n"/>
      <c r="P228" s="24" t="n"/>
    </row>
    <row r="229" ht="40.5" customHeight="1">
      <c r="A229" s="14" t="inlineStr">
        <is>
          <t xml:space="preserve">6264K71 </t>
        </is>
      </c>
      <c r="B229" s="15" t="inlineStr">
        <is>
          <t>6261K261</t>
        </is>
      </c>
      <c r="C229" s="15" t="inlineStr">
        <is>
          <t>McMaster-Carr</t>
        </is>
      </c>
      <c r="D229" s="15" t="inlineStr">
        <is>
          <t>ANSI #35-Stainless Steel Add-and-Connect Link for 304 Stainless Steel Highly Corrosion-Resistant Roller Chain</t>
        </is>
      </c>
      <c r="E229" s="15" t="n"/>
      <c r="F229" s="17" t="inlineStr">
        <is>
          <t>Each</t>
        </is>
      </c>
      <c r="G229" s="15" t="inlineStr">
        <is>
          <t>McMaster-Carr</t>
        </is>
      </c>
      <c r="H229" s="15" t="inlineStr">
        <is>
          <t xml:space="preserve">6264K71 </t>
        </is>
      </c>
      <c r="I229" s="15" t="inlineStr">
        <is>
          <t>NO</t>
        </is>
      </c>
      <c r="J229" s="18" t="n">
        <v>7.66</v>
      </c>
      <c r="K229" s="21" t="n">
        <v>45348</v>
      </c>
      <c r="L229" s="19" t="n">
        <v>0</v>
      </c>
      <c r="M229" s="20" t="n">
        <v>7.66</v>
      </c>
      <c r="N229" s="21" t="n">
        <v>45336</v>
      </c>
      <c r="O229" s="22" t="inlineStr">
        <is>
          <t>, 2/15/2024, 7.66</t>
        </is>
      </c>
      <c r="P229" s="24" t="n"/>
    </row>
    <row r="230" ht="40.5" customHeight="1">
      <c r="A230" s="14" t="inlineStr">
        <is>
          <t>HP880TAB-4.5IN</t>
        </is>
      </c>
      <c r="B230" s="15" t="inlineStr">
        <is>
          <t>HP880TAB-4.5IN</t>
        </is>
      </c>
      <c r="C230" s="15" t="inlineStr">
        <is>
          <t>Rexnord</t>
        </is>
      </c>
      <c r="D230" s="15" t="inlineStr">
        <is>
          <t>HP 880 TAB-K450  BROWN - Plastic Side Flexing - Price Confirmed: 12/21/22</t>
        </is>
      </c>
      <c r="E230" s="15" t="n"/>
      <c r="F230" s="17" t="n">
        <v>6.16666666666667</v>
      </c>
      <c r="G230" s="15" t="inlineStr">
        <is>
          <t>Rexnord</t>
        </is>
      </c>
      <c r="H230" s="15" t="inlineStr">
        <is>
          <t>HP880TAB-4.5IN</t>
        </is>
      </c>
      <c r="I230" s="15" t="inlineStr">
        <is>
          <t>NO</t>
        </is>
      </c>
      <c r="J230" s="18" t="n">
        <v>17.18</v>
      </c>
      <c r="K230" s="14" t="n"/>
      <c r="L230" s="19" t="n"/>
      <c r="M230" s="20" t="n"/>
      <c r="N230" s="21" t="n"/>
      <c r="O230" s="22" t="n"/>
      <c r="P230" s="24" t="n"/>
    </row>
    <row r="231" ht="40.5" customHeight="1">
      <c r="A231" s="14" t="inlineStr">
        <is>
          <t>16773-SR</t>
        </is>
      </c>
      <c r="B231" s="15" t="inlineStr">
        <is>
          <t>16773-SR</t>
        </is>
      </c>
      <c r="C231" s="15" t="inlineStr">
        <is>
          <t>Emerson</t>
        </is>
      </c>
      <c r="D231" s="15" t="inlineStr">
        <is>
          <t>Modular Transfer Plate, Red Low Noise PBT Roller, 4.53" Wide - 1EA  - Price Checked - 05.23.22
REPLACED W/ POBCO MTP257</t>
        </is>
      </c>
      <c r="E231" s="15" t="n"/>
      <c r="F231" s="17" t="n"/>
      <c r="G231" s="15" t="inlineStr">
        <is>
          <t>Emerson</t>
        </is>
      </c>
      <c r="H231" s="15" t="inlineStr">
        <is>
          <t>16773-SR</t>
        </is>
      </c>
      <c r="I231" s="15" t="inlineStr">
        <is>
          <t>NO</t>
        </is>
      </c>
      <c r="J231" s="18" t="n">
        <v>31.65</v>
      </c>
      <c r="K231" s="14" t="n"/>
      <c r="L231" s="19" t="n"/>
      <c r="M231" s="20" t="n"/>
      <c r="N231" s="21" t="n"/>
      <c r="O231" s="22" t="n"/>
      <c r="P231" s="24" t="n"/>
    </row>
    <row r="232" ht="40.5" customHeight="1">
      <c r="A232" s="14" t="inlineStr">
        <is>
          <t>G2698577</t>
        </is>
      </c>
      <c r="B232" s="15" t="inlineStr">
        <is>
          <t>CSN</t>
        </is>
      </c>
      <c r="C232" s="15" t="inlineStr">
        <is>
          <t>ARO</t>
        </is>
      </c>
      <c r="D232" s="15" t="inlineStr">
        <is>
          <t xml:space="preserve">Solenoid Coil Connector, without Lead Wires, 22 Millimeter Connector for Aro 1/8 Inch Coils, Strain Relief </t>
        </is>
      </c>
      <c r="E232" s="15" t="n">
        <v>1</v>
      </c>
      <c r="F232" s="17" t="inlineStr">
        <is>
          <t>each</t>
        </is>
      </c>
      <c r="G232" s="15" t="inlineStr">
        <is>
          <t>Zoro</t>
        </is>
      </c>
      <c r="H232" s="15" t="inlineStr">
        <is>
          <t>G2698577</t>
        </is>
      </c>
      <c r="I232" s="15" t="inlineStr">
        <is>
          <t>NO</t>
        </is>
      </c>
      <c r="J232" s="18" t="n">
        <v>23.85</v>
      </c>
      <c r="K232" s="21" t="n">
        <v>45420</v>
      </c>
      <c r="L232" s="19" t="n">
        <v>2.02281368821293</v>
      </c>
      <c r="M232" s="20" t="n">
        <v>25.79</v>
      </c>
      <c r="N232" s="21" t="n">
        <v>45341</v>
      </c>
      <c r="O232" s="22" t="inlineStr">
        <is>
          <t>, 2/14/2024, 7.89, 2/26/2024, 23.85, 5/1/2024, 23.85</t>
        </is>
      </c>
      <c r="P232" s="24" t="n"/>
    </row>
    <row r="233" ht="55.5" customHeight="1">
      <c r="A233" s="14" t="inlineStr">
        <is>
          <t>G0298085</t>
        </is>
      </c>
      <c r="B233" s="15" t="inlineStr">
        <is>
          <t xml:space="preserve">5030-12 </t>
        </is>
      </c>
      <c r="C233" s="15" t="inlineStr">
        <is>
          <t>ARO</t>
        </is>
      </c>
      <c r="D233" s="15" t="inlineStr">
        <is>
          <t xml:space="preserve">Manual Air Control Valve, 3-Way, 2-Position, Pipe Size 1/8 In., Actuator/Return Button/Manual, Coefficient of Volume 0.4, 16 CFM, Temp. Range -10 Degrees to 180 Degrees F, Max. Pressure 150 psi, Connection NPT, Normally Open/Normally Closed Normally Closed, Overall Length 3-11/32 In., Overall Height 1-3/4 In., Overall Width 1-3/4 In. </t>
        </is>
      </c>
      <c r="E233" s="15" t="n">
        <v>1</v>
      </c>
      <c r="F233" s="17" t="inlineStr">
        <is>
          <t>each</t>
        </is>
      </c>
      <c r="G233" s="15" t="inlineStr">
        <is>
          <t>Zoro</t>
        </is>
      </c>
      <c r="H233" s="15" t="inlineStr">
        <is>
          <t>G0298085</t>
        </is>
      </c>
      <c r="I233" s="15" t="inlineStr">
        <is>
          <t>NO</t>
        </is>
      </c>
      <c r="J233" s="18" t="n">
        <v>140.57</v>
      </c>
      <c r="K233" s="21" t="n">
        <v>45413</v>
      </c>
      <c r="L233" s="19" t="n">
        <v>0.274667425481966</v>
      </c>
      <c r="M233" s="20" t="n">
        <v>101.96</v>
      </c>
      <c r="N233" s="21" t="n"/>
      <c r="O233" s="22" t="inlineStr">
        <is>
          <t>, 2/14/2024, 101.96, 2/26/2024, 140.57, 5/1/2024, 140.57</t>
        </is>
      </c>
      <c r="P233" s="24" t="n"/>
    </row>
    <row r="234" ht="40.5" customHeight="1">
      <c r="A234" s="14" t="inlineStr">
        <is>
          <t>G3394657</t>
        </is>
      </c>
      <c r="B234" s="15" t="inlineStr">
        <is>
          <t>6MN34</t>
        </is>
      </c>
      <c r="C234" s="15" t="inlineStr">
        <is>
          <t>Alpha Fittings</t>
        </is>
      </c>
      <c r="D234" s="15" t="inlineStr">
        <is>
          <t xml:space="preserve">Flow Control Valve, Push To Connect, Tube Size 1/4 In, Pipe Size 1/8 In, Material of Construction Nickel Plated Brass, Flow Out, Screw Adjustment, Pressure Range 0 To 250 PSI, Temp Range 0 To 160 F </t>
        </is>
      </c>
      <c r="E234" s="15" t="n">
        <v>1</v>
      </c>
      <c r="F234" s="17" t="inlineStr">
        <is>
          <t>each</t>
        </is>
      </c>
      <c r="G234" s="15" t="inlineStr">
        <is>
          <t>Zoro</t>
        </is>
      </c>
      <c r="H234" s="15" t="inlineStr">
        <is>
          <t>G3394657</t>
        </is>
      </c>
      <c r="I234" s="15" t="inlineStr">
        <is>
          <t>NO</t>
        </is>
      </c>
      <c r="J234" s="18" t="n">
        <v>27.89</v>
      </c>
      <c r="K234" s="21" t="n">
        <v>45420</v>
      </c>
      <c r="L234" s="19" t="n">
        <v>0.387594119756185</v>
      </c>
      <c r="M234" s="20" t="n">
        <v>17.08</v>
      </c>
      <c r="N234" s="21" t="n"/>
      <c r="O234" s="22" t="inlineStr">
        <is>
          <t>, 2/14/2024, 17.08, 2/26/2024, 27.89</t>
        </is>
      </c>
      <c r="P234" s="24" t="n"/>
    </row>
    <row r="235" ht="40.5" customHeight="1">
      <c r="A235" s="14" t="inlineStr">
        <is>
          <t>LF821-7.5IN</t>
        </is>
      </c>
      <c r="B235" s="15" t="inlineStr">
        <is>
          <t>L0821603931</t>
        </is>
      </c>
      <c r="C235" s="15" t="inlineStr">
        <is>
          <t>Rexnord</t>
        </is>
      </c>
      <c r="D235" s="15" t="inlineStr">
        <is>
          <t>Low Friction 821 - K750 Straight Running Tabletop Conveyor Chain - Price Confirmed: 06/5/20</t>
        </is>
      </c>
      <c r="E235" s="15" t="n"/>
      <c r="F235" s="17" t="n"/>
      <c r="G235" s="15" t="inlineStr">
        <is>
          <t>Rexnord</t>
        </is>
      </c>
      <c r="H235" s="15" t="inlineStr">
        <is>
          <t>LF821-7.5IN</t>
        </is>
      </c>
      <c r="I235" s="15" t="inlineStr">
        <is>
          <t>NO</t>
        </is>
      </c>
      <c r="J235" s="18" t="n">
        <v>17.06</v>
      </c>
      <c r="K235" s="14" t="n"/>
      <c r="L235" s="19" t="n"/>
      <c r="M235" s="20" t="n"/>
      <c r="N235" s="21" t="n"/>
      <c r="O235" s="22" t="n"/>
      <c r="P235" s="24" t="n"/>
    </row>
    <row r="236" ht="40.5" customHeight="1">
      <c r="A236" s="14" t="inlineStr">
        <is>
          <t>614-36-3</t>
        </is>
      </c>
      <c r="B236" s="15" t="n">
        <v>10028662</v>
      </c>
      <c r="C236" s="15" t="inlineStr">
        <is>
          <t>Rexnord</t>
        </is>
      </c>
      <c r="D236" s="15" t="inlineStr">
        <is>
          <t>NS821 Thermoplastic Split Sprocket 25T w/ 1.25" Round Bore Keyway and Setscrew - Price Confirmed: 6/5/20</t>
        </is>
      </c>
      <c r="E236" s="15" t="n"/>
      <c r="F236" s="17" t="n"/>
      <c r="G236" s="15" t="inlineStr">
        <is>
          <t>Rexnord</t>
        </is>
      </c>
      <c r="H236" s="15" t="inlineStr">
        <is>
          <t>614-36-3</t>
        </is>
      </c>
      <c r="I236" s="15" t="inlineStr">
        <is>
          <t>NO</t>
        </is>
      </c>
      <c r="J236" s="18" t="n">
        <v>60.24</v>
      </c>
      <c r="K236" s="14" t="n"/>
      <c r="L236" s="19" t="n"/>
      <c r="M236" s="20" t="n"/>
      <c r="N236" s="21" t="n"/>
      <c r="O236" s="22" t="n"/>
      <c r="P236" s="24" t="n"/>
    </row>
    <row r="237" ht="40.5" customHeight="1">
      <c r="A237" s="14" t="inlineStr">
        <is>
          <t>LF820-6IN</t>
        </is>
      </c>
      <c r="B237" s="15" t="inlineStr">
        <is>
          <t>L0820603801</t>
        </is>
      </c>
      <c r="C237" s="15" t="inlineStr">
        <is>
          <t>Rexnord</t>
        </is>
      </c>
      <c r="D237" s="15" t="inlineStr">
        <is>
          <t>Low Friction 820 Straight Running Chain - 6.00" Wide - Price Confirmed: 01.01.19</t>
        </is>
      </c>
      <c r="E237" s="15" t="n"/>
      <c r="F237" s="17" t="n"/>
      <c r="G237" s="15" t="inlineStr">
        <is>
          <t>Rexnord</t>
        </is>
      </c>
      <c r="H237" s="15" t="inlineStr">
        <is>
          <t>LF820-6IN</t>
        </is>
      </c>
      <c r="I237" s="15" t="inlineStr">
        <is>
          <t>NO</t>
        </is>
      </c>
      <c r="J237" s="18" t="n">
        <v>8.93</v>
      </c>
      <c r="K237" s="14" t="n"/>
      <c r="L237" s="19" t="n"/>
      <c r="M237" s="20" t="n"/>
      <c r="N237" s="21" t="n"/>
      <c r="O237" s="22" t="n"/>
      <c r="P237" s="24" t="n"/>
    </row>
    <row r="238" ht="40.5" customHeight="1">
      <c r="A238" s="37" t="inlineStr">
        <is>
          <t>G1899816</t>
        </is>
      </c>
      <c r="B238" s="38" t="inlineStr">
        <is>
          <t>A212SD-120-A</t>
        </is>
      </c>
      <c r="C238" s="38" t="inlineStr">
        <is>
          <t>ARO</t>
        </is>
      </c>
      <c r="D238" s="38" t="inlineStr">
        <is>
          <t>Solenoid Air Control Valve, 4-Way, 2-Position, Actuator/Return Solenoid/Solenoid, Body Style Body Ported, Pipe Size 1/4 In., Voltage 120VAC, NEMA-4, Priced 12/23/15</t>
        </is>
      </c>
      <c r="E238" s="38" t="n">
        <v>1</v>
      </c>
      <c r="F238" s="39" t="inlineStr">
        <is>
          <t>each</t>
        </is>
      </c>
      <c r="G238" s="38" t="inlineStr">
        <is>
          <t>Zoro</t>
        </is>
      </c>
      <c r="H238" s="38" t="inlineStr">
        <is>
          <t>G1899816</t>
        </is>
      </c>
      <c r="I238" s="15" t="inlineStr">
        <is>
          <t>NO</t>
        </is>
      </c>
      <c r="J238" s="40" t="n">
        <v>218.99</v>
      </c>
      <c r="K238" s="41" t="n">
        <v>45348</v>
      </c>
      <c r="L238" s="19" t="n">
        <v>0.435134024384675</v>
      </c>
      <c r="M238" s="20" t="n">
        <v>229.99</v>
      </c>
      <c r="N238" s="41" t="n">
        <v>45337</v>
      </c>
      <c r="O238" s="42" t="inlineStr">
        <is>
          <t>, 2/14/2024, 123.7</t>
        </is>
      </c>
      <c r="P238" s="24" t="n"/>
    </row>
    <row r="239" ht="39.75" customHeight="1">
      <c r="A239" s="14" t="inlineStr">
        <is>
          <t>614-181-12</t>
        </is>
      </c>
      <c r="B239" s="15" t="inlineStr">
        <is>
          <t>614-181-12</t>
        </is>
      </c>
      <c r="C239" s="15" t="inlineStr">
        <is>
          <t>Rexnord</t>
        </is>
      </c>
      <c r="D239" s="15" t="inlineStr">
        <is>
          <t>NS1500 Thermoplastic Split Sprocket 32T w/ 1.25" Plain Bore - Price Checked: 2.23.15</t>
        </is>
      </c>
      <c r="E239" s="15" t="n"/>
      <c r="F239" s="17" t="n"/>
      <c r="G239" s="15" t="inlineStr">
        <is>
          <t>Rexnord</t>
        </is>
      </c>
      <c r="H239" s="15" t="inlineStr">
        <is>
          <t>614-181-12</t>
        </is>
      </c>
      <c r="I239" s="15" t="inlineStr">
        <is>
          <t>NO</t>
        </is>
      </c>
      <c r="J239" s="18" t="n">
        <v>30.92</v>
      </c>
      <c r="K239" s="14" t="n"/>
      <c r="L239" s="19" t="n"/>
      <c r="M239" s="20" t="n"/>
      <c r="N239" s="21" t="n"/>
      <c r="O239" s="22" t="n"/>
      <c r="P239" s="24" t="n"/>
    </row>
    <row r="240" ht="39.75" customHeight="1">
      <c r="A240" s="14" t="inlineStr">
        <is>
          <t>9600K26</t>
        </is>
      </c>
      <c r="B240" s="15" t="inlineStr">
        <is>
          <t>9600K26</t>
        </is>
      </c>
      <c r="C240" s="15" t="inlineStr">
        <is>
          <t>McMaster-Carr</t>
        </is>
      </c>
      <c r="D240" s="15" t="inlineStr">
        <is>
          <t>Grommet, 17/64" Thru Hole, Fits 13/32" Diameter Hole and 1/8" Thick Panel, 5/8" OD (Pack of 100)</t>
        </is>
      </c>
      <c r="E240" s="15" t="n">
        <v>100</v>
      </c>
      <c r="F240" s="17" t="inlineStr">
        <is>
          <t>pack</t>
        </is>
      </c>
      <c r="G240" s="15" t="inlineStr">
        <is>
          <t>McMaster-Carr</t>
        </is>
      </c>
      <c r="H240" s="15" t="inlineStr">
        <is>
          <t>9600K26</t>
        </is>
      </c>
      <c r="I240" s="15" t="inlineStr">
        <is>
          <t>NO</t>
        </is>
      </c>
      <c r="J240" s="18" t="n">
        <v>25.59</v>
      </c>
      <c r="K240" s="21" t="n">
        <v>45348</v>
      </c>
      <c r="L240" s="19" t="n">
        <v>0</v>
      </c>
      <c r="M240" s="20" t="n">
        <v>25.59</v>
      </c>
      <c r="N240" s="21" t="n">
        <v>45336</v>
      </c>
      <c r="O240" s="22" t="inlineStr">
        <is>
          <t>, 2/15/2024, 25.59</t>
        </is>
      </c>
      <c r="P240" s="24" t="n"/>
    </row>
    <row r="241" ht="39.75" customHeight="1">
      <c r="A241" s="14" t="inlineStr">
        <is>
          <t>614-143-3</t>
        </is>
      </c>
      <c r="B241" s="15" t="inlineStr">
        <is>
          <t>614-143-3</t>
        </is>
      </c>
      <c r="C241" s="15" t="inlineStr">
        <is>
          <t>Rexnord</t>
        </is>
      </c>
      <c r="D241" s="15" t="inlineStr">
        <is>
          <t>NS1500 Thermoplastic Split Sprocket 24T W/ 1.25" Round Bore Keyway and Setscrew - Price Checked: 3.23.15</t>
        </is>
      </c>
      <c r="E241" s="15" t="n"/>
      <c r="F241" s="17" t="n"/>
      <c r="G241" s="15" t="inlineStr">
        <is>
          <t>Rexnord</t>
        </is>
      </c>
      <c r="H241" s="15">
        <f>A241</f>
        <v/>
      </c>
      <c r="I241" s="15" t="inlineStr">
        <is>
          <t>NO</t>
        </is>
      </c>
      <c r="J241" s="18" t="n">
        <v>28.13</v>
      </c>
      <c r="K241" s="14" t="n"/>
      <c r="L241" s="19" t="n"/>
      <c r="M241" s="20" t="n"/>
      <c r="N241" s="21" t="n"/>
      <c r="O241" s="22" t="n"/>
      <c r="P241" s="24" t="n"/>
    </row>
    <row r="242" ht="39.75" customHeight="1">
      <c r="A242" s="14" t="inlineStr">
        <is>
          <t>614-143-12</t>
        </is>
      </c>
      <c r="B242" s="15" t="inlineStr">
        <is>
          <t>614-143-12</t>
        </is>
      </c>
      <c r="C242" s="15" t="inlineStr">
        <is>
          <t>Rexnord</t>
        </is>
      </c>
      <c r="D242" s="15" t="inlineStr">
        <is>
          <t>NS1500 Thermoplastic Split Sprocket 24T w/ 1.25" Round Plain Bore - Price Checked: 3.23.15</t>
        </is>
      </c>
      <c r="E242" s="15" t="n"/>
      <c r="F242" s="17" t="n"/>
      <c r="G242" s="15" t="inlineStr">
        <is>
          <t>Rexnord</t>
        </is>
      </c>
      <c r="H242" s="15" t="inlineStr">
        <is>
          <t>614-143-12</t>
        </is>
      </c>
      <c r="I242" s="15" t="inlineStr">
        <is>
          <t>NO</t>
        </is>
      </c>
      <c r="J242" s="18" t="n">
        <v>28.13</v>
      </c>
      <c r="K242" s="14" t="n"/>
      <c r="L242" s="19" t="n"/>
      <c r="M242" s="20" t="n"/>
      <c r="N242" s="21" t="n"/>
      <c r="O242" s="22" t="n"/>
      <c r="P242" s="24" t="n"/>
    </row>
    <row r="243" ht="39.75" customHeight="1">
      <c r="A243" s="14" t="inlineStr">
        <is>
          <t>G0628704</t>
        </is>
      </c>
      <c r="B243" s="15" t="inlineStr">
        <is>
          <t>1A327</t>
        </is>
      </c>
      <c r="C243" s="15" t="inlineStr">
        <is>
          <t>Speedaire</t>
        </is>
      </c>
      <c r="D243" s="15" t="inlineStr">
        <is>
          <t xml:space="preserve">Exhaust Muffler, NPT 3/8 Inch, Hex 11/16 Inch, Length 1 1/2 Inches </t>
        </is>
      </c>
      <c r="E243" s="15" t="n">
        <v>1</v>
      </c>
      <c r="F243" s="17" t="inlineStr">
        <is>
          <t>each</t>
        </is>
      </c>
      <c r="G243" s="15" t="inlineStr">
        <is>
          <t>Zoro</t>
        </is>
      </c>
      <c r="H243" s="15" t="inlineStr">
        <is>
          <t>G0628704</t>
        </is>
      </c>
      <c r="I243" s="15" t="inlineStr">
        <is>
          <t>NO</t>
        </is>
      </c>
      <c r="J243" s="18" t="n">
        <v>3.29</v>
      </c>
      <c r="K243" s="21" t="n">
        <v>45348</v>
      </c>
      <c r="L243" s="19" t="n">
        <v>-0.12962962962963</v>
      </c>
      <c r="M243" s="20" t="n">
        <v>3.15</v>
      </c>
      <c r="N243" s="21" t="n">
        <v>45343</v>
      </c>
      <c r="O243" s="22" t="inlineStr">
        <is>
          <t>, 2/14/2024, 3.78</t>
        </is>
      </c>
      <c r="P243" s="24" t="n"/>
    </row>
    <row r="244" ht="69.75" customHeight="1">
      <c r="A244" s="14" t="inlineStr">
        <is>
          <t>G2247007</t>
        </is>
      </c>
      <c r="B244" s="15" t="inlineStr">
        <is>
          <t xml:space="preserve">A222SS-024-D </t>
        </is>
      </c>
      <c r="C244" s="15" t="inlineStr">
        <is>
          <t>ARO</t>
        </is>
      </c>
      <c r="D244" s="15" t="inlineStr">
        <is>
          <t xml:space="preserve">Solenoid Air Control Valve, 4-Way, 2-Position, Actuator/Return Solenoid/Spring, Body Style Stackable, Pipe Size 1/4 In., Voltage 24VDC, 68 CFM, Coefficient of Volume 1.9, DIN Connectors Electrical Connections, Shifting Technology Solenoid/Pilot, Power Consumption 4.8W, Pressure Range 0 to 150 psi, Ambient Temp. Range 0 Degrees to 180 Degrees F, Overall Height 3-7/8 In., Overall Length 3-15/32 In., Overall Width 1 In., NEMA Classification NEMA 4 </t>
        </is>
      </c>
      <c r="E244" s="15" t="n">
        <v>1</v>
      </c>
      <c r="F244" s="17" t="inlineStr">
        <is>
          <t>each</t>
        </is>
      </c>
      <c r="G244" s="15" t="inlineStr">
        <is>
          <t>Zoro</t>
        </is>
      </c>
      <c r="H244" s="15" t="inlineStr">
        <is>
          <t>G2247007</t>
        </is>
      </c>
      <c r="I244" s="15" t="inlineStr">
        <is>
          <t>NO</t>
        </is>
      </c>
      <c r="J244" s="18" t="n">
        <v>166.31</v>
      </c>
      <c r="K244" s="21" t="n">
        <v>45348</v>
      </c>
      <c r="L244" s="19" t="n">
        <v>0.589441404605856</v>
      </c>
      <c r="M244" s="20" t="n">
        <v>68.28</v>
      </c>
      <c r="N244" s="21" t="n"/>
      <c r="O244" s="22" t="inlineStr">
        <is>
          <t>, 2/14/2024, 68.28</t>
        </is>
      </c>
      <c r="P244" s="24" t="n"/>
    </row>
    <row r="245" ht="39.75" customHeight="1">
      <c r="A245" s="14" t="inlineStr">
        <is>
          <t>G2937444</t>
        </is>
      </c>
      <c r="B245" s="15" t="inlineStr">
        <is>
          <t>MKP</t>
        </is>
      </c>
      <c r="C245" s="15" t="inlineStr">
        <is>
          <t>ARO</t>
        </is>
      </c>
      <c r="D245" s="15" t="inlineStr">
        <is>
          <t xml:space="preserve">Stacking End Plate Kit, One Needed on Each Stack of Alpha Valves </t>
        </is>
      </c>
      <c r="E245" s="15" t="n">
        <v>1</v>
      </c>
      <c r="F245" s="17" t="inlineStr">
        <is>
          <t>each</t>
        </is>
      </c>
      <c r="G245" s="15" t="inlineStr">
        <is>
          <t>Zoro</t>
        </is>
      </c>
      <c r="H245" s="15" t="inlineStr">
        <is>
          <t>G2937444</t>
        </is>
      </c>
      <c r="I245" s="15" t="inlineStr">
        <is>
          <t>NO</t>
        </is>
      </c>
      <c r="J245" s="18" t="n">
        <v>144.99</v>
      </c>
      <c r="K245" s="21" t="n">
        <v>45348</v>
      </c>
      <c r="L245" s="19" t="n">
        <v>0.6772880888337131</v>
      </c>
      <c r="M245" s="20" t="n">
        <v>46.79</v>
      </c>
      <c r="N245" s="21" t="n"/>
      <c r="O245" s="22" t="inlineStr">
        <is>
          <t>, 2/14/2024, 46.79</t>
        </is>
      </c>
      <c r="P245" s="24" t="n"/>
    </row>
    <row r="246" ht="39.75" customHeight="1">
      <c r="A246" s="14" t="inlineStr">
        <is>
          <t>G0694513</t>
        </is>
      </c>
      <c r="B246" s="15" t="inlineStr">
        <is>
          <t xml:space="preserve">3140 56 00 </t>
        </is>
      </c>
      <c r="C246" s="15" t="inlineStr">
        <is>
          <t>Legris</t>
        </is>
      </c>
      <c r="D246" s="15" t="inlineStr">
        <is>
          <t>Union Y, Basic Material Plastic, Body Material Glass Filled Nylon, Connection Type Tube, Tube Size 1/4 In., Pipe Size -, Max. Pressure 290 psi, Color Black, Hex Size -, Temp. Range -4 Degrees to 175 Degrees F, Package Quantity 10 - Price Checked: 07/16/21</t>
        </is>
      </c>
      <c r="E246" s="15" t="n">
        <v>10</v>
      </c>
      <c r="F246" s="17" t="inlineStr">
        <is>
          <t>pk</t>
        </is>
      </c>
      <c r="G246" s="15" t="inlineStr">
        <is>
          <t>Zoro</t>
        </is>
      </c>
      <c r="H246" s="15" t="inlineStr">
        <is>
          <t>G0694513</t>
        </is>
      </c>
      <c r="I246" s="15" t="inlineStr">
        <is>
          <t>NO</t>
        </is>
      </c>
      <c r="J246" s="18" t="n">
        <v>78.98999999999999</v>
      </c>
      <c r="K246" s="21" t="n">
        <v>45348</v>
      </c>
      <c r="L246" s="19" t="n">
        <v>0.204203063678947</v>
      </c>
      <c r="M246" s="20" t="n">
        <v>62.86</v>
      </c>
      <c r="N246" s="21" t="n"/>
      <c r="O246" s="22" t="inlineStr">
        <is>
          <t>, 2/14/2024, 62.86</t>
        </is>
      </c>
      <c r="P246" s="24" t="n"/>
    </row>
    <row r="247" ht="55.5" customHeight="1">
      <c r="A247" s="14" t="inlineStr">
        <is>
          <t>G1429461</t>
        </is>
      </c>
      <c r="B247" s="15" t="inlineStr">
        <is>
          <t xml:space="preserve">3175 56 14 </t>
        </is>
      </c>
      <c r="C247" s="15" t="inlineStr">
        <is>
          <t>Legris</t>
        </is>
      </c>
      <c r="D247" s="15" t="inlineStr">
        <is>
          <t>Male Connector, Basic Material Metal, Body Material Nickel Plated Brass, Connection Type Tube x MNPT, Tube Size 1/4 In., Pipe Size 1/4 In., Max. Pressure 290 psi, Hex Size 14mm, Special Features With Thread Sealant, Temp. Range -4 Degrees to 175 Degrees F, Package Quantity 10 - Price Checked: 07/16/21</t>
        </is>
      </c>
      <c r="E247" s="15" t="n">
        <v>10</v>
      </c>
      <c r="F247" s="17" t="inlineStr">
        <is>
          <t>pk</t>
        </is>
      </c>
      <c r="G247" s="15" t="inlineStr">
        <is>
          <t>Zoro</t>
        </is>
      </c>
      <c r="H247" s="15" t="inlineStr">
        <is>
          <t>G1429461</t>
        </is>
      </c>
      <c r="I247" s="15" t="inlineStr">
        <is>
          <t>NO</t>
        </is>
      </c>
      <c r="J247" s="18" t="n">
        <v>47.49</v>
      </c>
      <c r="K247" s="21" t="n">
        <v>45348</v>
      </c>
      <c r="L247" s="19" t="n">
        <v>0.139122091628688</v>
      </c>
      <c r="M247" s="20" t="n">
        <v>45.85</v>
      </c>
      <c r="N247" s="21" t="n">
        <v>45343</v>
      </c>
      <c r="O247" s="22" t="inlineStr">
        <is>
          <t>, 2/14/2024, 42.15</t>
        </is>
      </c>
      <c r="P247" s="24" t="n"/>
    </row>
    <row r="248" ht="39.75" customHeight="1">
      <c r="A248" s="14" t="inlineStr">
        <is>
          <t>G1066791</t>
        </is>
      </c>
      <c r="B248" s="15" t="inlineStr">
        <is>
          <t>1A326</t>
        </is>
      </c>
      <c r="C248" s="15" t="inlineStr">
        <is>
          <t>Speedaire</t>
        </is>
      </c>
      <c r="D248" s="15" t="inlineStr">
        <is>
          <t>Exhaust Muffler, NPT 1/4 Inch, Hex 9/16 Inch, Length 1 3/8 Inches</t>
        </is>
      </c>
      <c r="E248" s="15" t="n">
        <v>1</v>
      </c>
      <c r="F248" s="17" t="inlineStr">
        <is>
          <t>each</t>
        </is>
      </c>
      <c r="G248" s="15" t="inlineStr">
        <is>
          <t>Zoro</t>
        </is>
      </c>
      <c r="H248" s="15" t="inlineStr">
        <is>
          <t>G1066791</t>
        </is>
      </c>
      <c r="I248" s="15" t="inlineStr">
        <is>
          <t>NO</t>
        </is>
      </c>
      <c r="J248" s="18" t="n">
        <v>2.49</v>
      </c>
      <c r="K248" s="21" t="n">
        <v>45348</v>
      </c>
      <c r="L248" s="19" t="n">
        <v>-0.15593220338983</v>
      </c>
      <c r="M248" s="20" t="n">
        <v>2.59</v>
      </c>
      <c r="N248" s="21" t="n">
        <v>45341</v>
      </c>
      <c r="O248" s="22" t="inlineStr">
        <is>
          <t>, 2/14/2024, 2.95</t>
        </is>
      </c>
      <c r="P248" s="24" t="n"/>
    </row>
    <row r="249" ht="39.75" customHeight="1">
      <c r="A249" s="14" t="inlineStr">
        <is>
          <t>66PLPBH-4-4</t>
        </is>
      </c>
      <c r="B249" s="15" t="inlineStr">
        <is>
          <t>66PLPBH-4-4</t>
        </is>
      </c>
      <c r="C249" s="15" t="inlineStr">
        <is>
          <t>Parker</t>
        </is>
      </c>
      <c r="D249" s="15" t="inlineStr">
        <is>
          <t>Bulkhead Union, Femal 1/4 NPT x 1/4" Tube, Nickel Plated Brass, Package Quantity 10 - price confirmed 7/28/22</t>
        </is>
      </c>
      <c r="E249" s="15" t="n">
        <v>1</v>
      </c>
      <c r="F249" s="17" t="inlineStr">
        <is>
          <t>each</t>
        </is>
      </c>
      <c r="G249" s="15" t="inlineStr">
        <is>
          <t>Zoro</t>
        </is>
      </c>
      <c r="H249" s="15" t="inlineStr">
        <is>
          <t>G0783562</t>
        </is>
      </c>
      <c r="I249" s="15" t="inlineStr">
        <is>
          <t>NO</t>
        </is>
      </c>
      <c r="J249" s="18" t="n">
        <v>8.890000000000001</v>
      </c>
      <c r="K249" s="21" t="n">
        <v>45420</v>
      </c>
      <c r="L249" s="19" t="n">
        <v>-0.92070995362112</v>
      </c>
      <c r="M249" s="20" t="n">
        <v>9.890000000000001</v>
      </c>
      <c r="N249" s="21" t="n">
        <v>45343</v>
      </c>
      <c r="O249" s="22" t="inlineStr">
        <is>
          <t>, 2/14/2024, 112.12, 2/26/2024, 8.89</t>
        </is>
      </c>
      <c r="P249" s="24" t="n"/>
    </row>
    <row r="250" ht="33" customHeight="1">
      <c r="A250" s="14" t="inlineStr">
        <is>
          <t>G2393544</t>
        </is>
      </c>
      <c r="B250" s="15" t="inlineStr">
        <is>
          <t>3104 56 00</t>
        </is>
      </c>
      <c r="C250" s="15" t="inlineStr">
        <is>
          <t>Legris</t>
        </is>
      </c>
      <c r="D250" s="15" t="inlineStr">
        <is>
          <t>Union Tee, 1/4 In OD, Pack of 10 - price confirmed 07/16/21</t>
        </is>
      </c>
      <c r="E250" s="15" t="n">
        <v>10</v>
      </c>
      <c r="F250" s="17" t="inlineStr">
        <is>
          <t>pk</t>
        </is>
      </c>
      <c r="G250" s="15" t="inlineStr">
        <is>
          <t>Zoro</t>
        </is>
      </c>
      <c r="H250" s="15" t="inlineStr">
        <is>
          <t>G2393544</t>
        </is>
      </c>
      <c r="I250" s="15" t="inlineStr">
        <is>
          <t>NO</t>
        </is>
      </c>
      <c r="J250" s="18" t="n">
        <v>54.65</v>
      </c>
      <c r="K250" s="21" t="n">
        <v>45348</v>
      </c>
      <c r="L250" s="19" t="n">
        <v>0.209338349192299</v>
      </c>
      <c r="M250" s="20" t="n">
        <v>49.69</v>
      </c>
      <c r="N250" s="21" t="n">
        <v>45343</v>
      </c>
      <c r="O250" s="22" t="inlineStr">
        <is>
          <t>, 2/14/2024, 66.74</t>
        </is>
      </c>
      <c r="P250" s="24" t="n"/>
    </row>
    <row r="251" ht="33" customHeight="1">
      <c r="A251" s="14" t="inlineStr">
        <is>
          <t>G0532752</t>
        </is>
      </c>
      <c r="B251" s="15" t="inlineStr">
        <is>
          <t>3109 60 14</t>
        </is>
      </c>
      <c r="C251" s="15" t="inlineStr">
        <is>
          <t>Legris</t>
        </is>
      </c>
      <c r="D251" s="15" t="inlineStr">
        <is>
          <t>Male Elbow, 90 Deg, 3/8 Tube x 1/4 MNPT, Pack of 10 - price confirmed 07/16/21</t>
        </is>
      </c>
      <c r="E251" s="15" t="n">
        <v>10</v>
      </c>
      <c r="F251" s="17" t="inlineStr">
        <is>
          <t>pk</t>
        </is>
      </c>
      <c r="G251" s="15" t="inlineStr">
        <is>
          <t>Zoro</t>
        </is>
      </c>
      <c r="H251" s="15" t="inlineStr">
        <is>
          <t>G0532752</t>
        </is>
      </c>
      <c r="I251" s="15" t="inlineStr">
        <is>
          <t>NO</t>
        </is>
      </c>
      <c r="J251" s="18" t="n">
        <v>78.69</v>
      </c>
      <c r="K251" s="21" t="n">
        <v>45348</v>
      </c>
      <c r="L251" s="19" t="n">
        <v>0.346048580225795</v>
      </c>
      <c r="M251" s="20" t="n">
        <v>82.84999999999999</v>
      </c>
      <c r="N251" s="21" t="n">
        <v>45341</v>
      </c>
      <c r="O251" s="22" t="inlineStr">
        <is>
          <t>, 2/14/2024, 58.46</t>
        </is>
      </c>
      <c r="P251" s="24" t="n"/>
    </row>
    <row r="252" ht="33" customHeight="1">
      <c r="A252" s="14" t="inlineStr">
        <is>
          <t xml:space="preserve">XALK178EH7 </t>
        </is>
      </c>
      <c r="B252" s="15" t="inlineStr">
        <is>
          <t xml:space="preserve">XALK178EH7 </t>
        </is>
      </c>
      <c r="C252" s="15" t="inlineStr">
        <is>
          <t>SCHNEIDER ELECTRIC</t>
        </is>
      </c>
      <c r="D252" s="15" t="inlineStr">
        <is>
          <t>Control Station, Number of Operators 1, Number of Pilot Lights 0, Size 40mm, Type of Operator Push Button with Mushroom Head, Action Maintained with Trigger Action Turn to Release, Operator Color Red, Contact Form 1NO/1NC, Mechanical Interlock No, NEMA Rating 1, 2, 3, 4, 4X, 12, 13 - Price Confirmed: 3.31.15</t>
        </is>
      </c>
      <c r="E252" s="15" t="n"/>
      <c r="F252" s="17" t="n">
        <v>1</v>
      </c>
      <c r="G252" s="15" t="inlineStr">
        <is>
          <t>Eck Supply</t>
        </is>
      </c>
      <c r="H252" s="15" t="inlineStr">
        <is>
          <t xml:space="preserve">XALK178EH7 </t>
        </is>
      </c>
      <c r="I252" s="15" t="inlineStr">
        <is>
          <t>NO</t>
        </is>
      </c>
      <c r="J252" s="18" t="n">
        <v>139</v>
      </c>
      <c r="K252" s="14" t="n"/>
      <c r="L252" s="19" t="n"/>
      <c r="M252" s="20" t="n"/>
      <c r="N252" s="21" t="n"/>
      <c r="O252" s="22" t="n"/>
      <c r="P252" s="24" t="n"/>
    </row>
    <row r="253" ht="33" customHeight="1">
      <c r="A253" s="14" t="inlineStr">
        <is>
          <t>G2326012</t>
        </is>
      </c>
      <c r="B253" s="15" t="inlineStr">
        <is>
          <t>7015 56 14</t>
        </is>
      </c>
      <c r="C253" s="15" t="inlineStr">
        <is>
          <t>Legris</t>
        </is>
      </c>
      <c r="D253" s="15" t="inlineStr">
        <is>
          <t>Flow Control Regulator, Compact, Knobless, Tube Size 1/4 In, Pipe Size 1/4 In - Price Confirmed: 07/16/21</t>
        </is>
      </c>
      <c r="E253" s="15" t="n">
        <v>1</v>
      </c>
      <c r="F253" s="17" t="inlineStr">
        <is>
          <t>each</t>
        </is>
      </c>
      <c r="G253" s="15" t="inlineStr">
        <is>
          <t>Zoro</t>
        </is>
      </c>
      <c r="H253" s="15" t="inlineStr">
        <is>
          <t>G2326012</t>
        </is>
      </c>
      <c r="I253" s="15" t="inlineStr">
        <is>
          <t>NO</t>
        </is>
      </c>
      <c r="J253" s="18" t="n">
        <v>25.19</v>
      </c>
      <c r="K253" s="21" t="n">
        <v>45348</v>
      </c>
      <c r="L253" s="19" t="n">
        <v>-0.100035727045373</v>
      </c>
      <c r="M253" s="20" t="n">
        <v>26.59</v>
      </c>
      <c r="N253" s="21" t="n">
        <v>45343</v>
      </c>
      <c r="O253" s="22" t="inlineStr">
        <is>
          <t>, 2/14/2024, 24.12</t>
        </is>
      </c>
      <c r="P253" s="24" t="n"/>
    </row>
    <row r="254" ht="33" customHeight="1">
      <c r="A254" s="14" t="inlineStr">
        <is>
          <t>5993K21</t>
        </is>
      </c>
      <c r="B254" s="15" t="inlineStr">
        <is>
          <t>5993K21</t>
        </is>
      </c>
      <c r="C254" s="15" t="inlineStr">
        <is>
          <t>McMaster Carr</t>
        </is>
      </c>
      <c r="D254" s="15" t="inlineStr">
        <is>
          <t>Four-Arm Knob, Nylon, 5/16"-18 Threaded Insert, 1-1/4" Diameter</t>
        </is>
      </c>
      <c r="E254" s="15" t="n"/>
      <c r="F254" s="17" t="n"/>
      <c r="G254" s="15" t="inlineStr">
        <is>
          <t>5993K21</t>
        </is>
      </c>
      <c r="H254" s="15" t="inlineStr">
        <is>
          <t>McMaster Carr</t>
        </is>
      </c>
      <c r="I254" s="15" t="inlineStr">
        <is>
          <t>NO</t>
        </is>
      </c>
      <c r="J254" s="18" t="n">
        <v>1.78</v>
      </c>
      <c r="K254" s="14" t="n"/>
      <c r="L254" s="19" t="n"/>
      <c r="M254" s="20" t="n"/>
      <c r="N254" s="21" t="n"/>
      <c r="O254" s="22" t="n"/>
      <c r="P254" s="24" t="n"/>
    </row>
    <row r="255" ht="33" customHeight="1">
      <c r="A255" s="14" t="inlineStr">
        <is>
          <t>LF820-3.25IN</t>
        </is>
      </c>
      <c r="B255" s="15" t="inlineStr">
        <is>
          <t>L0820603761</t>
        </is>
      </c>
      <c r="C255" s="15" t="inlineStr">
        <is>
          <t>Rexnord</t>
        </is>
      </c>
      <c r="D255" s="15" t="inlineStr">
        <is>
          <t>Low Friction 820 Straight Running Chain - 3.25" Wide - Price Confirmed: 6.4.15</t>
        </is>
      </c>
      <c r="E255" s="15" t="n"/>
      <c r="F255" s="17" t="n"/>
      <c r="G255" s="15" t="inlineStr">
        <is>
          <t>Rexnord</t>
        </is>
      </c>
      <c r="H255" s="15" t="inlineStr">
        <is>
          <t>LF820-3.25IN</t>
        </is>
      </c>
      <c r="I255" s="15" t="inlineStr">
        <is>
          <t>NO</t>
        </is>
      </c>
      <c r="J255" s="18" t="n">
        <v>6.19</v>
      </c>
      <c r="K255" s="14" t="n"/>
      <c r="L255" s="19" t="n"/>
      <c r="M255" s="20" t="n"/>
      <c r="N255" s="21" t="n"/>
      <c r="O255" s="22" t="n"/>
      <c r="P255" s="24" t="n"/>
    </row>
    <row r="256" ht="33" customHeight="1">
      <c r="A256" s="14" t="inlineStr">
        <is>
          <t>CSS-1TWPOC</t>
        </is>
      </c>
      <c r="B256" s="15" t="inlineStr">
        <is>
          <t xml:space="preserve">CSS-1TWPOC </t>
        </is>
      </c>
      <c r="C256" s="15" t="inlineStr">
        <is>
          <t>POBCO, Inc.</t>
        </is>
      </c>
      <c r="D256" s="15" t="inlineStr">
        <is>
          <t>Heavy Duty Rail Clip, Stainless Steel, 1" Stud  - 1 EA
INCORRECT P/N PLEASE UPDATE TO CSS-1TWOPC</t>
        </is>
      </c>
      <c r="E256" s="15" t="n"/>
      <c r="F256" s="17" t="n"/>
      <c r="G256" s="15" t="inlineStr">
        <is>
          <t>POBCO, Inc.</t>
        </is>
      </c>
      <c r="H256" s="15">
        <f>B256</f>
        <v/>
      </c>
      <c r="I256" s="15" t="inlineStr">
        <is>
          <t>NO</t>
        </is>
      </c>
      <c r="J256" s="18" t="inlineStr">
        <is>
          <t>INCORRECT P/N
PLEASE UPDATE</t>
        </is>
      </c>
      <c r="K256" s="14" t="inlineStr">
        <is>
          <t>BAD P/N</t>
        </is>
      </c>
      <c r="L256" s="19" t="n"/>
      <c r="M256" s="20" t="n"/>
      <c r="N256" s="21" t="n"/>
      <c r="O256" s="22" t="n"/>
      <c r="P256" s="24" t="n"/>
    </row>
    <row r="257" ht="33" customHeight="1">
      <c r="A257" s="14" t="inlineStr">
        <is>
          <t>6462K210</t>
        </is>
      </c>
      <c r="B257" s="15" t="inlineStr">
        <is>
          <t>6462K210</t>
        </is>
      </c>
      <c r="C257" s="15" t="inlineStr">
        <is>
          <t>McMaster Carr</t>
        </is>
      </c>
      <c r="D257" s="15" t="inlineStr">
        <is>
          <t>Set Screw Shaft Collar for 3/4" Diameter, Type 303 Stainless Steel (Price Check 8/21/23)</t>
        </is>
      </c>
      <c r="E257" s="15" t="n"/>
      <c r="F257" s="17" t="n"/>
      <c r="G257" s="15" t="inlineStr">
        <is>
          <t>McMaster Carr</t>
        </is>
      </c>
      <c r="H257" s="15" t="inlineStr">
        <is>
          <t>6462K210</t>
        </is>
      </c>
      <c r="I257" s="15" t="inlineStr">
        <is>
          <t>NO</t>
        </is>
      </c>
      <c r="J257" s="18" t="n">
        <v>10.46</v>
      </c>
      <c r="K257" s="14" t="n"/>
      <c r="L257" s="19" t="n"/>
      <c r="M257" s="20" t="n"/>
      <c r="N257" s="21" t="n"/>
      <c r="O257" s="22" t="n"/>
      <c r="P257" s="24" t="n"/>
    </row>
    <row r="258" ht="33" customHeight="1">
      <c r="A258" s="14" t="inlineStr">
        <is>
          <t>614-29-12</t>
        </is>
      </c>
      <c r="B258" s="15" t="inlineStr">
        <is>
          <t>614-29-12</t>
        </is>
      </c>
      <c r="C258" s="15" t="inlineStr">
        <is>
          <t>Rexnord</t>
        </is>
      </c>
      <c r="D258" s="15" t="inlineStr">
        <is>
          <t>NS882 Thermoplastic Split Sprocket 12T  1.25" Plain Bore</t>
        </is>
      </c>
      <c r="E258" s="15" t="n"/>
      <c r="F258" s="17" t="n"/>
      <c r="G258" s="15" t="inlineStr">
        <is>
          <t>Rexnord</t>
        </is>
      </c>
      <c r="H258" s="15" t="inlineStr">
        <is>
          <t>N/A</t>
        </is>
      </c>
      <c r="I258" s="15" t="inlineStr">
        <is>
          <t>NO</t>
        </is>
      </c>
      <c r="J258" s="18" t="n">
        <v>34.15</v>
      </c>
      <c r="K258" s="14" t="n"/>
      <c r="L258" s="19" t="n"/>
      <c r="M258" s="20" t="n"/>
      <c r="N258" s="21" t="n"/>
      <c r="O258" s="22" t="n"/>
      <c r="P258" s="24" t="n"/>
    </row>
    <row r="259" ht="33" customHeight="1">
      <c r="A259" s="14" t="inlineStr">
        <is>
          <t>2660K34</t>
        </is>
      </c>
      <c r="B259" s="15" t="inlineStr">
        <is>
          <t>2660K34</t>
        </is>
      </c>
      <c r="C259" s="15" t="inlineStr">
        <is>
          <t>McMaster-Carr</t>
        </is>
      </c>
      <c r="D259" s="15" t="inlineStr">
        <is>
          <t>Premium Brass Solenoid Valve, Buna-N Diaphragm, NC, 3/4 NPT Female, 24 VDC</t>
        </is>
      </c>
      <c r="E259" s="15" t="n"/>
      <c r="F259" s="17" t="inlineStr">
        <is>
          <t>Each</t>
        </is>
      </c>
      <c r="G259" s="15" t="inlineStr">
        <is>
          <t>McMaster-Carr</t>
        </is>
      </c>
      <c r="H259" s="15" t="inlineStr">
        <is>
          <t>2660K34</t>
        </is>
      </c>
      <c r="I259" s="15" t="inlineStr">
        <is>
          <t>NO</t>
        </is>
      </c>
      <c r="J259" s="18" t="n">
        <v>191.22</v>
      </c>
      <c r="K259" s="21" t="n">
        <v>45348</v>
      </c>
      <c r="L259" s="19" t="n">
        <v>0</v>
      </c>
      <c r="M259" s="20" t="n">
        <v>191.22</v>
      </c>
      <c r="N259" s="21" t="n">
        <v>45336</v>
      </c>
      <c r="O259" s="22" t="inlineStr">
        <is>
          <t>, 2/15/2024, 191.22</t>
        </is>
      </c>
      <c r="P259" s="24" t="n"/>
    </row>
    <row r="260" ht="33" customHeight="1">
      <c r="A260" s="14" t="inlineStr">
        <is>
          <t>16772-SR</t>
        </is>
      </c>
      <c r="B260" s="15" t="inlineStr">
        <is>
          <t>16772-SR</t>
        </is>
      </c>
      <c r="C260" s="15" t="inlineStr">
        <is>
          <t>Emerson</t>
        </is>
      </c>
      <c r="D260" s="15" t="inlineStr">
        <is>
          <t>Modular Transfer Plate, Red Low Noise PBT Roller, 3.35" Wide - 1EA  - Price Checked - 05.23.22
REPLACED W/ POBCO MTP260</t>
        </is>
      </c>
      <c r="E260" s="15" t="n"/>
      <c r="F260" s="17" t="n">
        <v>4</v>
      </c>
      <c r="G260" s="15" t="inlineStr">
        <is>
          <t>Emerson</t>
        </is>
      </c>
      <c r="H260" s="15" t="inlineStr">
        <is>
          <t>16772-SR</t>
        </is>
      </c>
      <c r="I260" s="15" t="inlineStr">
        <is>
          <t>NO</t>
        </is>
      </c>
      <c r="J260" s="18" t="n">
        <v>24.82</v>
      </c>
      <c r="K260" s="14" t="n"/>
      <c r="L260" s="19" t="n"/>
      <c r="M260" s="20" t="n"/>
      <c r="N260" s="21" t="n"/>
      <c r="O260" s="22" t="n"/>
      <c r="P260" s="24" t="n"/>
    </row>
    <row r="261" ht="33" customHeight="1">
      <c r="A261" s="14" t="inlineStr">
        <is>
          <t>4464K354</t>
        </is>
      </c>
      <c r="B261" s="15" t="inlineStr">
        <is>
          <t>4464K354</t>
        </is>
      </c>
      <c r="C261" s="15" t="inlineStr">
        <is>
          <t>McMaster-Carr</t>
        </is>
      </c>
      <c r="D261" s="15" t="inlineStr">
        <is>
          <t>Type 304 Stainless Steel Threaded Pipe Fitting, 1/2 Pipe Size, Coupling, 150 PSI</t>
        </is>
      </c>
      <c r="E261" s="15" t="n"/>
      <c r="F261" s="17" t="inlineStr">
        <is>
          <t>Each</t>
        </is>
      </c>
      <c r="G261" s="15" t="inlineStr">
        <is>
          <t>McMaster-Carr</t>
        </is>
      </c>
      <c r="H261" s="15" t="inlineStr">
        <is>
          <t>4464K354</t>
        </is>
      </c>
      <c r="I261" s="15" t="inlineStr">
        <is>
          <t>NO</t>
        </is>
      </c>
      <c r="J261" s="18" t="n">
        <v>6.95</v>
      </c>
      <c r="K261" s="21" t="n">
        <v>45348</v>
      </c>
      <c r="L261" s="19" t="n">
        <v>0</v>
      </c>
      <c r="M261" s="20" t="n">
        <v>6.95</v>
      </c>
      <c r="N261" s="21" t="n">
        <v>45336</v>
      </c>
      <c r="O261" s="22" t="inlineStr">
        <is>
          <t>, 2/15/2024, 6.95</t>
        </is>
      </c>
      <c r="P261" s="24" t="n"/>
    </row>
    <row r="262" ht="27.75" customHeight="1">
      <c r="A262" s="14" t="inlineStr">
        <is>
          <t>CL50RXXAOSPQ</t>
        </is>
      </c>
      <c r="B262" s="15" t="n">
        <v>86734</v>
      </c>
      <c r="C262" s="15" t="inlineStr">
        <is>
          <t>Banner Engineering</t>
        </is>
      </c>
      <c r="D262" s="15" t="inlineStr">
        <is>
          <t>Column Light: 1-Color Sealed, Omni-directional Continuous Audible Indicator, Voltage: 18-30 V dc; Environ. Rating: IP67, Input: PNP; Colors: Red, Euro 5-pin Quick-Disconnect - Price Confirmed 8/12/15</t>
        </is>
      </c>
      <c r="E262" s="15" t="n"/>
      <c r="F262" s="17" t="n"/>
      <c r="G262" s="15" t="inlineStr">
        <is>
          <t>Electrical Equipment Co.</t>
        </is>
      </c>
      <c r="H262" s="15" t="inlineStr">
        <is>
          <t>CL50RXXAOSPQ</t>
        </is>
      </c>
      <c r="I262" s="15" t="inlineStr">
        <is>
          <t>NO</t>
        </is>
      </c>
      <c r="J262" s="18" t="n">
        <v>97.5</v>
      </c>
      <c r="K262" s="14" t="n"/>
      <c r="L262" s="19" t="n"/>
      <c r="M262" s="20" t="n"/>
      <c r="N262" s="21" t="n"/>
      <c r="O262" s="22" t="n"/>
      <c r="P262" s="24" t="n"/>
    </row>
    <row r="263" ht="33" customHeight="1">
      <c r="A263" s="14" t="inlineStr">
        <is>
          <t>SA-M30TE12</t>
        </is>
      </c>
      <c r="B263" s="15" t="n">
        <v>10137</v>
      </c>
      <c r="C263" s="15" t="inlineStr">
        <is>
          <t>Banner Engineering</t>
        </is>
      </c>
      <c r="D263" s="15" t="inlineStr">
        <is>
          <t>Stand-off pipe adapter/cover, Material: Acetal, Connects between TL50 and 1/2 in. NPSM/DN15 pipe, Mounting hardware included - Price Confirmed 8/12/15</t>
        </is>
      </c>
      <c r="E263" s="15" t="n"/>
      <c r="F263" s="17" t="n"/>
      <c r="G263" s="15" t="inlineStr">
        <is>
          <t>Electrical Equipment Co.</t>
        </is>
      </c>
      <c r="H263" s="15" t="inlineStr">
        <is>
          <t>SA-M30TE12</t>
        </is>
      </c>
      <c r="I263" s="15" t="inlineStr">
        <is>
          <t>NO</t>
        </is>
      </c>
      <c r="J263" s="18" t="n">
        <v>8.25</v>
      </c>
      <c r="K263" s="14" t="n"/>
      <c r="L263" s="19" t="n"/>
      <c r="M263" s="20" t="n"/>
      <c r="N263" s="21" t="n"/>
      <c r="O263" s="22" t="n"/>
      <c r="P263" s="24" t="n"/>
    </row>
    <row r="264" ht="33" customHeight="1">
      <c r="A264" s="14" t="inlineStr">
        <is>
          <t>MQDC1-515</t>
        </is>
      </c>
      <c r="B264" s="15" t="n">
        <v>47812</v>
      </c>
      <c r="C264" s="15" t="inlineStr">
        <is>
          <t>Banner Engineering</t>
        </is>
      </c>
      <c r="D264" s="15" t="inlineStr">
        <is>
          <t>Euro-style Quick Disconnect Cable, 5 Pin Straight Connector, 5 m (15 ft) in Length, Chrome plated brass coupling nut - Price Confirmed 8/12/15</t>
        </is>
      </c>
      <c r="E264" s="15" t="n"/>
      <c r="F264" s="17" t="n"/>
      <c r="G264" s="15" t="inlineStr">
        <is>
          <t>Electrical Equipment Co.</t>
        </is>
      </c>
      <c r="H264" s="15" t="inlineStr">
        <is>
          <t xml:space="preserve">MQDC1-515 </t>
        </is>
      </c>
      <c r="I264" s="15" t="inlineStr">
        <is>
          <t>NO</t>
        </is>
      </c>
      <c r="J264" s="18" t="n">
        <v>18.4</v>
      </c>
      <c r="K264" s="14" t="n"/>
      <c r="L264" s="19" t="n"/>
      <c r="M264" s="20" t="n"/>
      <c r="N264" s="21" t="n"/>
      <c r="O264" s="22" t="n"/>
      <c r="P264" s="24" t="n"/>
    </row>
    <row r="265" ht="33" customHeight="1">
      <c r="A265" s="14" t="inlineStr">
        <is>
          <t>HBLDS3NK</t>
        </is>
      </c>
      <c r="B265" s="15" t="inlineStr">
        <is>
          <t>HBLDS3NK</t>
        </is>
      </c>
      <c r="C265" s="15" t="inlineStr">
        <is>
          <t>Hubbell</t>
        </is>
      </c>
      <c r="D265" s="15" t="inlineStr">
        <is>
          <t>Hubbell Wiring HBLDS3NK Circuit-Lock® Non-Metallic Non-Fusible Heavy Duty Disconnect Switch; 30 Amp, 600 Volt AC, 3-Pole, NEMA 4X, Two Position - Price Confirmed: 1.12.22</t>
        </is>
      </c>
      <c r="E265" s="15" t="n"/>
      <c r="F265" s="17" t="n">
        <v>1</v>
      </c>
      <c r="G265" s="15" t="inlineStr">
        <is>
          <t>Electric Equipment Co.</t>
        </is>
      </c>
      <c r="H265" s="15" t="inlineStr">
        <is>
          <t>HBLDS3NK</t>
        </is>
      </c>
      <c r="I265" s="15" t="inlineStr">
        <is>
          <t>NO</t>
        </is>
      </c>
      <c r="J265" s="18" t="n">
        <v>278.81</v>
      </c>
      <c r="K265" s="14" t="n"/>
      <c r="L265" s="19" t="n"/>
      <c r="M265" s="20" t="n"/>
      <c r="N265" s="21" t="n"/>
      <c r="O265" s="22" t="n"/>
      <c r="P265" s="24" t="n"/>
    </row>
    <row r="266" ht="33" customHeight="1">
      <c r="A266" s="14" t="inlineStr">
        <is>
          <t>G8485391</t>
        </is>
      </c>
      <c r="B266" s="15" t="inlineStr">
        <is>
          <t xml:space="preserve"> 20TM50</t>
        </is>
      </c>
      <c r="C266" s="15" t="inlineStr">
        <is>
          <t>Grainger</t>
        </is>
      </c>
      <c r="D266" s="15" t="inlineStr">
        <is>
          <t xml:space="preserve">Swivel Stem Caster, Stem Type Threaded, Wheel Dia. 3 In., Wheel Width 1 In., Load Rating 100 lb., Overall Height 3-5/8 In., Wheel Material Rubber, Wheel Color Black, Core Material Rubber, Core Color Black, Delrin(r) Wheel Bearings, Stem Dia. 1/2 In.-13, Stem Length 1-1/2 In., Raceway Double Ball, Chrome Plated Frame Finish, Standards NSF Listed </t>
        </is>
      </c>
      <c r="E266" s="15" t="n">
        <v>1</v>
      </c>
      <c r="F266" s="17" t="inlineStr">
        <is>
          <t>each</t>
        </is>
      </c>
      <c r="G266" s="15" t="inlineStr">
        <is>
          <t>Zoro</t>
        </is>
      </c>
      <c r="H266" s="15" t="inlineStr">
        <is>
          <t>G8485391</t>
        </is>
      </c>
      <c r="I266" s="15" t="inlineStr">
        <is>
          <t>NO</t>
        </is>
      </c>
      <c r="J266" s="18" t="n">
        <v>4.29</v>
      </c>
      <c r="K266" s="21" t="n">
        <v>45348</v>
      </c>
      <c r="L266" s="19" t="n">
        <v>-0.510489510489511</v>
      </c>
      <c r="M266" s="20" t="n">
        <v>6.48</v>
      </c>
      <c r="N266" s="21" t="n"/>
      <c r="O266" s="22" t="inlineStr">
        <is>
          <t>, 2/14/2024, 6.48</t>
        </is>
      </c>
      <c r="P266" s="24" t="n"/>
    </row>
    <row r="267" ht="33" customHeight="1">
      <c r="A267" s="14" t="inlineStr">
        <is>
          <t>G3107937</t>
        </is>
      </c>
      <c r="B267" s="15" t="inlineStr">
        <is>
          <t xml:space="preserve">CL-12-SS </t>
        </is>
      </c>
      <c r="C267" s="15" t="inlineStr">
        <is>
          <t>Ruland Manufacturing</t>
        </is>
      </c>
      <c r="D267" s="15" t="inlineStr">
        <is>
          <t>Shaft Collar, Clamp, 1Pc, 3/4 In, 303 SS</t>
        </is>
      </c>
      <c r="E267" s="15" t="n">
        <v>1</v>
      </c>
      <c r="F267" s="17" t="inlineStr">
        <is>
          <t>each</t>
        </is>
      </c>
      <c r="G267" s="15" t="inlineStr">
        <is>
          <t>Zoro</t>
        </is>
      </c>
      <c r="H267" s="15" t="inlineStr">
        <is>
          <t>G3107937</t>
        </is>
      </c>
      <c r="I267" s="15" t="inlineStr">
        <is>
          <t>NO</t>
        </is>
      </c>
      <c r="J267" s="18" t="n">
        <v>18.75</v>
      </c>
      <c r="K267" s="21" t="n">
        <v>45420</v>
      </c>
      <c r="L267" s="19" t="n">
        <v>0.185066666666667</v>
      </c>
      <c r="M267" s="20" t="n">
        <v>17.89</v>
      </c>
      <c r="N267" s="21" t="n">
        <v>45337</v>
      </c>
      <c r="O267" s="22" t="inlineStr">
        <is>
          <t>, 2/14/2024, 15.28, 2/26/2024, 18.75</t>
        </is>
      </c>
      <c r="P267" s="24" t="n"/>
    </row>
    <row r="268" ht="33" customHeight="1">
      <c r="A268" s="14" t="inlineStr">
        <is>
          <t>1610 Bushing</t>
        </is>
      </c>
      <c r="B268" s="15" t="n">
        <v>221540</v>
      </c>
      <c r="C268" s="15" t="inlineStr">
        <is>
          <t>Martin</t>
        </is>
      </c>
      <c r="D268" s="15" t="inlineStr">
        <is>
          <t>1610 Bushing - 1.25" Bore - Price Checked: 3.26.15</t>
        </is>
      </c>
      <c r="E268" s="15" t="n"/>
      <c r="F268" s="17" t="n">
        <v>1</v>
      </c>
      <c r="G268" s="15" t="inlineStr">
        <is>
          <t>Motion Industries</t>
        </is>
      </c>
      <c r="H268" s="15" t="inlineStr">
        <is>
          <t>1610 Bushing</t>
        </is>
      </c>
      <c r="I268" s="15" t="inlineStr">
        <is>
          <t>NO</t>
        </is>
      </c>
      <c r="J268" s="18" t="n">
        <v>13.44</v>
      </c>
      <c r="K268" s="14" t="n"/>
      <c r="L268" s="19" t="n"/>
      <c r="M268" s="20" t="n"/>
      <c r="N268" s="21" t="n"/>
      <c r="O268" s="22" t="n"/>
      <c r="P268" s="24" t="n"/>
    </row>
    <row r="269" ht="33" customHeight="1">
      <c r="A269" s="14" t="inlineStr">
        <is>
          <t>G1146625</t>
        </is>
      </c>
      <c r="B269" s="15" t="inlineStr">
        <is>
          <t>M252LS-10</t>
        </is>
      </c>
      <c r="C269" s="15" t="inlineStr">
        <is>
          <t>ARO</t>
        </is>
      </c>
      <c r="D269" s="15" t="inlineStr">
        <is>
          <t>3-Way Valve, Standard Manual Selector Knob, 1/4" FNPT Ports</t>
        </is>
      </c>
      <c r="E269" s="15" t="n">
        <v>1</v>
      </c>
      <c r="F269" s="17" t="inlineStr">
        <is>
          <t>each</t>
        </is>
      </c>
      <c r="G269" s="15" t="inlineStr">
        <is>
          <t>Zoro</t>
        </is>
      </c>
      <c r="H269" s="15" t="inlineStr">
        <is>
          <t>G1146625</t>
        </is>
      </c>
      <c r="I269" s="15" t="inlineStr">
        <is>
          <t>NO</t>
        </is>
      </c>
      <c r="J269" s="18" t="n">
        <v>83.98999999999999</v>
      </c>
      <c r="K269" s="21" t="n">
        <v>45348</v>
      </c>
      <c r="L269" s="19" t="n">
        <v>0.607334206453149</v>
      </c>
      <c r="M269" s="20" t="n">
        <v>32.98</v>
      </c>
      <c r="N269" s="21" t="n"/>
      <c r="O269" s="22" t="inlineStr">
        <is>
          <t>, 2/14/2024, 32.98</t>
        </is>
      </c>
      <c r="P269" s="24" t="n"/>
    </row>
    <row r="270" ht="33" customHeight="1">
      <c r="A270" s="14" t="inlineStr">
        <is>
          <t>614-181-1</t>
        </is>
      </c>
      <c r="B270" s="15" t="inlineStr">
        <is>
          <t>NS-1500-32T_1IN_1KW1SS_PA</t>
        </is>
      </c>
      <c r="C270" s="15" t="inlineStr">
        <is>
          <t>Rexnord</t>
        </is>
      </c>
      <c r="D270" s="15" t="inlineStr">
        <is>
          <t>NS1500 Thermoplastic Split Sprocket 32T w/ 1.00" Bore w/ Keyway and SetScrew - Price Checked: 2.23.15</t>
        </is>
      </c>
      <c r="E270" s="15" t="n"/>
      <c r="F270" s="17" t="n"/>
      <c r="G270" s="15" t="inlineStr">
        <is>
          <t>Rexnord</t>
        </is>
      </c>
      <c r="H270" s="15" t="inlineStr">
        <is>
          <t>614-181-1</t>
        </is>
      </c>
      <c r="I270" s="15" t="inlineStr">
        <is>
          <t>NO</t>
        </is>
      </c>
      <c r="J270" s="18" t="n">
        <v>30.92</v>
      </c>
      <c r="K270" s="14" t="n"/>
      <c r="L270" s="19" t="n"/>
      <c r="M270" s="20" t="n"/>
      <c r="N270" s="21" t="n"/>
      <c r="O270" s="22" t="n"/>
      <c r="P270" s="24" t="n"/>
    </row>
    <row r="271" ht="33" customHeight="1">
      <c r="A271" s="14" t="inlineStr">
        <is>
          <t>614-181-7</t>
        </is>
      </c>
      <c r="B271" s="15" t="inlineStr">
        <is>
          <t>NS-1500-32T_1IN_I_PA</t>
        </is>
      </c>
      <c r="C271" s="15" t="inlineStr">
        <is>
          <t>Rexnord</t>
        </is>
      </c>
      <c r="D271" s="15" t="inlineStr">
        <is>
          <t>NS1500 Thermoplastic Split Sprocket 32T w/ 1.00" Plain Idler Bore - Price Checked: 2.23.15</t>
        </is>
      </c>
      <c r="E271" s="15" t="n"/>
      <c r="F271" s="17" t="n"/>
      <c r="G271" s="15" t="inlineStr">
        <is>
          <t>Rexnord</t>
        </is>
      </c>
      <c r="H271" s="15" t="inlineStr">
        <is>
          <t>614-181-7</t>
        </is>
      </c>
      <c r="I271" s="15" t="inlineStr">
        <is>
          <t>NO</t>
        </is>
      </c>
      <c r="J271" s="18" t="n">
        <v>30.92</v>
      </c>
      <c r="K271" s="14" t="n"/>
      <c r="L271" s="19" t="n"/>
      <c r="M271" s="20" t="n"/>
      <c r="N271" s="21" t="n"/>
      <c r="O271" s="22" t="n"/>
      <c r="P271" s="24" t="n"/>
    </row>
    <row r="272" ht="33" customHeight="1">
      <c r="A272" s="14" t="inlineStr">
        <is>
          <t>HP1505-3IN_MTW</t>
        </is>
      </c>
      <c r="B272" s="15" t="n">
        <v>10028887</v>
      </c>
      <c r="C272" s="15" t="inlineStr">
        <is>
          <t>Rexnord</t>
        </is>
      </c>
      <c r="D272" s="15" t="inlineStr">
        <is>
          <t>HP1505 - 3" Wide - Mold-to-Width (Priced per Foot)</t>
        </is>
      </c>
      <c r="E272" s="15" t="n"/>
      <c r="F272" s="17" t="n"/>
      <c r="G272" s="15" t="inlineStr">
        <is>
          <t>Rexnord</t>
        </is>
      </c>
      <c r="H272" s="15" t="n">
        <v>10028887</v>
      </c>
      <c r="I272" s="15" t="inlineStr">
        <is>
          <t>NO</t>
        </is>
      </c>
      <c r="J272" s="18" t="n">
        <v>7.18</v>
      </c>
      <c r="K272" s="14" t="n"/>
      <c r="L272" s="19" t="n"/>
      <c r="M272" s="20" t="n"/>
      <c r="N272" s="21" t="n"/>
      <c r="O272" s="22" t="n"/>
      <c r="P272" s="24" t="n"/>
    </row>
    <row r="273" ht="33" customHeight="1">
      <c r="A273" s="14" t="inlineStr">
        <is>
          <t>HP1505-9IN</t>
        </is>
      </c>
      <c r="B273" s="15" t="n">
        <v>10028897</v>
      </c>
      <c r="C273" s="15" t="inlineStr">
        <is>
          <t>Rexnord</t>
        </is>
      </c>
      <c r="D273" s="15" t="inlineStr">
        <is>
          <t>HP1505 - 9" Wide - Assembled-to-Width (Priced per Foot) - Price Confirmed: 8/10/22</t>
        </is>
      </c>
      <c r="E273" s="15" t="n"/>
      <c r="F273" s="17" t="n"/>
      <c r="G273" s="15" t="inlineStr">
        <is>
          <t>Rexnord</t>
        </is>
      </c>
      <c r="H273" s="15" t="n">
        <v>10028897</v>
      </c>
      <c r="I273" s="15" t="inlineStr">
        <is>
          <t>NO</t>
        </is>
      </c>
      <c r="J273" s="18" t="n">
        <v>18.78</v>
      </c>
      <c r="K273" s="14" t="n"/>
      <c r="L273" s="19" t="n"/>
      <c r="M273" s="20" t="n"/>
      <c r="N273" s="21" t="n"/>
      <c r="O273" s="22" t="n"/>
      <c r="P273" s="24" t="n"/>
    </row>
    <row r="274" ht="33" customHeight="1">
      <c r="A274" s="14" t="inlineStr">
        <is>
          <t>LF882TAB-4.5IN</t>
        </is>
      </c>
      <c r="B274" s="15" t="n">
        <v>10177754</v>
      </c>
      <c r="C274" s="15" t="inlineStr">
        <is>
          <t>Rexnord</t>
        </is>
      </c>
      <c r="D274" s="15" t="inlineStr">
        <is>
          <t>LF882TAB - K450 - 4.5" Wide Tabletop Conveyor Chain - Price Confirmed: 8/31/21</t>
        </is>
      </c>
      <c r="E274" s="15" t="n"/>
      <c r="F274" s="17" t="n"/>
      <c r="G274" s="15" t="inlineStr">
        <is>
          <t>Rexnord</t>
        </is>
      </c>
      <c r="H274" s="15" t="n">
        <v>10177754</v>
      </c>
      <c r="I274" s="15" t="inlineStr">
        <is>
          <t>NO</t>
        </is>
      </c>
      <c r="J274" s="18" t="n">
        <v>22.25</v>
      </c>
      <c r="K274" s="14" t="n"/>
      <c r="L274" s="19" t="n"/>
      <c r="M274" s="20" t="n"/>
      <c r="N274" s="21" t="n"/>
      <c r="O274" s="22" t="n"/>
      <c r="P274" s="24" t="n"/>
    </row>
    <row r="275" ht="33" customHeight="1">
      <c r="A275" s="14" t="inlineStr">
        <is>
          <t>RX-221-12</t>
        </is>
      </c>
      <c r="B275" s="15" t="n">
        <v>10309722</v>
      </c>
      <c r="C275" s="15" t="inlineStr">
        <is>
          <t>Rexnord</t>
        </is>
      </c>
      <c r="D275" s="15" t="inlineStr">
        <is>
          <t>Heavy Duty Guide Rail Bracket, Polyamide, 1/2" Rod - Price Confirmed: 11.10.15</t>
        </is>
      </c>
      <c r="E275" s="15" t="n"/>
      <c r="F275" s="17" t="n"/>
      <c r="G275" s="15" t="inlineStr">
        <is>
          <t>Rexnord</t>
        </is>
      </c>
      <c r="H275" s="15" t="inlineStr">
        <is>
          <t>RX-221-12</t>
        </is>
      </c>
      <c r="I275" s="15" t="inlineStr">
        <is>
          <t>NO</t>
        </is>
      </c>
      <c r="J275" s="18" t="n">
        <v>9.19</v>
      </c>
      <c r="K275" s="14" t="n"/>
      <c r="L275" s="19" t="n"/>
      <c r="M275" s="20" t="n"/>
      <c r="N275" s="21" t="n"/>
      <c r="O275" s="22" t="n"/>
      <c r="P275" s="24" t="n"/>
    </row>
    <row r="276" ht="33" customHeight="1">
      <c r="A276" s="14" t="inlineStr">
        <is>
          <t>RX-203TC-12</t>
        </is>
      </c>
      <c r="B276" s="15" t="n">
        <v>10309342</v>
      </c>
      <c r="C276" s="15" t="inlineStr">
        <is>
          <t>Rexnord</t>
        </is>
      </c>
      <c r="D276" s="15" t="inlineStr">
        <is>
          <t>Transition Cap Assembly, Polyamide, 1/2" Rod - Price Confirmed: 11.10.15</t>
        </is>
      </c>
      <c r="E276" s="15" t="n"/>
      <c r="F276" s="17" t="n"/>
      <c r="G276" s="15" t="inlineStr">
        <is>
          <t>Rexnord</t>
        </is>
      </c>
      <c r="H276" s="15">
        <f>A276</f>
        <v/>
      </c>
      <c r="I276" s="15" t="inlineStr">
        <is>
          <t>NO</t>
        </is>
      </c>
      <c r="J276" s="18" t="n">
        <v>7.64</v>
      </c>
      <c r="K276" s="14" t="n"/>
      <c r="L276" s="19" t="n"/>
      <c r="M276" s="20" t="n"/>
      <c r="N276" s="21" t="n"/>
      <c r="O276" s="22" t="n"/>
      <c r="P276" s="24" t="n"/>
    </row>
    <row r="277" ht="33" customHeight="1">
      <c r="A277" s="14" t="inlineStr">
        <is>
          <t>RX-013-01</t>
        </is>
      </c>
      <c r="B277" s="15" t="n">
        <v>10309599</v>
      </c>
      <c r="C277" s="15" t="inlineStr">
        <is>
          <t>Rexnord</t>
        </is>
      </c>
      <c r="D277" s="15" t="inlineStr">
        <is>
          <t>Splice Sleeve, Stainless Steel, 2" - Price Confirmed: 02.12.19</t>
        </is>
      </c>
      <c r="E277" s="15" t="n"/>
      <c r="F277" s="17" t="n"/>
      <c r="G277" s="15" t="inlineStr">
        <is>
          <t>Rexnord</t>
        </is>
      </c>
      <c r="H277" s="15">
        <f>A277</f>
        <v/>
      </c>
      <c r="I277" s="15" t="inlineStr">
        <is>
          <t>NO</t>
        </is>
      </c>
      <c r="J277" s="18" t="n">
        <v>0.99</v>
      </c>
      <c r="K277" s="14" t="n"/>
      <c r="L277" s="19" t="n"/>
      <c r="M277" s="20" t="n"/>
      <c r="N277" s="21" t="n"/>
      <c r="O277" s="22" t="n"/>
      <c r="P277" s="24" t="n"/>
    </row>
    <row r="278" ht="33" customHeight="1">
      <c r="A278" s="14" t="inlineStr">
        <is>
          <t>RX-011-SH</t>
        </is>
      </c>
      <c r="B278" s="15" t="n">
        <v>10309843</v>
      </c>
      <c r="C278" s="15" t="inlineStr">
        <is>
          <t>Rexnord</t>
        </is>
      </c>
      <c r="D278" s="15" t="inlineStr">
        <is>
          <t>Double Rail Clamp, Stainless Steel, Square Hole, 2.5" Rail Centers - Price Confirmed: 02.12.19</t>
        </is>
      </c>
      <c r="E278" s="15" t="n"/>
      <c r="F278" s="17" t="n"/>
      <c r="G278" s="15" t="inlineStr">
        <is>
          <t>Rexnord</t>
        </is>
      </c>
      <c r="H278" s="15">
        <f>A278</f>
        <v/>
      </c>
      <c r="I278" s="15" t="inlineStr">
        <is>
          <t>NO</t>
        </is>
      </c>
      <c r="J278" s="18" t="n">
        <v>4.4</v>
      </c>
      <c r="K278" s="14" t="n"/>
      <c r="L278" s="19" t="n"/>
      <c r="M278" s="20" t="n"/>
      <c r="N278" s="21" t="n"/>
      <c r="O278" s="22" t="n"/>
      <c r="P278" s="24" t="n"/>
    </row>
    <row r="279" ht="33" customHeight="1">
      <c r="A279" s="14" t="inlineStr">
        <is>
          <t>RX-SSFS-10</t>
        </is>
      </c>
      <c r="B279" s="15" t="n">
        <v>101060686</v>
      </c>
      <c r="C279" s="15" t="inlineStr">
        <is>
          <t>Rexnord</t>
        </is>
      </c>
      <c r="D279" s="15" t="inlineStr">
        <is>
          <t>Guide Rail, Stainless Steel, Flat, 10 ft.  - Price Confirmed: 02.12.19</t>
        </is>
      </c>
      <c r="E279" s="15" t="n"/>
      <c r="F279" s="17" t="n"/>
      <c r="G279" s="15" t="inlineStr">
        <is>
          <t>Rexnord</t>
        </is>
      </c>
      <c r="H279" s="15">
        <f>A279</f>
        <v/>
      </c>
      <c r="I279" s="15" t="inlineStr">
        <is>
          <t>NO</t>
        </is>
      </c>
      <c r="J279" s="18" t="n">
        <v>27.47</v>
      </c>
      <c r="K279" s="14" t="n"/>
      <c r="L279" s="19" t="n"/>
      <c r="M279" s="20" t="n"/>
      <c r="N279" s="21" t="n"/>
      <c r="O279" s="22" t="n"/>
      <c r="P279" s="24" t="n"/>
    </row>
    <row r="280" ht="33" customHeight="1">
      <c r="A280" s="14" t="inlineStr">
        <is>
          <t>RX-SSWFS-10</t>
        </is>
      </c>
      <c r="B280" s="15" t="n">
        <v>10324388</v>
      </c>
      <c r="C280" s="15" t="inlineStr">
        <is>
          <t>Rexnord</t>
        </is>
      </c>
      <c r="D280" s="15" t="inlineStr">
        <is>
          <t>Guide Rail, Stainless Steel, Wide Flat, 10 ft. - Price Confirmed: 02.12.19</t>
        </is>
      </c>
      <c r="E280" s="15" t="n"/>
      <c r="F280" s="17" t="n"/>
      <c r="G280" s="15" t="inlineStr">
        <is>
          <t>Rexnord</t>
        </is>
      </c>
      <c r="H280" s="15">
        <f>A280</f>
        <v/>
      </c>
      <c r="I280" s="15" t="inlineStr">
        <is>
          <t>NO</t>
        </is>
      </c>
      <c r="J280" s="18" t="n">
        <v>40.6</v>
      </c>
      <c r="K280" s="14" t="n"/>
      <c r="L280" s="19" t="n"/>
      <c r="M280" s="20" t="n"/>
      <c r="N280" s="21" t="n"/>
      <c r="O280" s="22" t="n"/>
      <c r="P280" s="24" t="n"/>
    </row>
    <row r="281" ht="33" customHeight="1">
      <c r="A281" s="14" t="inlineStr">
        <is>
          <t>HP882TAB-12IN</t>
        </is>
      </c>
      <c r="B281" s="15" t="n">
        <v>10144636</v>
      </c>
      <c r="C281" s="15" t="inlineStr">
        <is>
          <t>Rexnord</t>
        </is>
      </c>
      <c r="D281" s="15" t="inlineStr">
        <is>
          <t>HP882TAB  - K1200 - 12" Wide Tabletop Conveyor Chain - Price Confirmed:  4/11/23</t>
        </is>
      </c>
      <c r="E281" s="15" t="n"/>
      <c r="F281" s="17" t="n"/>
      <c r="G281" s="15" t="inlineStr">
        <is>
          <t>Rexnord</t>
        </is>
      </c>
      <c r="H281" s="15" t="n">
        <v>10144636</v>
      </c>
      <c r="I281" s="15" t="inlineStr">
        <is>
          <t>NO</t>
        </is>
      </c>
      <c r="J281" s="18" t="n">
        <v>47.33</v>
      </c>
      <c r="K281" s="14" t="n"/>
      <c r="L281" s="19" t="n"/>
      <c r="M281" s="20" t="n"/>
      <c r="N281" s="21" t="n"/>
      <c r="O281" s="22" t="n"/>
      <c r="P281" s="24" t="n"/>
    </row>
    <row r="282" ht="33" customHeight="1">
      <c r="A282" s="14" t="inlineStr">
        <is>
          <t>A162008LP</t>
        </is>
      </c>
      <c r="B282" s="15" t="inlineStr">
        <is>
          <t>A162008LP</t>
        </is>
      </c>
      <c r="C282" s="15" t="inlineStr">
        <is>
          <t>Hoffman</t>
        </is>
      </c>
      <c r="D282" s="15" t="inlineStr">
        <is>
          <t>NEMA 12 Wall-Mount Continuous Hinge with Clamps Enclosure - 16.00x20.00x8.00in - Price Confirmed: 12.7.15</t>
        </is>
      </c>
      <c r="E282" s="15" t="n"/>
      <c r="F282" s="17" t="n"/>
      <c r="G282" s="15" t="inlineStr">
        <is>
          <t>Electrical Equipment Company</t>
        </is>
      </c>
      <c r="H282" s="15" t="inlineStr">
        <is>
          <t>N/A</t>
        </is>
      </c>
      <c r="I282" s="15" t="inlineStr">
        <is>
          <t>NO</t>
        </is>
      </c>
      <c r="J282" s="18" t="n">
        <v>339.76</v>
      </c>
      <c r="K282" s="14" t="n"/>
      <c r="L282" s="19" t="n"/>
      <c r="M282" s="20" t="n"/>
      <c r="N282" s="21" t="n"/>
      <c r="O282" s="22" t="n"/>
      <c r="P282" s="24" t="n"/>
    </row>
    <row r="283" ht="33" customHeight="1">
      <c r="A283" s="14" t="inlineStr">
        <is>
          <t>LF880TAB-4.5IN</t>
        </is>
      </c>
      <c r="B283" s="15" t="n">
        <v>10177743</v>
      </c>
      <c r="C283" s="15" t="inlineStr">
        <is>
          <t>Rexnord</t>
        </is>
      </c>
      <c r="D283" s="15" t="inlineStr">
        <is>
          <t>Low Friction 880TAB-K450 - Price Confirmed: 11/9/15</t>
        </is>
      </c>
      <c r="E283" s="15" t="n"/>
      <c r="F283" s="17" t="n"/>
      <c r="G283" s="15" t="inlineStr">
        <is>
          <t>Rexnord</t>
        </is>
      </c>
      <c r="H283" s="15">
        <f>A283</f>
        <v/>
      </c>
      <c r="I283" s="15" t="inlineStr">
        <is>
          <t>NO</t>
        </is>
      </c>
      <c r="J283" s="18" t="n">
        <v>10.61</v>
      </c>
      <c r="K283" s="14" t="n"/>
      <c r="L283" s="19" t="n"/>
      <c r="M283" s="20" t="n"/>
      <c r="N283" s="21" t="n"/>
      <c r="O283" s="22" t="n"/>
      <c r="P283" s="24" t="n"/>
    </row>
    <row r="284" ht="33" customHeight="1">
      <c r="A284" s="14" t="inlineStr">
        <is>
          <t>LF820-4.5IN</t>
        </is>
      </c>
      <c r="B284" s="15" t="n">
        <v>10177688</v>
      </c>
      <c r="C284" s="15" t="inlineStr">
        <is>
          <t>Rexnord</t>
        </is>
      </c>
      <c r="D284" s="15" t="inlineStr">
        <is>
          <t>Low Friction 820-K450 - Price Confirmed: 11/9/15</t>
        </is>
      </c>
      <c r="E284" s="15" t="n"/>
      <c r="F284" s="17" t="n"/>
      <c r="G284" s="15" t="inlineStr">
        <is>
          <t>Rexnord</t>
        </is>
      </c>
      <c r="H284" s="15" t="inlineStr">
        <is>
          <t>LF820-4.5IN</t>
        </is>
      </c>
      <c r="I284" s="15" t="inlineStr">
        <is>
          <t>NO</t>
        </is>
      </c>
      <c r="J284" s="18" t="n">
        <v>7.2</v>
      </c>
      <c r="K284" s="14" t="n"/>
      <c r="L284" s="19" t="n"/>
      <c r="M284" s="20" t="n"/>
      <c r="N284" s="21" t="n"/>
      <c r="O284" s="22" t="n"/>
      <c r="P284" s="24" t="n"/>
    </row>
    <row r="285" ht="33" customHeight="1">
      <c r="A285" s="14" t="inlineStr">
        <is>
          <t>4464K390</t>
        </is>
      </c>
      <c r="B285" s="15" t="inlineStr">
        <is>
          <t>4464K390</t>
        </is>
      </c>
      <c r="C285" s="15" t="inlineStr">
        <is>
          <t>McMaster Carr</t>
        </is>
      </c>
      <c r="D285" s="15" t="inlineStr">
        <is>
          <t>Type 304 Stainless Steel Threaded Pipe Fitting, 3/4 Pipe, 90 Degree Elbow, Female x Male, 150 PSI</t>
        </is>
      </c>
      <c r="E285" s="15" t="n"/>
      <c r="F285" s="17" t="n"/>
      <c r="G285" s="15" t="inlineStr">
        <is>
          <t>McMaster Carr</t>
        </is>
      </c>
      <c r="H285" s="15" t="inlineStr">
        <is>
          <t>4464K390</t>
        </is>
      </c>
      <c r="I285" s="15" t="inlineStr">
        <is>
          <t>NO</t>
        </is>
      </c>
      <c r="J285" s="18" t="n">
        <v>14.73</v>
      </c>
      <c r="K285" s="14" t="n"/>
      <c r="L285" s="19" t="n"/>
      <c r="M285" s="20" t="n"/>
      <c r="N285" s="21" t="n"/>
      <c r="O285" s="22" t="n"/>
      <c r="P285" s="24" t="n"/>
    </row>
    <row r="286" ht="33" customHeight="1">
      <c r="A286" s="14" t="inlineStr">
        <is>
          <t>4830K191</t>
        </is>
      </c>
      <c r="B286" s="15" t="inlineStr">
        <is>
          <t>4830K191</t>
        </is>
      </c>
      <c r="C286" s="15" t="inlineStr">
        <is>
          <t>McMaster Carr</t>
        </is>
      </c>
      <c r="D286" s="15" t="inlineStr">
        <is>
          <t>Standard-Wall Type 304/304L Stainless Steel Thread Pipe Nipple, 3/4 Pipe Size x 1-3/8" Length, Fully Threaded</t>
        </is>
      </c>
      <c r="E286" s="15" t="n"/>
      <c r="F286" s="17" t="n"/>
      <c r="G286" s="15" t="inlineStr">
        <is>
          <t>McMaster Carr</t>
        </is>
      </c>
      <c r="H286" s="15" t="inlineStr">
        <is>
          <t>4830K191</t>
        </is>
      </c>
      <c r="I286" s="15" t="inlineStr">
        <is>
          <t>NO</t>
        </is>
      </c>
      <c r="J286" s="18" t="n">
        <v>2.71</v>
      </c>
      <c r="K286" s="14" t="n"/>
      <c r="L286" s="19" t="n"/>
      <c r="M286" s="20" t="n"/>
      <c r="N286" s="21" t="n"/>
      <c r="O286" s="22" t="n"/>
      <c r="P286" s="24" t="n"/>
    </row>
    <row r="287" ht="33" customHeight="1">
      <c r="A287" s="14" t="inlineStr">
        <is>
          <t>57715K14</t>
        </is>
      </c>
      <c r="B287" s="15" t="inlineStr">
        <is>
          <t>57715K14</t>
        </is>
      </c>
      <c r="C287" s="15" t="inlineStr">
        <is>
          <t>McMaster Carr</t>
        </is>
      </c>
      <c r="D287" s="15" t="inlineStr">
        <is>
          <t>Three-Arm Knob, Phenolic, 5/16"-18 Threaded Insert, 1-1/2" Diameter</t>
        </is>
      </c>
      <c r="E287" s="15" t="n"/>
      <c r="F287" s="17" t="n"/>
      <c r="G287" s="15" t="inlineStr">
        <is>
          <t>McMaster Carr</t>
        </is>
      </c>
      <c r="H287" s="15" t="inlineStr">
        <is>
          <t>57715K14</t>
        </is>
      </c>
      <c r="I287" s="15" t="inlineStr">
        <is>
          <t>NO</t>
        </is>
      </c>
      <c r="J287" s="18" t="n">
        <v>1.45</v>
      </c>
      <c r="K287" s="14" t="n"/>
      <c r="L287" s="19" t="n"/>
      <c r="M287" s="20" t="n"/>
      <c r="N287" s="21" t="n"/>
      <c r="O287" s="22" t="n"/>
      <c r="P287" s="24" t="n"/>
    </row>
    <row r="288" ht="33" customHeight="1">
      <c r="A288" s="14" t="inlineStr">
        <is>
          <t>90298A217</t>
        </is>
      </c>
      <c r="B288" s="15" t="inlineStr">
        <is>
          <t>90298A217</t>
        </is>
      </c>
      <c r="C288" s="15" t="inlineStr">
        <is>
          <t>McMaster Carr</t>
        </is>
      </c>
      <c r="D288" s="15" t="inlineStr">
        <is>
          <t>18-8 Stainless Steel Shoulder Screw, 1/4" Diameter x 1/4" Long Shoulder, 10-32 Thread</t>
        </is>
      </c>
      <c r="E288" s="15" t="n"/>
      <c r="F288" s="17" t="n"/>
      <c r="G288" s="15" t="inlineStr">
        <is>
          <t>McMaster Carr</t>
        </is>
      </c>
      <c r="H288" s="15" t="inlineStr">
        <is>
          <t>90298A217</t>
        </is>
      </c>
      <c r="I288" s="15" t="inlineStr">
        <is>
          <t>NO</t>
        </is>
      </c>
      <c r="J288" s="18" t="n">
        <v>2.73</v>
      </c>
      <c r="K288" s="14" t="n"/>
      <c r="L288" s="19" t="n"/>
      <c r="M288" s="20" t="n"/>
      <c r="N288" s="21" t="n"/>
      <c r="O288" s="22" t="n"/>
      <c r="P288" s="24" t="n"/>
    </row>
    <row r="289" ht="33" customHeight="1">
      <c r="A289" s="14" t="inlineStr">
        <is>
          <t>2776K61</t>
        </is>
      </c>
      <c r="B289" s="15" t="inlineStr">
        <is>
          <t>2776K61</t>
        </is>
      </c>
      <c r="C289" s="15" t="inlineStr">
        <is>
          <t>McMaster Carr</t>
        </is>
      </c>
      <c r="D289" s="15" t="inlineStr">
        <is>
          <t>Polypropylene Comfort-Grip 3-Arm Knob, M5 x 0.8 Threaded Insert, 30 mm Diameter</t>
        </is>
      </c>
      <c r="E289" s="15" t="n"/>
      <c r="F289" s="17" t="n"/>
      <c r="G289" s="15" t="inlineStr">
        <is>
          <t>McMaster Carr</t>
        </is>
      </c>
      <c r="H289" s="15" t="inlineStr">
        <is>
          <t>2776K61</t>
        </is>
      </c>
      <c r="I289" s="15" t="inlineStr">
        <is>
          <t>NO</t>
        </is>
      </c>
      <c r="J289" s="18" t="n">
        <v>4.87</v>
      </c>
      <c r="K289" s="14" t="n"/>
      <c r="L289" s="19" t="n"/>
      <c r="M289" s="20" t="n"/>
      <c r="N289" s="21" t="n"/>
      <c r="O289" s="22" t="n"/>
      <c r="P289" s="24" t="n"/>
    </row>
    <row r="290" ht="33" customHeight="1">
      <c r="A290" s="14" t="inlineStr">
        <is>
          <t>6305K95</t>
        </is>
      </c>
      <c r="B290" s="15" t="inlineStr">
        <is>
          <t>6305K95</t>
        </is>
      </c>
      <c r="C290" s="15" t="inlineStr">
        <is>
          <t>McMaster Carr</t>
        </is>
      </c>
      <c r="D290" s="15" t="inlineStr">
        <is>
          <t>Nylon Contemporary Style Adjustable Handle, 3/8"-16 x 11/16" Deep Thread, 3-5/8" Long Handle</t>
        </is>
      </c>
      <c r="E290" s="15" t="n"/>
      <c r="F290" s="17" t="n"/>
      <c r="G290" s="15" t="inlineStr">
        <is>
          <t>McMaster Carr</t>
        </is>
      </c>
      <c r="H290" s="15" t="inlineStr">
        <is>
          <t>6305K95</t>
        </is>
      </c>
      <c r="I290" s="15" t="inlineStr">
        <is>
          <t>NO</t>
        </is>
      </c>
      <c r="J290" s="18" t="n">
        <v>8.109999999999999</v>
      </c>
      <c r="K290" s="14" t="n"/>
      <c r="L290" s="19" t="n"/>
      <c r="M290" s="20" t="n"/>
      <c r="N290" s="21" t="n"/>
      <c r="O290" s="22" t="n"/>
      <c r="P290" s="24" t="n"/>
    </row>
    <row r="291" ht="33" customHeight="1">
      <c r="A291" s="14" t="inlineStr">
        <is>
          <t>PSX882TAB-7.5IN</t>
        </is>
      </c>
      <c r="B291" s="15" t="n">
        <v>10374063</v>
      </c>
      <c r="C291" s="15" t="inlineStr">
        <is>
          <t>Rexnord</t>
        </is>
      </c>
      <c r="D291" s="15" t="inlineStr">
        <is>
          <t>Platinum Series X 882TAB  - K750 - 7.5" Wide Tabletop Conveyor Chain - Price Per Foot - Confirmed: 10/6/22 (Non-Returnable)</t>
        </is>
      </c>
      <c r="E291" s="15" t="n"/>
      <c r="F291" s="17" t="n"/>
      <c r="G291" s="15" t="inlineStr">
        <is>
          <t>Rexnord</t>
        </is>
      </c>
      <c r="H291" s="15" t="n">
        <v>10374063</v>
      </c>
      <c r="I291" s="15" t="inlineStr">
        <is>
          <t>NO</t>
        </is>
      </c>
      <c r="J291" s="18" t="n">
        <v>44.57</v>
      </c>
      <c r="K291" s="14" t="n"/>
      <c r="L291" s="19" t="n"/>
      <c r="M291" s="20" t="n"/>
      <c r="N291" s="21" t="n"/>
      <c r="O291" s="22" t="n"/>
      <c r="P291" s="24" t="n"/>
    </row>
    <row r="292" ht="33" customHeight="1">
      <c r="A292" s="14" t="inlineStr">
        <is>
          <t>PSX882TAB-4.5IN</t>
        </is>
      </c>
      <c r="B292" s="15" t="n">
        <v>10288397</v>
      </c>
      <c r="C292" s="15" t="inlineStr">
        <is>
          <t>Rexnord</t>
        </is>
      </c>
      <c r="D292" s="15" t="inlineStr">
        <is>
          <t>Platinum Series X 882TAB  - K450 - 4.5" Wide Tabletop Conveyor Chain - Price Per Foot - Confirmed: 4/12/19</t>
        </is>
      </c>
      <c r="E292" s="15" t="n"/>
      <c r="F292" s="17" t="n"/>
      <c r="G292" s="15" t="inlineStr">
        <is>
          <t>Rexnord</t>
        </is>
      </c>
      <c r="H292" s="15" t="n">
        <v>10288397</v>
      </c>
      <c r="I292" s="15" t="inlineStr">
        <is>
          <t>NO</t>
        </is>
      </c>
      <c r="J292" s="18" t="n">
        <v>35.78</v>
      </c>
      <c r="K292" s="14" t="n"/>
      <c r="L292" s="19" t="n"/>
      <c r="M292" s="20" t="n"/>
      <c r="N292" s="21" t="n"/>
      <c r="O292" s="22" t="n"/>
      <c r="P292" s="24" t="n"/>
    </row>
    <row r="293" ht="33" customHeight="1">
      <c r="A293" s="14" t="inlineStr">
        <is>
          <t>SB0014PHA</t>
        </is>
      </c>
      <c r="B293" s="15" t="inlineStr">
        <is>
          <t>SB0014PHA</t>
        </is>
      </c>
      <c r="C293" s="15" t="inlineStr">
        <is>
          <t>Sterling</t>
        </is>
      </c>
      <c r="D293" s="15" t="inlineStr">
        <is>
          <t>1 HP, 3 Phase, 230/460 Voltage, 56C Frame, TEFC, All Stainless Steel Construction, Washdown</t>
        </is>
      </c>
      <c r="E293" s="15" t="n"/>
      <c r="F293" s="17" t="n"/>
      <c r="G293" s="15" t="inlineStr">
        <is>
          <t>Electric Equipment Co.</t>
        </is>
      </c>
      <c r="H293" s="15" t="inlineStr">
        <is>
          <t>SB0014PHA</t>
        </is>
      </c>
      <c r="I293" s="15" t="inlineStr">
        <is>
          <t>NO</t>
        </is>
      </c>
      <c r="J293" s="18" t="n">
        <v>528.75</v>
      </c>
      <c r="K293" s="14" t="n"/>
      <c r="L293" s="19" t="n"/>
      <c r="M293" s="20" t="n"/>
      <c r="N293" s="21" t="n"/>
      <c r="O293" s="22" t="n"/>
      <c r="P293" s="24" t="n"/>
    </row>
    <row r="294" ht="33" customHeight="1">
      <c r="A294" s="14" t="inlineStr">
        <is>
          <t>G1969712</t>
        </is>
      </c>
      <c r="B294" s="15" t="inlineStr">
        <is>
          <t xml:space="preserve">62PLPBH-4 </t>
        </is>
      </c>
      <c r="C294" s="15" t="inlineStr">
        <is>
          <t>Parker</t>
        </is>
      </c>
      <c r="D294" s="15" t="inlineStr">
        <is>
          <t xml:space="preserve">Bulkhead Union, Basic Material Metal, Body Material Nickel Plated Brass, Connection Type Tube, Tube Size 1/4 In., Max. Pressure 300 psi, Hex Size 11/16 In., Temp. Range 0 Degrees to 200 Degrees F, Package Quantity 10 </t>
        </is>
      </c>
      <c r="E294" s="15" t="n">
        <v>1</v>
      </c>
      <c r="F294" s="17" t="inlineStr">
        <is>
          <t>each</t>
        </is>
      </c>
      <c r="G294" s="15" t="inlineStr">
        <is>
          <t>Zoro</t>
        </is>
      </c>
      <c r="H294" s="15" t="inlineStr">
        <is>
          <t>G1969712</t>
        </is>
      </c>
      <c r="I294" s="15" t="inlineStr">
        <is>
          <t>NO</t>
        </is>
      </c>
      <c r="J294" s="18" t="n">
        <v>6.25</v>
      </c>
      <c r="K294" s="21" t="n">
        <v>45348</v>
      </c>
      <c r="L294" s="19" t="n">
        <v>0</v>
      </c>
      <c r="M294" s="20" t="n">
        <v>7.29</v>
      </c>
      <c r="N294" s="21" t="n">
        <v>45341</v>
      </c>
      <c r="O294" s="22" t="inlineStr">
        <is>
          <t>, 2/14/2024, 66.59</t>
        </is>
      </c>
      <c r="P294" s="24" t="n"/>
    </row>
    <row r="295" ht="42" customHeight="1">
      <c r="A295" s="14" t="inlineStr">
        <is>
          <t>G1541452</t>
        </is>
      </c>
      <c r="B295" s="15" t="inlineStr">
        <is>
          <t xml:space="preserve">3109 56 18 </t>
        </is>
      </c>
      <c r="C295" s="15" t="inlineStr">
        <is>
          <t>Legris</t>
        </is>
      </c>
      <c r="D295" s="15" t="inlineStr">
        <is>
          <t>Male Elbow, Tube Size 1/4 In, Pipe Size 3/8 In, Hex Size 18mm, Tube x MNPT Connection, Max Pressure 290 PSI, Temp Range -4 To 175 Deg F, Material of Construction Glass Filled Nylon And Nickel Plated Brass, Package Quantity 10 - Price Confirmed: 07/16/21</t>
        </is>
      </c>
      <c r="E295" s="15" t="n">
        <v>10</v>
      </c>
      <c r="F295" s="17" t="inlineStr">
        <is>
          <t>pk</t>
        </is>
      </c>
      <c r="G295" s="15" t="inlineStr">
        <is>
          <t>Zoro</t>
        </is>
      </c>
      <c r="H295" s="15" t="inlineStr">
        <is>
          <t>G1541452</t>
        </is>
      </c>
      <c r="I295" s="15" t="inlineStr">
        <is>
          <t>NO</t>
        </is>
      </c>
      <c r="J295" s="18" t="n">
        <v>72.98</v>
      </c>
      <c r="K295" s="21" t="n">
        <v>45348</v>
      </c>
      <c r="L295" s="19" t="n">
        <v>0.304612084376117</v>
      </c>
      <c r="M295" s="20" t="n">
        <v>76.65000000000001</v>
      </c>
      <c r="N295" s="21" t="n">
        <v>45341</v>
      </c>
      <c r="O295" s="22" t="inlineStr">
        <is>
          <t>, 2/14/2024, 55.94</t>
        </is>
      </c>
      <c r="P295" s="24" t="n"/>
    </row>
    <row r="296" ht="42" customHeight="1">
      <c r="A296" s="14" t="inlineStr">
        <is>
          <t>G1800976</t>
        </is>
      </c>
      <c r="B296" s="15" t="inlineStr">
        <is>
          <t>4ZM07</t>
        </is>
      </c>
      <c r="C296" s="15" t="inlineStr">
        <is>
          <t>Speedaire</t>
        </is>
      </c>
      <c r="D296" s="15" t="inlineStr">
        <is>
          <t xml:space="preserve">Air Regulator, Pipe Size 1/8 In. NPT, Max. Flow 440 cfm, Max. Pressure 300 psi, Max. Temp. 175 Degrees F, Adjustment Range 5 to 125 psi, Nonrising Adjustment Knob, 1/8 In. NPT Gauge Port, Balanced Valve Design, Overall Height 7.26 In., Overall Width 4.25 In., Body Material Aluminum </t>
        </is>
      </c>
      <c r="E296" s="15" t="n">
        <v>1</v>
      </c>
      <c r="F296" s="17" t="inlineStr">
        <is>
          <t>each</t>
        </is>
      </c>
      <c r="G296" s="15" t="inlineStr">
        <is>
          <t>Zoro</t>
        </is>
      </c>
      <c r="H296" s="15" t="inlineStr">
        <is>
          <t>G1800976</t>
        </is>
      </c>
      <c r="I296" s="15" t="inlineStr">
        <is>
          <t>NO</t>
        </is>
      </c>
      <c r="J296" s="18" t="n">
        <v>23.71</v>
      </c>
      <c r="K296" s="21" t="n">
        <v>45348</v>
      </c>
      <c r="L296" s="19" t="n">
        <v>0.0777272727272728</v>
      </c>
      <c r="M296" s="20" t="n">
        <v>21.55</v>
      </c>
      <c r="N296" s="21" t="n">
        <v>45343</v>
      </c>
      <c r="O296" s="22" t="inlineStr">
        <is>
          <t>, 2/14/2024, 22</t>
        </is>
      </c>
      <c r="P296" s="24" t="n"/>
    </row>
    <row r="297" ht="42" customHeight="1">
      <c r="A297" s="14" t="inlineStr">
        <is>
          <t>G0309215</t>
        </is>
      </c>
      <c r="B297" s="15" t="inlineStr">
        <is>
          <t>W68PLP-4-2</t>
        </is>
      </c>
      <c r="C297" s="15" t="inlineStr">
        <is>
          <t>Parker</t>
        </is>
      </c>
      <c r="D297" s="15" t="inlineStr">
        <is>
          <t xml:space="preserve">Male Connector, Basic Material Metal, Body Material Nickel Plated Brass, Connection Type Tube x MNPT, Tube Size 1/4 In., Pipe Size 1/8 In., Max. Pressure 300 psi, Hex Size 1/2 In., Temp. Range 0 Degrees to 200 Degrees F, Package Quantity 10 </t>
        </is>
      </c>
      <c r="E297" s="15" t="n">
        <v>1</v>
      </c>
      <c r="F297" s="17" t="inlineStr">
        <is>
          <t>each</t>
        </is>
      </c>
      <c r="G297" s="15" t="inlineStr">
        <is>
          <t>Zoro</t>
        </is>
      </c>
      <c r="H297" s="15" t="inlineStr">
        <is>
          <t>G0309215</t>
        </is>
      </c>
      <c r="I297" s="15" t="inlineStr">
        <is>
          <t>NO</t>
        </is>
      </c>
      <c r="J297" s="18" t="n">
        <v>3.05</v>
      </c>
      <c r="K297" s="21" t="n">
        <v>45420</v>
      </c>
      <c r="L297" s="19" t="n">
        <v>0</v>
      </c>
      <c r="M297" s="20" t="n">
        <v>3.09</v>
      </c>
      <c r="N297" s="21" t="n">
        <v>45343</v>
      </c>
      <c r="O297" s="22" t="inlineStr">
        <is>
          <t>, 2/14/2024, 17.22, 2/26/2024, 3.05</t>
        </is>
      </c>
      <c r="P297" s="24" t="n"/>
    </row>
    <row r="298" ht="42" customHeight="1">
      <c r="A298" s="14" t="inlineStr">
        <is>
          <t>G0044983</t>
        </is>
      </c>
      <c r="B298" s="15" t="inlineStr">
        <is>
          <t xml:space="preserve">4FLZ8 </t>
        </is>
      </c>
      <c r="C298" s="15" t="inlineStr">
        <is>
          <t>Value Brand</t>
        </is>
      </c>
      <c r="D298" s="15" t="inlineStr">
        <is>
          <t xml:space="preserve">These high quality pressure gauges feature an easy to read 1-1/2" diameter dial, 1/8" NPT brass back connectors, sturdy ABS cases and acrylic lenses. These gauges are available in both glycerine filled and non-filled styles. See the table below for the increments and ranges you need. </t>
        </is>
      </c>
      <c r="E298" s="15" t="n">
        <v>1</v>
      </c>
      <c r="F298" s="17" t="inlineStr">
        <is>
          <t>each</t>
        </is>
      </c>
      <c r="G298" s="15" t="inlineStr">
        <is>
          <t>Zoro</t>
        </is>
      </c>
      <c r="H298" s="15" t="inlineStr">
        <is>
          <t>G0044983</t>
        </is>
      </c>
      <c r="I298" s="15" t="inlineStr">
        <is>
          <t>NO</t>
        </is>
      </c>
      <c r="J298" s="18" t="n">
        <v>4.49</v>
      </c>
      <c r="K298" s="21" t="n">
        <v>45348</v>
      </c>
      <c r="L298" s="19" t="n">
        <v>0.0200445434298441</v>
      </c>
      <c r="M298" s="20" t="n">
        <v>4.4</v>
      </c>
      <c r="N298" s="21" t="n"/>
      <c r="O298" s="22" t="inlineStr">
        <is>
          <t>, 2/14/2024, 4.4</t>
        </is>
      </c>
      <c r="P298" s="24" t="n"/>
    </row>
    <row r="299" ht="33" customHeight="1">
      <c r="A299" s="14" t="inlineStr">
        <is>
          <t>50BS30-1 1/4</t>
        </is>
      </c>
      <c r="B299" s="15" t="inlineStr">
        <is>
          <t>50BS18-1 1/4</t>
        </is>
      </c>
      <c r="C299" s="15" t="inlineStr">
        <is>
          <t>Martin</t>
        </is>
      </c>
      <c r="D299" s="15" t="inlineStr">
        <is>
          <t>Martin #50 30 Tooth Roller Chain Sprocket with 1 1/4" Dia. Finished Bore - Price Confirmed: 02.29.16</t>
        </is>
      </c>
      <c r="E299" s="15" t="n"/>
      <c r="F299" s="17" t="n"/>
      <c r="G299" s="15" t="inlineStr">
        <is>
          <t>Motion Industries</t>
        </is>
      </c>
      <c r="H299" s="15" t="inlineStr">
        <is>
          <t>N/A</t>
        </is>
      </c>
      <c r="I299" s="15" t="inlineStr">
        <is>
          <t>NO</t>
        </is>
      </c>
      <c r="J299" s="18" t="n">
        <v>44.03</v>
      </c>
      <c r="K299" s="14" t="n"/>
      <c r="L299" s="19" t="n"/>
      <c r="M299" s="20" t="n"/>
      <c r="N299" s="21" t="n"/>
      <c r="O299" s="22" t="n"/>
      <c r="P299" s="24" t="n"/>
    </row>
    <row r="300" ht="27.75" customHeight="1">
      <c r="A300" s="14" t="inlineStr">
        <is>
          <t>G1297037</t>
        </is>
      </c>
      <c r="B300" s="15" t="inlineStr">
        <is>
          <t>3175 60 14</t>
        </is>
      </c>
      <c r="C300" s="15" t="inlineStr">
        <is>
          <t>Legris</t>
        </is>
      </c>
      <c r="D300" s="15" t="inlineStr">
        <is>
          <t>Male Connector, Push To Connect, Tube Size 3/8 In, Pipe Size 1/4 In, Tube To MNPT Connection, Material of Construction Nickel Plated Brass, Package Quantity 10 - Price Confirmed: 07/16/21</t>
        </is>
      </c>
      <c r="E300" s="15" t="n">
        <v>10</v>
      </c>
      <c r="F300" s="17" t="inlineStr">
        <is>
          <t>pk</t>
        </is>
      </c>
      <c r="G300" s="15" t="inlineStr">
        <is>
          <t>Zoro</t>
        </is>
      </c>
      <c r="H300" s="15" t="inlineStr">
        <is>
          <t>G1297037</t>
        </is>
      </c>
      <c r="I300" s="15" t="inlineStr">
        <is>
          <t>NO</t>
        </is>
      </c>
      <c r="J300" s="18" t="n">
        <v>58.05</v>
      </c>
      <c r="K300" s="21" t="n">
        <v>45348</v>
      </c>
      <c r="L300" s="19" t="n">
        <v>0</v>
      </c>
      <c r="M300" s="20" t="n">
        <v>55.15</v>
      </c>
      <c r="N300" s="21" t="n">
        <v>45343</v>
      </c>
      <c r="O300" s="22" t="inlineStr">
        <is>
          <t>, 2/14/2024, 59.4</t>
        </is>
      </c>
      <c r="P300" s="24" t="n"/>
    </row>
    <row r="301" ht="33" customHeight="1">
      <c r="A301" s="14" t="inlineStr">
        <is>
          <t>8632T111</t>
        </is>
      </c>
      <c r="B301" s="15" t="inlineStr">
        <is>
          <t>8632T111</t>
        </is>
      </c>
      <c r="C301" s="15" t="inlineStr">
        <is>
          <t>McMaster-Carr</t>
        </is>
      </c>
      <c r="D301" s="15" t="inlineStr">
        <is>
          <t>D-Profile Shaft, Type 303 Stainless Steel, 1" OD, 48" Length</t>
        </is>
      </c>
      <c r="E301" s="15" t="n"/>
      <c r="F301" s="17" t="inlineStr">
        <is>
          <t>Each</t>
        </is>
      </c>
      <c r="G301" s="15" t="inlineStr">
        <is>
          <t>McMaster-Carr</t>
        </is>
      </c>
      <c r="H301" s="15" t="inlineStr">
        <is>
          <t>8632T111</t>
        </is>
      </c>
      <c r="I301" s="15" t="inlineStr">
        <is>
          <t>NO</t>
        </is>
      </c>
      <c r="J301" s="18" t="n">
        <v>162.1</v>
      </c>
      <c r="K301" s="21" t="n">
        <v>45348</v>
      </c>
      <c r="L301" s="19" t="n">
        <v>0</v>
      </c>
      <c r="M301" s="20" t="n">
        <v>162.1</v>
      </c>
      <c r="N301" s="21" t="n">
        <v>45336</v>
      </c>
      <c r="O301" s="22" t="inlineStr">
        <is>
          <t>, 2/15/2024, 162.1</t>
        </is>
      </c>
      <c r="P301" s="24" t="n"/>
    </row>
    <row r="302" ht="33" customHeight="1">
      <c r="A302" s="14" t="inlineStr">
        <is>
          <t>LF820-7.5IN</t>
        </is>
      </c>
      <c r="B302" s="15" t="n">
        <v>10177691</v>
      </c>
      <c r="C302" s="15" t="inlineStr">
        <is>
          <t>Rexnord</t>
        </is>
      </c>
      <c r="D302" s="15" t="inlineStr">
        <is>
          <t>Low Friction 820-K750 - Price Confirmed: 3.22.16</t>
        </is>
      </c>
      <c r="E302" s="15" t="n"/>
      <c r="F302" s="17" t="n"/>
      <c r="G302" s="15" t="inlineStr">
        <is>
          <t>Rexnord</t>
        </is>
      </c>
      <c r="H302" s="15" t="inlineStr">
        <is>
          <t>LF820-7.5IN</t>
        </is>
      </c>
      <c r="I302" s="15" t="inlineStr">
        <is>
          <t>NO</t>
        </is>
      </c>
      <c r="J302" s="18" t="n">
        <v>9.109999999999999</v>
      </c>
      <c r="K302" s="14" t="n"/>
      <c r="L302" s="19" t="n"/>
      <c r="M302" s="20" t="n"/>
      <c r="N302" s="21" t="n"/>
      <c r="O302" s="22" t="n"/>
      <c r="P302" s="24" t="n"/>
    </row>
    <row r="303" ht="45" customHeight="1">
      <c r="A303" s="43" t="inlineStr">
        <is>
          <t>A161208LP</t>
        </is>
      </c>
      <c r="B303" s="44" t="n">
        <v>88131345</v>
      </c>
      <c r="C303" s="44" t="inlineStr">
        <is>
          <t>Hoffmann</t>
        </is>
      </c>
      <c r="D303" s="45" t="inlineStr">
        <is>
          <t>Enclosure: Screwdown Clamps, 16 in Nominal Enclosure Ht, 12 in Nominal Enclosure Wd, 12/13</t>
        </is>
      </c>
      <c r="E303" s="45" t="n">
        <v>1</v>
      </c>
      <c r="F303" s="17" t="inlineStr">
        <is>
          <t>each</t>
        </is>
      </c>
      <c r="G303" s="45" t="inlineStr">
        <is>
          <t>Grainger</t>
        </is>
      </c>
      <c r="H303" s="45" t="inlineStr">
        <is>
          <t>32EZ49</t>
        </is>
      </c>
      <c r="I303" s="15" t="inlineStr">
        <is>
          <t>NO</t>
        </is>
      </c>
      <c r="J303" s="18" t="n">
        <v>626.88</v>
      </c>
      <c r="K303" s="46" t="n">
        <v>45348</v>
      </c>
      <c r="L303" s="47" t="n">
        <v>-0.00106878509443587</v>
      </c>
      <c r="M303" s="48" t="n">
        <v>627.55</v>
      </c>
      <c r="N303" s="46" t="n"/>
      <c r="O303" s="49" t="inlineStr">
        <is>
          <t>, 2/15/2024, 627.55</t>
        </is>
      </c>
      <c r="P303" s="24" t="n"/>
    </row>
    <row r="304" ht="33" customHeight="1">
      <c r="A304" s="14" t="inlineStr">
        <is>
          <t>RX-212-3-516</t>
        </is>
      </c>
      <c r="B304" s="15" t="n">
        <v>10309392</v>
      </c>
      <c r="C304" s="15" t="inlineStr">
        <is>
          <t>Rexnord</t>
        </is>
      </c>
      <c r="D304" s="15" t="inlineStr">
        <is>
          <t>Adjusting Rod, Stainless Steel, 1/2" Dia. X 3", 5/16-18 Tap - Price Confirmed: 01.01.19</t>
        </is>
      </c>
      <c r="E304" s="15" t="n"/>
      <c r="F304" s="17" t="n"/>
      <c r="G304" s="15" t="inlineStr">
        <is>
          <t>Rexnord</t>
        </is>
      </c>
      <c r="H304" s="15" t="inlineStr">
        <is>
          <t>RX-212-3-516</t>
        </is>
      </c>
      <c r="I304" s="15" t="inlineStr">
        <is>
          <t>NO</t>
        </is>
      </c>
      <c r="J304" s="18" t="n">
        <v>10.27</v>
      </c>
      <c r="K304" s="14" t="n"/>
      <c r="L304" s="19" t="n"/>
      <c r="M304" s="20" t="n"/>
      <c r="N304" s="21" t="n"/>
      <c r="O304" s="22" t="n"/>
      <c r="P304" s="24" t="n"/>
    </row>
    <row r="305" ht="33" customHeight="1">
      <c r="A305" s="14" t="inlineStr">
        <is>
          <t>16771-SR</t>
        </is>
      </c>
      <c r="B305" s="15" t="inlineStr">
        <is>
          <t>16771-SR</t>
        </is>
      </c>
      <c r="C305" s="15" t="inlineStr">
        <is>
          <t>Emerson</t>
        </is>
      </c>
      <c r="D305" s="15" t="inlineStr">
        <is>
          <t>Modular Transfer Plate, 4.53" Wide X 1.95" Long w/ Red Low noise PTB Rollers - Price Confirmed: 05.23.22</t>
        </is>
      </c>
      <c r="E305" s="15" t="n"/>
      <c r="F305" s="17" t="n"/>
      <c r="G305" s="15" t="inlineStr">
        <is>
          <t>Emerson</t>
        </is>
      </c>
      <c r="H305" s="15" t="inlineStr">
        <is>
          <t>16771-SR</t>
        </is>
      </c>
      <c r="I305" s="15" t="inlineStr">
        <is>
          <t>NO</t>
        </is>
      </c>
      <c r="J305" s="18" t="n">
        <v>22.23</v>
      </c>
      <c r="K305" s="14" t="n"/>
      <c r="L305" s="19" t="n"/>
      <c r="M305" s="20" t="n"/>
      <c r="N305" s="21" t="n"/>
      <c r="O305" s="22" t="n"/>
      <c r="P305" s="24" t="n"/>
    </row>
    <row r="306" ht="33" customHeight="1">
      <c r="A306" s="14" t="inlineStr">
        <is>
          <t>2345K45</t>
        </is>
      </c>
      <c r="B306" s="15" t="inlineStr">
        <is>
          <t>2345K45</t>
        </is>
      </c>
      <c r="C306" s="15" t="inlineStr">
        <is>
          <t>McMaster-Carr</t>
        </is>
      </c>
      <c r="D306" s="15" t="inlineStr">
        <is>
          <t>Corrosion-Resistant Finished-Bore Sprocket, for #40 Chain, 1/2" Pitch, 20 Teeth, 1-1/4" Bore</t>
        </is>
      </c>
      <c r="E306" s="15" t="n"/>
      <c r="F306" s="17" t="inlineStr">
        <is>
          <t>Each</t>
        </is>
      </c>
      <c r="G306" s="15" t="inlineStr">
        <is>
          <t>McMaster-Carr</t>
        </is>
      </c>
      <c r="H306" s="15" t="inlineStr">
        <is>
          <t>2345K45</t>
        </is>
      </c>
      <c r="I306" s="15" t="inlineStr">
        <is>
          <t>NO</t>
        </is>
      </c>
      <c r="J306" s="18" t="n">
        <v>225.73</v>
      </c>
      <c r="K306" s="21" t="n">
        <v>45348</v>
      </c>
      <c r="L306" s="19" t="n">
        <v>0</v>
      </c>
      <c r="M306" s="20" t="n">
        <v>225.73</v>
      </c>
      <c r="N306" s="21" t="n">
        <v>45336</v>
      </c>
      <c r="O306" s="22" t="inlineStr">
        <is>
          <t>, 2/15/2024, 225.73</t>
        </is>
      </c>
      <c r="P306" s="24" t="n"/>
    </row>
    <row r="307" ht="33" customHeight="1">
      <c r="A307" s="14" t="inlineStr">
        <is>
          <t>6264K85</t>
        </is>
      </c>
      <c r="B307" s="15" t="inlineStr">
        <is>
          <t>6264K85</t>
        </is>
      </c>
      <c r="C307" s="15" t="inlineStr">
        <is>
          <t>McMaster-Carr</t>
        </is>
      </c>
      <c r="D307" s="15" t="inlineStr">
        <is>
          <t>Highly Corrosion-Resistant Roller Chain, 304 Stainless Steel, ANSI #40-SS, 1/2" Pitch, 1' Long</t>
        </is>
      </c>
      <c r="E307" s="15" t="n"/>
      <c r="F307" s="17" t="n"/>
      <c r="G307" s="15" t="inlineStr">
        <is>
          <t>McMaster-Carr</t>
        </is>
      </c>
      <c r="H307" s="15" t="inlineStr">
        <is>
          <t>6264K85</t>
        </is>
      </c>
      <c r="I307" s="15" t="inlineStr">
        <is>
          <t>NO</t>
        </is>
      </c>
      <c r="J307" s="18" t="n">
        <v>0</v>
      </c>
      <c r="K307" s="21" t="n">
        <v>45348</v>
      </c>
      <c r="L307" s="19" t="n"/>
      <c r="M307" s="20" t="n">
        <v>18.73</v>
      </c>
      <c r="N307" s="21" t="n"/>
      <c r="O307" s="22" t="inlineStr">
        <is>
          <t>, 2/15/2024, 0</t>
        </is>
      </c>
      <c r="P307" s="24" t="n"/>
    </row>
    <row r="308" ht="33" customHeight="1">
      <c r="A308" s="14" t="inlineStr">
        <is>
          <t>9546K24</t>
        </is>
      </c>
      <c r="B308" s="15" t="inlineStr">
        <is>
          <t>9546K24</t>
        </is>
      </c>
      <c r="C308" s="15" t="inlineStr">
        <is>
          <t>McMaster-Carr</t>
        </is>
      </c>
      <c r="D308" s="15" t="inlineStr">
        <is>
          <t>Metal-Core Bumper, with Threaded Hole, Rubber Bumper, Soft, 3/8"-24 Thread</t>
        </is>
      </c>
      <c r="E308" s="15" t="n"/>
      <c r="F308" s="17" t="inlineStr">
        <is>
          <t>Each</t>
        </is>
      </c>
      <c r="G308" s="15" t="inlineStr">
        <is>
          <t>McMaster-Carr</t>
        </is>
      </c>
      <c r="H308" s="15" t="inlineStr">
        <is>
          <t>9546K24</t>
        </is>
      </c>
      <c r="I308" s="15" t="inlineStr">
        <is>
          <t>NO</t>
        </is>
      </c>
      <c r="J308" s="18" t="n">
        <v>12.05</v>
      </c>
      <c r="K308" s="21" t="n">
        <v>45348</v>
      </c>
      <c r="L308" s="19" t="n">
        <v>0</v>
      </c>
      <c r="M308" s="20" t="n">
        <v>12.05</v>
      </c>
      <c r="N308" s="21" t="n">
        <v>45336</v>
      </c>
      <c r="O308" s="22" t="inlineStr">
        <is>
          <t>, 2/15/2024, 12.05</t>
        </is>
      </c>
      <c r="P308" s="24" t="n"/>
    </row>
    <row r="309" ht="33" customHeight="1">
      <c r="A309" s="14" t="inlineStr">
        <is>
          <t>4208K171</t>
        </is>
      </c>
      <c r="B309" s="15" t="inlineStr">
        <is>
          <t>4208K171</t>
        </is>
      </c>
      <c r="C309" s="15" t="inlineStr">
        <is>
          <t>McMaster-Carr</t>
        </is>
      </c>
      <c r="D309" s="15" t="inlineStr">
        <is>
          <t>Round Face Compact Tie Rod Air Cylinder, Double Acting, 1-1/2" Bore Size, 2.62" Diameter, 1" Stroke LG.</t>
        </is>
      </c>
      <c r="E309" s="15" t="n"/>
      <c r="F309" s="17" t="inlineStr">
        <is>
          <t>Each</t>
        </is>
      </c>
      <c r="G309" s="15" t="inlineStr">
        <is>
          <t>McMaster-Carr</t>
        </is>
      </c>
      <c r="H309" s="15" t="inlineStr">
        <is>
          <t>4208K171</t>
        </is>
      </c>
      <c r="I309" s="15" t="inlineStr">
        <is>
          <t>NO</t>
        </is>
      </c>
      <c r="J309" s="18" t="n">
        <v>98.09</v>
      </c>
      <c r="K309" s="21" t="n">
        <v>45348</v>
      </c>
      <c r="L309" s="19" t="n">
        <v>0</v>
      </c>
      <c r="M309" s="20" t="n">
        <v>98.09</v>
      </c>
      <c r="N309" s="21" t="n">
        <v>45336</v>
      </c>
      <c r="O309" s="22" t="inlineStr">
        <is>
          <t>, 2/15/2024, 98.09</t>
        </is>
      </c>
      <c r="P309" s="24" t="n"/>
    </row>
    <row r="310" ht="33" customHeight="1">
      <c r="A310" s="14" t="inlineStr">
        <is>
          <t>4208K179</t>
        </is>
      </c>
      <c r="B310" s="15" t="inlineStr">
        <is>
          <t>4208K179</t>
        </is>
      </c>
      <c r="C310" s="15" t="inlineStr">
        <is>
          <t>McMaster-Carr</t>
        </is>
      </c>
      <c r="D310" s="15" t="inlineStr">
        <is>
          <t>Round Face Compact Tie Rod Air Cylinder, Double Acting, 1-1/2" Bore, 2.62" Diameter, 2-1/2" Stroke</t>
        </is>
      </c>
      <c r="E310" s="15" t="n"/>
      <c r="F310" s="17" t="inlineStr">
        <is>
          <t>Each</t>
        </is>
      </c>
      <c r="G310" s="15" t="inlineStr">
        <is>
          <t>McMaster-Carr</t>
        </is>
      </c>
      <c r="H310" s="15" t="inlineStr">
        <is>
          <t>4208K179</t>
        </is>
      </c>
      <c r="I310" s="15" t="inlineStr">
        <is>
          <t>NO</t>
        </is>
      </c>
      <c r="J310" s="18" t="n">
        <v>121.82</v>
      </c>
      <c r="K310" s="21" t="n">
        <v>45348</v>
      </c>
      <c r="L310" s="19" t="n">
        <v>0</v>
      </c>
      <c r="M310" s="20" t="n">
        <v>121.82</v>
      </c>
      <c r="N310" s="21" t="n">
        <v>45336</v>
      </c>
      <c r="O310" s="22" t="inlineStr">
        <is>
          <t>, 2/15/2024, 121.82</t>
        </is>
      </c>
      <c r="P310" s="24" t="n"/>
    </row>
    <row r="311" ht="33" customHeight="1">
      <c r="A311" s="14" t="inlineStr">
        <is>
          <t>92311A640</t>
        </is>
      </c>
      <c r="B311" s="15" t="inlineStr">
        <is>
          <t>92311A640</t>
        </is>
      </c>
      <c r="C311" s="15" t="inlineStr">
        <is>
          <t>McMaster-Carr</t>
        </is>
      </c>
      <c r="D311" s="15" t="inlineStr">
        <is>
          <t>18-8 Stainless Steel Cup Point Set Screw, 3/8"-24 Thread, 1-1/4" Long, packs of 10</t>
        </is>
      </c>
      <c r="E311" s="15" t="n">
        <v>10</v>
      </c>
      <c r="F311" s="17" t="inlineStr">
        <is>
          <t>pack</t>
        </is>
      </c>
      <c r="G311" s="15" t="inlineStr">
        <is>
          <t>McMaster-Carr</t>
        </is>
      </c>
      <c r="H311" s="15" t="inlineStr">
        <is>
          <t>92311A640</t>
        </is>
      </c>
      <c r="I311" s="15" t="inlineStr">
        <is>
          <t>NO</t>
        </is>
      </c>
      <c r="J311" s="18" t="n">
        <v>11.11</v>
      </c>
      <c r="K311" s="21" t="n">
        <v>45348</v>
      </c>
      <c r="L311" s="19" t="n">
        <v>0</v>
      </c>
      <c r="M311" s="20" t="n">
        <v>11.11</v>
      </c>
      <c r="N311" s="21" t="n">
        <v>45336</v>
      </c>
      <c r="O311" s="22" t="inlineStr">
        <is>
          <t>, 2/15/2024, 11.11</t>
        </is>
      </c>
      <c r="P311" s="24" t="n"/>
    </row>
    <row r="312" ht="33" customHeight="1">
      <c r="A312" s="14" t="inlineStr">
        <is>
          <t>92311A639</t>
        </is>
      </c>
      <c r="B312" s="15" t="inlineStr">
        <is>
          <t>92311A639</t>
        </is>
      </c>
      <c r="C312" s="15" t="inlineStr">
        <is>
          <t>McMaster-Carr</t>
        </is>
      </c>
      <c r="D312" s="15" t="inlineStr">
        <is>
          <t>18-8 Stainless Steel Cup Point Set Screw, 3/8"-24 Thread, 1" Long, packs of 10</t>
        </is>
      </c>
      <c r="E312" s="15" t="n">
        <v>10</v>
      </c>
      <c r="F312" s="17" t="inlineStr">
        <is>
          <t>pack</t>
        </is>
      </c>
      <c r="G312" s="15" t="inlineStr">
        <is>
          <t>McMaster-Carr</t>
        </is>
      </c>
      <c r="H312" s="15" t="inlineStr">
        <is>
          <t>92311A639</t>
        </is>
      </c>
      <c r="I312" s="15" t="inlineStr">
        <is>
          <t>NO</t>
        </is>
      </c>
      <c r="J312" s="18" t="n">
        <v>8.73</v>
      </c>
      <c r="K312" s="21" t="n">
        <v>45348</v>
      </c>
      <c r="L312" s="19" t="n">
        <v>0</v>
      </c>
      <c r="M312" s="20" t="n">
        <v>8.73</v>
      </c>
      <c r="N312" s="21" t="n">
        <v>45336</v>
      </c>
      <c r="O312" s="22" t="inlineStr">
        <is>
          <t>, 2/15/2024, 8.73</t>
        </is>
      </c>
      <c r="P312" s="24" t="n"/>
    </row>
    <row r="313" ht="33" customHeight="1">
      <c r="A313" s="14" t="inlineStr">
        <is>
          <t>G1075094</t>
        </is>
      </c>
      <c r="B313" s="15" t="inlineStr">
        <is>
          <t>3109 56 11</t>
        </is>
      </c>
      <c r="C313" s="15" t="inlineStr">
        <is>
          <t>Legris</t>
        </is>
      </c>
      <c r="D313" s="15" t="inlineStr">
        <is>
          <t>Male Elbow, Tube Size 1/4 In, Pipe Size 1/8 In, Hex Size 11mm, Tube x MNPT Connection, Max Pressure 290 PSI, Temp Range -4 To 175 Deg F, Material of Construction Glass Filled Nylon And Nickel Plated Brass, Package Quantity 10 - Price Confirmed: 07/16/21</t>
        </is>
      </c>
      <c r="E313" s="15" t="n">
        <v>10</v>
      </c>
      <c r="F313" s="17" t="inlineStr">
        <is>
          <t>pk</t>
        </is>
      </c>
      <c r="G313" s="15" t="inlineStr">
        <is>
          <t>Zoro</t>
        </is>
      </c>
      <c r="H313" s="15" t="inlineStr">
        <is>
          <t>G1075094</t>
        </is>
      </c>
      <c r="I313" s="15" t="inlineStr">
        <is>
          <t>NO</t>
        </is>
      </c>
      <c r="J313" s="18" t="n">
        <v>44.69</v>
      </c>
      <c r="K313" s="21" t="n">
        <v>45348</v>
      </c>
      <c r="L313" s="19" t="n">
        <v>0.209472259810555</v>
      </c>
      <c r="M313" s="20" t="n">
        <v>40.65</v>
      </c>
      <c r="N313" s="21" t="n">
        <v>45343</v>
      </c>
      <c r="O313" s="22" t="inlineStr">
        <is>
          <t>, 2/14/2024, 41.9</t>
        </is>
      </c>
      <c r="P313" s="24" t="n"/>
    </row>
    <row r="314" ht="33" customHeight="1">
      <c r="A314" s="14" t="inlineStr">
        <is>
          <t>3403A23</t>
        </is>
      </c>
      <c r="B314" s="15" t="inlineStr">
        <is>
          <t>3403A23</t>
        </is>
      </c>
      <c r="C314" s="15" t="inlineStr">
        <is>
          <t>McMaster-Carr</t>
        </is>
      </c>
      <c r="D314" s="15" t="inlineStr">
        <is>
          <t>Retractable Spring Plunger with L-Handle, Stainless Steel, Lock Nose, 5/8"-11 Thread, 1-5 lb. Nose Force, Price Checked 05.17.16</t>
        </is>
      </c>
      <c r="E314" s="15" t="n"/>
      <c r="F314" s="17" t="inlineStr">
        <is>
          <t>Each</t>
        </is>
      </c>
      <c r="G314" s="15" t="inlineStr">
        <is>
          <t>McMaster-Carr</t>
        </is>
      </c>
      <c r="H314" s="15" t="inlineStr">
        <is>
          <t>3403A23</t>
        </is>
      </c>
      <c r="I314" s="15" t="inlineStr">
        <is>
          <t>NO</t>
        </is>
      </c>
      <c r="J314" s="18" t="n">
        <v>36.63</v>
      </c>
      <c r="K314" s="21" t="n">
        <v>45414</v>
      </c>
      <c r="L314" s="19" t="n">
        <v>0</v>
      </c>
      <c r="M314" s="20" t="n">
        <v>36.63</v>
      </c>
      <c r="N314" s="21" t="n">
        <v>45348</v>
      </c>
      <c r="O314" s="22" t="inlineStr">
        <is>
          <t>, 2/15/2024, 36.63, 5/2/2024, 36.63</t>
        </is>
      </c>
      <c r="P314" s="24" t="n"/>
    </row>
    <row r="315" ht="33" customHeight="1">
      <c r="A315" s="14" t="inlineStr">
        <is>
          <t>6436K36</t>
        </is>
      </c>
      <c r="B315" s="15" t="inlineStr">
        <is>
          <t>6436K36</t>
        </is>
      </c>
      <c r="C315" s="15" t="inlineStr">
        <is>
          <t>McMaster-Carr</t>
        </is>
      </c>
      <c r="D315" s="15" t="inlineStr">
        <is>
          <t>Two-Piece Clamp-on Shaft Collar, for 3/4" Diameter, Type 303 Stainless Steel, Price Checked 9/8/22</t>
        </is>
      </c>
      <c r="E315" s="15" t="n"/>
      <c r="F315" s="17" t="inlineStr">
        <is>
          <t>Each</t>
        </is>
      </c>
      <c r="G315" s="15" t="inlineStr">
        <is>
          <t>McMaster-Carr</t>
        </is>
      </c>
      <c r="H315" s="15" t="inlineStr">
        <is>
          <t>6436K36</t>
        </is>
      </c>
      <c r="I315" s="15" t="inlineStr">
        <is>
          <t>NO</t>
        </is>
      </c>
      <c r="J315" s="18" t="n">
        <v>21.22</v>
      </c>
      <c r="K315" s="21" t="n">
        <v>45348</v>
      </c>
      <c r="L315" s="19" t="n">
        <v>0</v>
      </c>
      <c r="M315" s="20" t="n">
        <v>21.22</v>
      </c>
      <c r="N315" s="21" t="n">
        <v>45336</v>
      </c>
      <c r="O315" s="22" t="inlineStr">
        <is>
          <t>, 2/15/2024, 21.22</t>
        </is>
      </c>
      <c r="P315" s="24" t="n"/>
    </row>
    <row r="316" ht="33" customHeight="1">
      <c r="A316" s="14" t="inlineStr">
        <is>
          <t>91828A316</t>
        </is>
      </c>
      <c r="B316" s="15" t="inlineStr">
        <is>
          <t>91828A316</t>
        </is>
      </c>
      <c r="C316" s="15" t="inlineStr">
        <is>
          <t>McMaster-Carr</t>
        </is>
      </c>
      <c r="D316" s="15" t="inlineStr">
        <is>
          <t>Type 18-8 Stainless Steel Hex Nut M24x3 Thread Size, 36mm Wide, 19mm High, Priced Each, Price Checked 05.17.16</t>
        </is>
      </c>
      <c r="E316" s="15" t="n">
        <v>1</v>
      </c>
      <c r="F316" s="17" t="inlineStr">
        <is>
          <t>pack</t>
        </is>
      </c>
      <c r="G316" s="15" t="inlineStr">
        <is>
          <t>McMaster-Carr</t>
        </is>
      </c>
      <c r="H316" s="15" t="inlineStr">
        <is>
          <t>91828A316</t>
        </is>
      </c>
      <c r="I316" s="15" t="inlineStr">
        <is>
          <t>NO</t>
        </is>
      </c>
      <c r="J316" s="18" t="n">
        <v>5.89</v>
      </c>
      <c r="K316" s="21" t="n">
        <v>45348</v>
      </c>
      <c r="L316" s="19" t="n">
        <v>0</v>
      </c>
      <c r="M316" s="20" t="n">
        <v>5.89</v>
      </c>
      <c r="N316" s="21" t="n">
        <v>45336</v>
      </c>
      <c r="O316" s="22" t="inlineStr">
        <is>
          <t>, 2/15/2024, 5.89</t>
        </is>
      </c>
      <c r="P316" s="24" t="n"/>
    </row>
    <row r="317" ht="33" customHeight="1">
      <c r="A317" s="14" t="inlineStr">
        <is>
          <t>LF821-12IN</t>
        </is>
      </c>
      <c r="B317" s="15" t="n">
        <v>10177695</v>
      </c>
      <c r="C317" s="15" t="inlineStr">
        <is>
          <t>Rexnord</t>
        </is>
      </c>
      <c r="D317" s="15" t="inlineStr">
        <is>
          <t xml:space="preserve">Low Friction 821 - K1200 Straight Running Tabletop Conveyor Chain </t>
        </is>
      </c>
      <c r="E317" s="15" t="n"/>
      <c r="F317" s="17" t="n">
        <v>2.29166666666667</v>
      </c>
      <c r="G317" s="15" t="inlineStr">
        <is>
          <t>Rexnord</t>
        </is>
      </c>
      <c r="H317" s="15" t="inlineStr">
        <is>
          <t>LF821-12IN</t>
        </is>
      </c>
      <c r="I317" s="15" t="inlineStr">
        <is>
          <t>NO</t>
        </is>
      </c>
      <c r="J317" s="18" t="n">
        <v>17.67</v>
      </c>
      <c r="K317" s="14" t="n"/>
      <c r="L317" s="19" t="n"/>
      <c r="M317" s="20" t="n"/>
      <c r="N317" s="21" t="n"/>
      <c r="O317" s="22" t="n"/>
      <c r="P317" s="24" t="n"/>
    </row>
    <row r="318" ht="33" customHeight="1">
      <c r="A318" s="14" t="inlineStr">
        <is>
          <t xml:space="preserve">H100-H US24181-RHO2455 </t>
        </is>
      </c>
      <c r="B318" s="15" t="inlineStr">
        <is>
          <t xml:space="preserve">H100-H US24181-RHO2455 </t>
        </is>
      </c>
      <c r="C318" s="15" t="inlineStr">
        <is>
          <t>NGI</t>
        </is>
      </c>
      <c r="D318" s="15" t="inlineStr">
        <is>
          <t xml:space="preserve"> Sanitary Leveler w/ Lag Hole, M24 Thread, 198mm Length, w/ Thread Cover</t>
        </is>
      </c>
      <c r="E318" s="15" t="n"/>
      <c r="F318" s="17" t="n">
        <v>16</v>
      </c>
      <c r="G318" s="15" t="inlineStr">
        <is>
          <t>NGI</t>
        </is>
      </c>
      <c r="H318" s="15" t="inlineStr">
        <is>
          <t xml:space="preserve">H100-H US24181-RHO2455 </t>
        </is>
      </c>
      <c r="I318" s="15" t="inlineStr">
        <is>
          <t>NO</t>
        </is>
      </c>
      <c r="J318" s="18" t="n">
        <v>47.43</v>
      </c>
      <c r="K318" s="14" t="n"/>
      <c r="L318" s="19" t="n"/>
      <c r="M318" s="20" t="n"/>
      <c r="N318" s="21" t="n"/>
      <c r="O318" s="22" t="n"/>
      <c r="P318" s="24" t="n"/>
    </row>
    <row r="319" ht="33" customHeight="1">
      <c r="A319" s="14" t="inlineStr">
        <is>
          <t>VG-JS100-125-SR-100</t>
        </is>
      </c>
      <c r="B319" s="15" t="inlineStr">
        <is>
          <t>VG-JS100-125-SR-100</t>
        </is>
      </c>
      <c r="C319" s="15" t="inlineStr">
        <is>
          <t>Emerson</t>
        </is>
      </c>
      <c r="D319" s="15" t="inlineStr">
        <is>
          <t>Nolu-SR J-Leg, 1/8" X 1", 100 ft. - 1EA  - Price Checked - 06.24.16 (DISCONTINUED)</t>
        </is>
      </c>
      <c r="E319" s="15" t="n"/>
      <c r="F319" s="17" t="n"/>
      <c r="G319" s="15" t="inlineStr">
        <is>
          <t>Emerson</t>
        </is>
      </c>
      <c r="H319" s="15" t="inlineStr">
        <is>
          <t>VG-JS100-125-SR-100</t>
        </is>
      </c>
      <c r="I319" s="15" t="inlineStr">
        <is>
          <t>NO</t>
        </is>
      </c>
      <c r="J319" s="18">
        <f>1.38*100</f>
        <v/>
      </c>
      <c r="K319" s="14" t="n"/>
      <c r="L319" s="19" t="n"/>
      <c r="M319" s="20" t="n"/>
      <c r="N319" s="21" t="n"/>
      <c r="O319" s="22" t="n"/>
      <c r="P319" s="24" t="n"/>
    </row>
    <row r="320" ht="33" customHeight="1">
      <c r="A320" s="14" t="inlineStr">
        <is>
          <t>VG-P18BC-SR-250</t>
        </is>
      </c>
      <c r="B320" s="15" t="inlineStr">
        <is>
          <t>VG-P18BC-SR-250</t>
        </is>
      </c>
      <c r="C320" s="15" t="inlineStr">
        <is>
          <t>Emerson</t>
        </is>
      </c>
      <c r="D320" s="15" t="inlineStr">
        <is>
          <t>Nolu-SR Bar Cap, 1/8", Nolu-S, 250 ft. Coil - 1EA PRICE CONFIRMED 6.24.16 (USE IN CRITICAL APPLICATIONS)</t>
        </is>
      </c>
      <c r="E320" s="15" t="n"/>
      <c r="F320" s="17" t="n"/>
      <c r="G320" s="15" t="inlineStr">
        <is>
          <t>Emerson</t>
        </is>
      </c>
      <c r="H320" s="15" t="inlineStr">
        <is>
          <t>VG-P18BC-SR-250</t>
        </is>
      </c>
      <c r="I320" s="15" t="inlineStr">
        <is>
          <t>NO</t>
        </is>
      </c>
      <c r="J320" s="18">
        <f>1.12*250</f>
        <v/>
      </c>
      <c r="K320" s="14" t="n"/>
      <c r="L320" s="19" t="n"/>
      <c r="M320" s="20" t="n"/>
      <c r="N320" s="21" t="n"/>
      <c r="O320" s="22" t="n"/>
      <c r="P320" s="24" t="n"/>
    </row>
    <row r="321" ht="33" customHeight="1">
      <c r="A321" s="14" t="inlineStr">
        <is>
          <t>CSS3/4TWOPC</t>
        </is>
      </c>
      <c r="B321" s="15" t="inlineStr">
        <is>
          <t>CSS3/4TWOPC</t>
        </is>
      </c>
      <c r="C321" s="15" t="inlineStr">
        <is>
          <t>POBCO, Inc.</t>
        </is>
      </c>
      <c r="D321" s="15" t="inlineStr">
        <is>
          <t>Heavy Duty Rail Clip, Stainless Steel, 5/16-18 x 3/4" Long Stud - 1EA
INCORRECT P/N PLEASE UPDATE TO CSS-3/4TWOPC</t>
        </is>
      </c>
      <c r="E321" s="15" t="n"/>
      <c r="F321" s="17" t="n"/>
      <c r="G321" s="15" t="inlineStr">
        <is>
          <t>POBCO, Inc.</t>
        </is>
      </c>
      <c r="H321" s="15" t="inlineStr">
        <is>
          <t>CSS3/4TWOPC</t>
        </is>
      </c>
      <c r="I321" s="15" t="inlineStr">
        <is>
          <t>NO</t>
        </is>
      </c>
      <c r="J321" s="18" t="inlineStr">
        <is>
          <t>INCORRECT P/N
PLEASE UPDATE</t>
        </is>
      </c>
      <c r="K321" s="14" t="inlineStr">
        <is>
          <t>BAD P/N</t>
        </is>
      </c>
      <c r="L321" s="19" t="n"/>
      <c r="M321" s="20" t="n"/>
      <c r="N321" s="21" t="n"/>
      <c r="O321" s="22" t="n"/>
      <c r="P321" s="24" t="n"/>
    </row>
    <row r="322" ht="33" customHeight="1">
      <c r="A322" s="14" t="inlineStr">
        <is>
          <t>614-38-3</t>
        </is>
      </c>
      <c r="B322" s="15" t="inlineStr">
        <is>
          <t>614-38-3</t>
        </is>
      </c>
      <c r="C322" s="15" t="inlineStr">
        <is>
          <t>Rexnord</t>
        </is>
      </c>
      <c r="D322" s="15" t="inlineStr">
        <is>
          <t>NS820 Thermoplastic Split Sprocket 21T - 1.25" Round Bore W/ Keyway and Setscrew - Price Confirmed: 07.27.16</t>
        </is>
      </c>
      <c r="E322" s="15" t="n"/>
      <c r="F322" s="17" t="n"/>
      <c r="G322" s="15" t="inlineStr">
        <is>
          <t>Rexnord</t>
        </is>
      </c>
      <c r="H322" s="15" t="inlineStr">
        <is>
          <t>614-38-3</t>
        </is>
      </c>
      <c r="I322" s="15" t="inlineStr">
        <is>
          <t>NO</t>
        </is>
      </c>
      <c r="J322" s="18" t="n">
        <v>39.1</v>
      </c>
      <c r="K322" s="14" t="n"/>
      <c r="L322" s="19" t="n"/>
      <c r="M322" s="20" t="n"/>
      <c r="N322" s="21" t="n"/>
      <c r="O322" s="22" t="n"/>
      <c r="P322" s="24" t="n"/>
    </row>
    <row r="323" ht="33" customHeight="1">
      <c r="A323" s="14" t="inlineStr">
        <is>
          <t>G0721165</t>
        </is>
      </c>
      <c r="B323" s="15" t="inlineStr">
        <is>
          <t>2X740</t>
        </is>
      </c>
      <c r="C323" s="15" t="inlineStr">
        <is>
          <t>Dayton</t>
        </is>
      </c>
      <c r="D323" s="15" t="inlineStr">
        <is>
          <t xml:space="preserve">Shaft Collar, Standard, Set Screw, Number of Pieces 1, 1-1/4 In. Bore Dia., Material Zinc Plated Steel, Outside Dia. 2 In., Width 11/16 In., Screw Size 3/8 In.-16, Screw Material Alloy Steel </t>
        </is>
      </c>
      <c r="E323" s="15" t="n">
        <v>1</v>
      </c>
      <c r="F323" s="17" t="inlineStr">
        <is>
          <t>each</t>
        </is>
      </c>
      <c r="G323" s="15" t="inlineStr">
        <is>
          <t>Zoro</t>
        </is>
      </c>
      <c r="H323" s="15" t="inlineStr">
        <is>
          <t>G0721165</t>
        </is>
      </c>
      <c r="I323" s="15" t="inlineStr">
        <is>
          <t>NO</t>
        </is>
      </c>
      <c r="J323" s="18" t="n">
        <v>6.27</v>
      </c>
      <c r="K323" s="21" t="n">
        <v>45348</v>
      </c>
      <c r="L323" s="19" t="n">
        <v>0.349282296650718</v>
      </c>
      <c r="M323" s="20" t="n">
        <v>4.08</v>
      </c>
      <c r="N323" s="21" t="n"/>
      <c r="O323" s="22" t="inlineStr">
        <is>
          <t>, 2/14/2024, 4.08</t>
        </is>
      </c>
      <c r="P323" s="24" t="n"/>
    </row>
    <row r="324" ht="33" customHeight="1">
      <c r="A324" s="14" t="inlineStr">
        <is>
          <t>5500A5003</t>
        </is>
      </c>
      <c r="B324" s="15" t="inlineStr">
        <is>
          <t>5500A5003</t>
        </is>
      </c>
      <c r="C324" s="15" t="inlineStr">
        <is>
          <t>Ross Controls</t>
        </is>
      </c>
      <c r="D324" s="15" t="inlineStr">
        <is>
          <t>3/4" MNPT Silencer - Price Confirmed: 08.04.16</t>
        </is>
      </c>
      <c r="E324" s="15" t="n"/>
      <c r="F324" s="17" t="n"/>
      <c r="G324" s="15" t="inlineStr">
        <is>
          <t>Hydraulic &amp; Pneumatic Sales, Inc.</t>
        </is>
      </c>
      <c r="H324" s="15" t="inlineStr">
        <is>
          <t>5500A5003</t>
        </is>
      </c>
      <c r="I324" s="15" t="inlineStr">
        <is>
          <t>NO</t>
        </is>
      </c>
      <c r="J324" s="18" t="n">
        <v>34.4375</v>
      </c>
      <c r="K324" s="14" t="n"/>
      <c r="L324" s="19" t="n"/>
      <c r="M324" s="20" t="n"/>
      <c r="N324" s="21" t="n"/>
      <c r="O324" s="22" t="n"/>
      <c r="P324" s="24" t="n"/>
    </row>
    <row r="325" ht="33" customHeight="1">
      <c r="A325" s="14" t="inlineStr">
        <is>
          <t>Y1523C5012</t>
        </is>
      </c>
      <c r="B325" s="15" t="inlineStr">
        <is>
          <t>Y1523C5012</t>
        </is>
      </c>
      <c r="C325" s="15" t="inlineStr">
        <is>
          <t>Ross Controls</t>
        </is>
      </c>
      <c r="D325" s="15" t="inlineStr">
        <is>
          <t>Manual Lockout L-O-X Valve, 3 Port / 2 Way, 3/4" FNPT I/O Ports, 3/4" FNPT Exhaust Port - Price Confirmed: 08.04.16</t>
        </is>
      </c>
      <c r="E325" s="15" t="n"/>
      <c r="F325" s="17" t="n"/>
      <c r="G325" s="15" t="inlineStr">
        <is>
          <t>Hydraulic &amp; Pneumatic Sales, Inc.</t>
        </is>
      </c>
      <c r="H325" s="15" t="inlineStr">
        <is>
          <t>Y1523C5012</t>
        </is>
      </c>
      <c r="I325" s="15" t="inlineStr">
        <is>
          <t>NO</t>
        </is>
      </c>
      <c r="J325" s="18" t="n">
        <v>85.02500000000001</v>
      </c>
      <c r="K325" s="14" t="n"/>
      <c r="L325" s="19" t="n"/>
      <c r="M325" s="20" t="n"/>
      <c r="N325" s="21" t="n"/>
      <c r="O325" s="22" t="n"/>
      <c r="P325" s="24" t="n"/>
    </row>
    <row r="326" ht="33" customHeight="1">
      <c r="A326" s="14" t="inlineStr">
        <is>
          <t>CPL50</t>
        </is>
      </c>
      <c r="B326" s="15" t="inlineStr">
        <is>
          <t>CPL50</t>
        </is>
      </c>
      <c r="C326" s="15" t="inlineStr">
        <is>
          <t>Gibson Stainless</t>
        </is>
      </c>
      <c r="D326" s="15" t="inlineStr">
        <is>
          <t>Type 304 Stainless Steel Threaded Pipe Fitting, 1/2 Pipe Size, Coupling, 150 PSI</t>
        </is>
      </c>
      <c r="E326" s="15" t="n"/>
      <c r="F326" s="17" t="n"/>
      <c r="G326" s="15" t="inlineStr">
        <is>
          <t>EECO</t>
        </is>
      </c>
      <c r="H326" s="15" t="inlineStr">
        <is>
          <t>CPL50</t>
        </is>
      </c>
      <c r="I326" s="15" t="inlineStr">
        <is>
          <t>NO</t>
        </is>
      </c>
      <c r="J326" s="18" t="n">
        <v>14.95</v>
      </c>
      <c r="K326" s="14" t="n"/>
      <c r="L326" s="19" t="n"/>
      <c r="M326" s="20" t="n"/>
      <c r="N326" s="21" t="n"/>
      <c r="O326" s="22" t="n"/>
      <c r="P326" s="24" t="n"/>
    </row>
    <row r="327" ht="33" customHeight="1">
      <c r="A327" s="14" t="inlineStr">
        <is>
          <t>NIP50</t>
        </is>
      </c>
      <c r="B327" s="15" t="inlineStr">
        <is>
          <t>NIP50</t>
        </is>
      </c>
      <c r="C327" s="15" t="inlineStr">
        <is>
          <t>Gibson Stainless</t>
        </is>
      </c>
      <c r="D327" s="15" t="inlineStr">
        <is>
          <t>Type 304 Stainless Steel Threaded Pipe Nipple, 1/2" Pipe Size x 8" Lg.</t>
        </is>
      </c>
      <c r="E327" s="15" t="n"/>
      <c r="F327" s="17" t="n"/>
      <c r="G327" s="15" t="inlineStr">
        <is>
          <t>EECO</t>
        </is>
      </c>
      <c r="H327" s="15" t="inlineStr">
        <is>
          <t>NIP50</t>
        </is>
      </c>
      <c r="I327" s="15" t="inlineStr">
        <is>
          <t>NO</t>
        </is>
      </c>
      <c r="J327" s="18" t="n">
        <v>8.9</v>
      </c>
      <c r="K327" s="14" t="n"/>
      <c r="L327" s="19" t="n"/>
      <c r="M327" s="20" t="n"/>
      <c r="N327" s="21" t="n"/>
      <c r="O327" s="22" t="n"/>
      <c r="P327" s="24" t="n"/>
    </row>
    <row r="328" ht="33" customHeight="1">
      <c r="A328" s="14" t="inlineStr">
        <is>
          <t>25A-V2P5N104</t>
        </is>
      </c>
      <c r="B328" s="15" t="inlineStr">
        <is>
          <t>25A-V2P5N104</t>
        </is>
      </c>
      <c r="C328" s="15" t="inlineStr">
        <is>
          <t>Allen Bradley</t>
        </is>
      </c>
      <c r="D328" s="15" t="inlineStr">
        <is>
          <t>POWERFLEX 523 0.4KW (0.5HP) AC DRIVE - Price Confirmed: 01.01.19</t>
        </is>
      </c>
      <c r="E328" s="15" t="n"/>
      <c r="F328" s="17" t="n">
        <v>8</v>
      </c>
      <c r="G328" s="15" t="inlineStr">
        <is>
          <t>Electric Supply &amp; Equipment. Co.</t>
        </is>
      </c>
      <c r="H328" s="15" t="inlineStr">
        <is>
          <t>25A-V2P5N104</t>
        </is>
      </c>
      <c r="I328" s="15" t="inlineStr">
        <is>
          <t>NO</t>
        </is>
      </c>
      <c r="J328" s="18" t="n">
        <v>388.02</v>
      </c>
      <c r="K328" s="14" t="n"/>
      <c r="L328" s="19" t="n"/>
      <c r="M328" s="20" t="n"/>
      <c r="N328" s="21" t="n"/>
      <c r="O328" s="22" t="n"/>
      <c r="P328" s="24" t="n"/>
    </row>
    <row r="329" ht="33" customHeight="1">
      <c r="A329" s="14" t="inlineStr">
        <is>
          <t>6264K52</t>
        </is>
      </c>
      <c r="B329" s="15" t="inlineStr">
        <is>
          <t>6264K52</t>
        </is>
      </c>
      <c r="C329" s="15" t="inlineStr">
        <is>
          <t>McMaster-Carr</t>
        </is>
      </c>
      <c r="D329" s="15" t="inlineStr">
        <is>
          <t>ANSI Number 40-SS Connecting Link for 304 Stainless Steel Highly Corrosion-Resistant Roller Chain - Price Confirmed 08.15.16</t>
        </is>
      </c>
      <c r="E329" s="15" t="n"/>
      <c r="F329" s="17" t="inlineStr">
        <is>
          <t>Each</t>
        </is>
      </c>
      <c r="G329" s="15" t="inlineStr">
        <is>
          <t>McMaster-Carr</t>
        </is>
      </c>
      <c r="H329" s="15" t="inlineStr">
        <is>
          <t>6264K52</t>
        </is>
      </c>
      <c r="I329" s="15" t="inlineStr">
        <is>
          <t>NO</t>
        </is>
      </c>
      <c r="J329" s="18" t="n">
        <v>3.89</v>
      </c>
      <c r="K329" s="21" t="n">
        <v>45348</v>
      </c>
      <c r="L329" s="19" t="n">
        <v>0</v>
      </c>
      <c r="M329" s="20" t="n">
        <v>3.89</v>
      </c>
      <c r="N329" s="21" t="n">
        <v>45336</v>
      </c>
      <c r="O329" s="22" t="inlineStr">
        <is>
          <t>, 2/15/2024, 3.89</t>
        </is>
      </c>
      <c r="P329" s="24" t="n"/>
    </row>
    <row r="330" ht="33" customHeight="1">
      <c r="A330" s="14" t="inlineStr">
        <is>
          <t>G2774816</t>
        </is>
      </c>
      <c r="B330" s="15" t="inlineStr">
        <is>
          <t>A212SD-024-D</t>
        </is>
      </c>
      <c r="C330" s="15" t="inlineStr">
        <is>
          <t>Aro</t>
        </is>
      </c>
      <c r="D330" s="15" t="inlineStr">
        <is>
          <t>Solenoid Air Control Valve, 1/4 In, 24VDC</t>
        </is>
      </c>
      <c r="E330" s="15" t="n">
        <v>1</v>
      </c>
      <c r="F330" s="17" t="inlineStr">
        <is>
          <t>each</t>
        </is>
      </c>
      <c r="G330" s="15" t="inlineStr">
        <is>
          <t>Zoro</t>
        </is>
      </c>
      <c r="H330" s="15" t="inlineStr">
        <is>
          <t>G2774816</t>
        </is>
      </c>
      <c r="I330" s="15" t="inlineStr">
        <is>
          <t>NO</t>
        </is>
      </c>
      <c r="J330" s="18" t="n">
        <v>229.49</v>
      </c>
      <c r="K330" s="21" t="n">
        <v>45348</v>
      </c>
      <c r="L330" s="19" t="n">
        <v>0.65985445988932</v>
      </c>
      <c r="M330" s="20" t="n">
        <v>78.06</v>
      </c>
      <c r="N330" s="21" t="n"/>
      <c r="O330" s="22" t="inlineStr">
        <is>
          <t>, 2/14/2024, 78.06</t>
        </is>
      </c>
      <c r="P330" s="24" t="n"/>
    </row>
    <row r="331" ht="33" customHeight="1">
      <c r="A331" s="14" t="inlineStr">
        <is>
          <t>HP820-4.5IN</t>
        </is>
      </c>
      <c r="B331" s="15" t="n">
        <v>10144607</v>
      </c>
      <c r="C331" s="15" t="inlineStr">
        <is>
          <t>Rexnord</t>
        </is>
      </c>
      <c r="D331" s="15" t="inlineStr">
        <is>
          <t>High Performance 820 - Straight Running Chain - 4.5" Wide - Price Confirmed: 09.01.16</t>
        </is>
      </c>
      <c r="E331" s="15" t="n"/>
      <c r="F331" s="17" t="n"/>
      <c r="G331" s="15" t="inlineStr">
        <is>
          <t>Rexnord</t>
        </is>
      </c>
      <c r="H331" s="15" t="inlineStr">
        <is>
          <t>HP820-4.5IN</t>
        </is>
      </c>
      <c r="I331" s="15" t="inlineStr">
        <is>
          <t>NO</t>
        </is>
      </c>
      <c r="J331" s="18" t="n">
        <v>8.640000000000001</v>
      </c>
      <c r="K331" s="14" t="n"/>
      <c r="L331" s="19" t="n"/>
      <c r="M331" s="20" t="n"/>
      <c r="N331" s="21" t="n"/>
      <c r="O331" s="22" t="n"/>
      <c r="P331" s="24" t="n"/>
    </row>
    <row r="332" ht="33" customHeight="1">
      <c r="A332" s="14" t="inlineStr">
        <is>
          <t>HP1505-15IN</t>
        </is>
      </c>
      <c r="B332" s="15" t="n">
        <v>10028386</v>
      </c>
      <c r="C332" s="15" t="inlineStr">
        <is>
          <t>Rexnord</t>
        </is>
      </c>
      <c r="D332" s="15" t="inlineStr">
        <is>
          <t>High Performance 1505 - Straight Running Chain - 15" Wide - Price Confirmed: 09.01.16</t>
        </is>
      </c>
      <c r="E332" s="15" t="n"/>
      <c r="F332" s="17" t="n"/>
      <c r="G332" s="15" t="inlineStr">
        <is>
          <t>Rexnord</t>
        </is>
      </c>
      <c r="H332" s="15" t="inlineStr">
        <is>
          <t>HP1505-15IN</t>
        </is>
      </c>
      <c r="I332" s="15" t="inlineStr">
        <is>
          <t>NO</t>
        </is>
      </c>
      <c r="J332" s="18" t="n">
        <v>22.83</v>
      </c>
      <c r="K332" s="14" t="n"/>
      <c r="L332" s="19" t="n"/>
      <c r="M332" s="20" t="n"/>
      <c r="N332" s="21" t="n"/>
      <c r="O332" s="22" t="n"/>
      <c r="P332" s="24" t="n"/>
    </row>
    <row r="333" ht="40.5" customHeight="1">
      <c r="A333" s="14" t="inlineStr">
        <is>
          <t>SA47DRS71S4</t>
        </is>
      </c>
      <c r="B333" s="15" t="inlineStr">
        <is>
          <t>SA47DRS71S4</t>
        </is>
      </c>
      <c r="C333" s="15" t="inlineStr">
        <is>
          <t>SEW-Eurodrive</t>
        </is>
      </c>
      <c r="D333" s="15" t="inlineStr">
        <is>
          <t>SEW-Eurodrive 1/2 HP (High Efficiency) - __ RPM - __ Ratio - 230/460 VAC - 1-1/4" dia. hollow bore - M__ Mount - __ TB Position - __ Cable Entry</t>
        </is>
      </c>
      <c r="E333" s="15" t="n"/>
      <c r="F333" s="17" t="n"/>
      <c r="G333" s="15" t="inlineStr">
        <is>
          <t>SEW-Eurodrive</t>
        </is>
      </c>
      <c r="H333" s="15" t="inlineStr">
        <is>
          <t>N/A</t>
        </is>
      </c>
      <c r="I333" s="15" t="inlineStr">
        <is>
          <t>NO</t>
        </is>
      </c>
      <c r="J333" s="18" t="inlineStr">
        <is>
          <t>GET QUOTE FROM PT PILOT</t>
        </is>
      </c>
      <c r="K333" s="14" t="n"/>
      <c r="L333" s="19" t="n"/>
      <c r="M333" s="20" t="n"/>
      <c r="N333" s="21" t="n"/>
      <c r="O333" s="22" t="n"/>
      <c r="P333" s="24" t="n"/>
    </row>
    <row r="334" ht="40.5" customHeight="1">
      <c r="A334" s="14" t="inlineStr">
        <is>
          <t>SA47DRS71S4/DH</t>
        </is>
      </c>
      <c r="B334" s="15" t="inlineStr">
        <is>
          <t>SA47DRS71S4/DH</t>
        </is>
      </c>
      <c r="C334" s="15" t="inlineStr">
        <is>
          <t>SEW-Eurodrive</t>
        </is>
      </c>
      <c r="D334" s="15" t="inlineStr">
        <is>
          <t>SEW-Eurodrive 1/2 HP (High Efficiency) - __ RPM - __ Ratio - 230/460 VAC - 1-1/4" dia. hollow bore - M__ Mount - __ TB Position - __ Cable Entry - OS4 Sever Duty</t>
        </is>
      </c>
      <c r="E334" s="15" t="n"/>
      <c r="F334" s="17" t="n"/>
      <c r="G334" s="15" t="inlineStr">
        <is>
          <t>SEW-Eurodrive</t>
        </is>
      </c>
      <c r="H334" s="15" t="inlineStr">
        <is>
          <t>N/A</t>
        </is>
      </c>
      <c r="I334" s="15" t="inlineStr">
        <is>
          <t>NO</t>
        </is>
      </c>
      <c r="J334" s="18" t="inlineStr">
        <is>
          <t>GET QUOTE FROM PT PILOT</t>
        </is>
      </c>
      <c r="K334" s="14" t="n"/>
      <c r="L334" s="19" t="n"/>
      <c r="M334" s="20" t="n"/>
      <c r="N334" s="21" t="n"/>
      <c r="O334" s="22" t="n"/>
      <c r="P334" s="24" t="n"/>
    </row>
    <row r="335" ht="40.5" customHeight="1">
      <c r="A335" s="14" t="inlineStr">
        <is>
          <t>SA47DRS71M4/DH</t>
        </is>
      </c>
      <c r="B335" s="15" t="inlineStr">
        <is>
          <t>SA47DRS71M4/DH</t>
        </is>
      </c>
      <c r="C335" s="15" t="inlineStr">
        <is>
          <t>SEW-Eurodrive</t>
        </is>
      </c>
      <c r="D335" s="15" t="inlineStr">
        <is>
          <t>SEW-Eurodrive 3/4 HP (High Efficiency) - __ RPM - __ Ratio - 230/460 VAC - 1-1/4" dia. hollow bore - M__ Mount - __ TB Position - __ Cable Entry - OS4 Sever Duty</t>
        </is>
      </c>
      <c r="E335" s="15" t="n"/>
      <c r="F335" s="17" t="n"/>
      <c r="G335" s="15" t="inlineStr">
        <is>
          <t>SEW-Eurodrive</t>
        </is>
      </c>
      <c r="H335" s="15" t="inlineStr">
        <is>
          <t>N/A</t>
        </is>
      </c>
      <c r="I335" s="15" t="inlineStr">
        <is>
          <t>NO</t>
        </is>
      </c>
      <c r="J335" s="18" t="inlineStr">
        <is>
          <t>GET QUOTE FROM PT PILOT</t>
        </is>
      </c>
      <c r="K335" s="14" t="n"/>
      <c r="L335" s="19" t="n"/>
      <c r="M335" s="20" t="n"/>
      <c r="N335" s="21" t="n"/>
      <c r="O335" s="22" t="n"/>
      <c r="P335" s="24" t="n"/>
    </row>
    <row r="336" ht="33" customHeight="1">
      <c r="A336" s="14" t="inlineStr">
        <is>
          <t>SA47DRN80M4</t>
        </is>
      </c>
      <c r="B336" s="15" t="inlineStr">
        <is>
          <t>SA47DRE80M4</t>
        </is>
      </c>
      <c r="C336" s="15" t="inlineStr">
        <is>
          <t>SEW-Eurodrive</t>
        </is>
      </c>
      <c r="D336" s="15" t="inlineStr">
        <is>
          <t>SEW-Eurodrive 1 HP (Premium Efficiency) - __ RPM - __ Ratio - 230/460 VAC - 1-1/4" dia. hollow bore - M__ Mount - __ TB Position - __ Cable Entry</t>
        </is>
      </c>
      <c r="E336" s="15" t="n"/>
      <c r="F336" s="17" t="n"/>
      <c r="G336" s="15" t="inlineStr">
        <is>
          <t>SEW-Eurodrive</t>
        </is>
      </c>
      <c r="H336" s="15" t="inlineStr">
        <is>
          <t>N/A</t>
        </is>
      </c>
      <c r="I336" s="15" t="inlineStr">
        <is>
          <t>NO</t>
        </is>
      </c>
      <c r="J336" s="18" t="inlineStr">
        <is>
          <t>GET QUOTE FROM PT PILOT</t>
        </is>
      </c>
      <c r="K336" s="14" t="n"/>
      <c r="L336" s="19" t="n"/>
      <c r="M336" s="20" t="n"/>
      <c r="N336" s="21" t="n"/>
      <c r="O336" s="22" t="n"/>
      <c r="P336" s="24" t="n"/>
    </row>
    <row r="337" ht="33" customHeight="1">
      <c r="A337" s="14" t="inlineStr">
        <is>
          <t>SA47DRN80M4/DH</t>
        </is>
      </c>
      <c r="B337" s="15" t="inlineStr">
        <is>
          <t>SA47DRN80M4/DH</t>
        </is>
      </c>
      <c r="C337" s="15" t="inlineStr">
        <is>
          <t>SEW-Eurodrive</t>
        </is>
      </c>
      <c r="D337" s="15" t="inlineStr">
        <is>
          <t>SEW-Eurodrive 1 HP (Premium Efficiency) - __ RPM - __ Ratio - 230/460 VAC - 1-1/4" dia. hollow bore - M__ Mount - __ TB Position - __ Cable Entry - OS4 Sever Duty</t>
        </is>
      </c>
      <c r="E337" s="15" t="n"/>
      <c r="F337" s="17" t="n"/>
      <c r="G337" s="15" t="inlineStr">
        <is>
          <t>SEW-Eurodrive</t>
        </is>
      </c>
      <c r="H337" s="15" t="inlineStr">
        <is>
          <t>N/A</t>
        </is>
      </c>
      <c r="I337" s="15" t="inlineStr">
        <is>
          <t>NO</t>
        </is>
      </c>
      <c r="J337" s="18" t="inlineStr">
        <is>
          <t>GET QUOTE FROM PT PILOT</t>
        </is>
      </c>
      <c r="K337" s="14" t="n"/>
      <c r="L337" s="19" t="n"/>
      <c r="M337" s="20" t="n"/>
      <c r="N337" s="21" t="n"/>
      <c r="O337" s="22" t="n"/>
      <c r="P337" s="24" t="n"/>
    </row>
    <row r="338" ht="33" customHeight="1">
      <c r="A338" s="14" t="inlineStr">
        <is>
          <t>SA47DRN90M4/DH</t>
        </is>
      </c>
      <c r="B338" s="15" t="inlineStr">
        <is>
          <t>SA47DRN90M4/DH</t>
        </is>
      </c>
      <c r="C338" s="15" t="inlineStr">
        <is>
          <t>SEW-Eurodrive</t>
        </is>
      </c>
      <c r="D338" s="15" t="inlineStr">
        <is>
          <t>SEW-Eurodrive 1-1/2 HP (Premium Efficiency) - __ RPM - __ Ratio - 230/460 VAC - 1-1/4" dia. hollow bore - M__ Mount - __ TB Position - __ Cable Entry - OS4 Sever Duty</t>
        </is>
      </c>
      <c r="E338" s="15" t="n"/>
      <c r="F338" s="17" t="n"/>
      <c r="G338" s="15" t="inlineStr">
        <is>
          <t>SEW-Eurodrive</t>
        </is>
      </c>
      <c r="H338" s="15" t="inlineStr">
        <is>
          <t>N/A</t>
        </is>
      </c>
      <c r="I338" s="15" t="inlineStr">
        <is>
          <t>NO</t>
        </is>
      </c>
      <c r="J338" s="18" t="inlineStr">
        <is>
          <t>GET QUOTE FROM PT PILOT</t>
        </is>
      </c>
      <c r="K338" s="14" t="n"/>
      <c r="L338" s="19" t="n"/>
      <c r="M338" s="20" t="n"/>
      <c r="N338" s="21" t="n"/>
      <c r="O338" s="22" t="n"/>
      <c r="P338" s="24" t="n"/>
    </row>
    <row r="339" ht="33" customHeight="1">
      <c r="A339" s="14" t="inlineStr">
        <is>
          <t>SA47DRN90L4</t>
        </is>
      </c>
      <c r="B339" s="15" t="inlineStr">
        <is>
          <t>SA47DRN90L4</t>
        </is>
      </c>
      <c r="C339" s="15" t="inlineStr">
        <is>
          <t>SEW-Eurodrive</t>
        </is>
      </c>
      <c r="D339" s="15" t="inlineStr">
        <is>
          <t>SEW-Eurodrive 2 HP (Premium Efficiency) - __ RPM - __ Ratio - 230/460 VAC - 1-1/4" dia. hollow bore - M__ Mount - __ TB Position - __ Cable Entry</t>
        </is>
      </c>
      <c r="E339" s="15" t="n"/>
      <c r="F339" s="17" t="n"/>
      <c r="G339" s="15" t="inlineStr">
        <is>
          <t>SEW-Eurodrive</t>
        </is>
      </c>
      <c r="H339" s="15" t="inlineStr">
        <is>
          <t>N/A</t>
        </is>
      </c>
      <c r="I339" s="15" t="inlineStr">
        <is>
          <t>NO</t>
        </is>
      </c>
      <c r="J339" s="18" t="inlineStr">
        <is>
          <t>GET QUOTE FROM PT PILOT</t>
        </is>
      </c>
      <c r="K339" s="14" t="n"/>
      <c r="L339" s="19" t="n"/>
      <c r="M339" s="20" t="n"/>
      <c r="N339" s="21" t="n"/>
      <c r="O339" s="22" t="n"/>
      <c r="P339" s="24" t="n"/>
    </row>
    <row r="340" ht="33" customHeight="1">
      <c r="A340" s="14" t="inlineStr">
        <is>
          <t>SA47DRN90L4/DH</t>
        </is>
      </c>
      <c r="B340" s="15" t="inlineStr">
        <is>
          <t>SA47DRN90L4/DH</t>
        </is>
      </c>
      <c r="C340" s="15" t="inlineStr">
        <is>
          <t>SEW-Eurodrive</t>
        </is>
      </c>
      <c r="D340" s="15" t="inlineStr">
        <is>
          <t>SEW-Eurodrive 2 HP (Premium Efficiency) - __ RPM - __ Ratio - 230/460 VAC - 1-1/4" dia. hollow bore - M__ Mount - __ TB Position - __ Cable Entry - OS4 Sever Duty</t>
        </is>
      </c>
      <c r="E340" s="15" t="n"/>
      <c r="F340" s="17" t="n"/>
      <c r="G340" s="15" t="inlineStr">
        <is>
          <t>SEW-Eurodrive</t>
        </is>
      </c>
      <c r="H340" s="15" t="inlineStr">
        <is>
          <t>N/A</t>
        </is>
      </c>
      <c r="I340" s="15" t="inlineStr">
        <is>
          <t>NO</t>
        </is>
      </c>
      <c r="J340" s="18" t="inlineStr">
        <is>
          <t>GET QUOTE FROM PT PILOT</t>
        </is>
      </c>
      <c r="K340" s="14" t="n"/>
      <c r="L340" s="19" t="n"/>
      <c r="M340" s="20" t="n"/>
      <c r="N340" s="21" t="n"/>
      <c r="O340" s="22" t="n"/>
      <c r="P340" s="24" t="n"/>
    </row>
    <row r="341" ht="33" customHeight="1">
      <c r="A341" s="14" t="inlineStr">
        <is>
          <t>HP8505-3.25IN_MTW</t>
        </is>
      </c>
      <c r="B341" s="15" t="n">
        <v>10028434</v>
      </c>
      <c r="C341" s="15" t="inlineStr">
        <is>
          <t>Rexnord</t>
        </is>
      </c>
      <c r="D341" s="15" t="inlineStr">
        <is>
          <t>HP8505, Mold-to-Width, 3.25" Wide</t>
        </is>
      </c>
      <c r="E341" s="15" t="n"/>
      <c r="F341" s="17" t="n"/>
      <c r="G341" s="15" t="inlineStr">
        <is>
          <t>Rexnord</t>
        </is>
      </c>
      <c r="H341" s="15" t="n">
        <v>10028434</v>
      </c>
      <c r="I341" s="15" t="inlineStr">
        <is>
          <t>NO</t>
        </is>
      </c>
      <c r="J341" s="18" t="n">
        <v>7.9</v>
      </c>
      <c r="K341" s="14" t="n"/>
      <c r="L341" s="19" t="n"/>
      <c r="M341" s="20" t="n"/>
      <c r="N341" s="21" t="n"/>
      <c r="O341" s="22" t="n"/>
      <c r="P341" s="24" t="n"/>
    </row>
    <row r="342" ht="33" customHeight="1">
      <c r="A342" s="14" t="inlineStr">
        <is>
          <t>614-181-14</t>
        </is>
      </c>
      <c r="B342" s="15" t="inlineStr">
        <is>
          <t>N/A</t>
        </is>
      </c>
      <c r="C342" s="15" t="inlineStr">
        <is>
          <t>Rexnord</t>
        </is>
      </c>
      <c r="D342" s="15" t="inlineStr">
        <is>
          <t xml:space="preserve">NS1500 Thermoplastic Split Sprocket 32T w/ 1.25" Round Bore Idler </t>
        </is>
      </c>
      <c r="E342" s="15" t="n"/>
      <c r="F342" s="17" t="n">
        <v>8</v>
      </c>
      <c r="G342" s="15" t="inlineStr">
        <is>
          <t>Rexnord</t>
        </is>
      </c>
      <c r="H342" s="15" t="inlineStr">
        <is>
          <t>N/a</t>
        </is>
      </c>
      <c r="I342" s="15" t="inlineStr">
        <is>
          <t>NO</t>
        </is>
      </c>
      <c r="J342" s="18" t="n">
        <v>30.92</v>
      </c>
      <c r="K342" s="14" t="n"/>
      <c r="L342" s="19" t="n"/>
      <c r="M342" s="20" t="n"/>
      <c r="N342" s="21" t="n"/>
      <c r="O342" s="22" t="n"/>
      <c r="P342" s="24" t="n"/>
    </row>
    <row r="343" ht="33" customHeight="1">
      <c r="A343" s="14" t="inlineStr">
        <is>
          <t>45735K276</t>
        </is>
      </c>
      <c r="B343" s="15" t="inlineStr">
        <is>
          <t>45735K276</t>
        </is>
      </c>
      <c r="C343" s="15" t="inlineStr">
        <is>
          <t>McMaster Carr</t>
        </is>
      </c>
      <c r="D343" s="15" t="inlineStr">
        <is>
          <t>Thin-Wall Butt-Weld 304/304L Stainless Steel Pipe Fitting, Unthreaded, 2 Pipe Size, Cap - Price Confirmed 10.11.16</t>
        </is>
      </c>
      <c r="E343" s="15" t="n"/>
      <c r="F343" s="17" t="n"/>
      <c r="G343" s="15" t="inlineStr">
        <is>
          <t>McMaster Carr</t>
        </is>
      </c>
      <c r="H343" s="15" t="inlineStr">
        <is>
          <t>45735K276</t>
        </is>
      </c>
      <c r="I343" s="15" t="inlineStr">
        <is>
          <t>NO</t>
        </is>
      </c>
      <c r="J343" s="18" t="n">
        <v>15.23</v>
      </c>
      <c r="K343" s="14" t="n"/>
      <c r="L343" s="19" t="n"/>
      <c r="M343" s="20" t="n"/>
      <c r="N343" s="21" t="n"/>
      <c r="O343" s="22" t="n"/>
      <c r="P343" s="24" t="n"/>
    </row>
    <row r="344" ht="33" customHeight="1">
      <c r="A344" s="14" t="inlineStr">
        <is>
          <t>G1483194</t>
        </is>
      </c>
      <c r="B344" s="15" t="inlineStr">
        <is>
          <t>6F600</t>
        </is>
      </c>
      <c r="C344" s="15" t="inlineStr">
        <is>
          <t>Speedaire</t>
        </is>
      </c>
      <c r="D344" s="15" t="inlineStr">
        <is>
          <t>Muffler, Exhaust, 3/4" NPT, 1-1/6" dia. - Price Confirmed 11.02.16</t>
        </is>
      </c>
      <c r="E344" s="15" t="n">
        <v>1</v>
      </c>
      <c r="F344" s="17" t="inlineStr">
        <is>
          <t>each</t>
        </is>
      </c>
      <c r="G344" s="15" t="inlineStr">
        <is>
          <t>Zoro</t>
        </is>
      </c>
      <c r="H344" s="15" t="inlineStr">
        <is>
          <t>G1483194</t>
        </is>
      </c>
      <c r="I344" s="15" t="inlineStr">
        <is>
          <t>NO</t>
        </is>
      </c>
      <c r="J344" s="18" t="n">
        <v>6.59</v>
      </c>
      <c r="K344" s="21" t="n">
        <v>45348</v>
      </c>
      <c r="L344" s="19" t="n">
        <v>-0.218512898330804</v>
      </c>
      <c r="M344" s="20" t="n">
        <v>8.029999999999999</v>
      </c>
      <c r="N344" s="21" t="n"/>
      <c r="O344" s="22" t="inlineStr">
        <is>
          <t>, 2/14/2024, 8.03</t>
        </is>
      </c>
      <c r="P344" s="24" t="n"/>
    </row>
    <row r="345" ht="33" customHeight="1">
      <c r="A345" s="14" t="inlineStr">
        <is>
          <t>Y1523C3002</t>
        </is>
      </c>
      <c r="B345" s="15" t="inlineStr">
        <is>
          <t>Y1523C3002</t>
        </is>
      </c>
      <c r="C345" s="15" t="inlineStr">
        <is>
          <t>Ross Controls</t>
        </is>
      </c>
      <c r="D345" s="15" t="inlineStr">
        <is>
          <t>Manual Lockout L-O-X Valve, 3 Port / 2 Way, 3/8" FNPT I/O Ports, 3/4" FNPT Exhaust Port - 6/14/23</t>
        </is>
      </c>
      <c r="E345" s="15" t="n"/>
      <c r="F345" s="17" t="n"/>
      <c r="G345" s="15" t="inlineStr">
        <is>
          <t>GlobalIndustrial.com</t>
        </is>
      </c>
      <c r="H345" s="15" t="inlineStr">
        <is>
          <t>WGB837125</t>
        </is>
      </c>
      <c r="I345" s="15" t="inlineStr">
        <is>
          <t>NO</t>
        </is>
      </c>
      <c r="J345" s="18" t="n">
        <v>140.95</v>
      </c>
      <c r="K345" s="14" t="n"/>
      <c r="L345" s="19" t="n"/>
      <c r="M345" s="20" t="n"/>
      <c r="N345" s="21" t="n"/>
      <c r="O345" s="22" t="n"/>
      <c r="P345" s="24" t="n"/>
    </row>
    <row r="346" ht="33" customHeight="1">
      <c r="A346" s="14" t="inlineStr">
        <is>
          <t>51205K135</t>
        </is>
      </c>
      <c r="B346" s="15" t="inlineStr">
        <is>
          <t>51205K135</t>
        </is>
      </c>
      <c r="C346" s="15" t="inlineStr">
        <is>
          <t>McMaster Carr</t>
        </is>
      </c>
      <c r="D346" s="15" t="inlineStr">
        <is>
          <t>Extreme-Pressure 316 Stainless Steel Threaded Pipe Fitting, 3/8 x 3/8 Pipe Size, Hex Nipple - Price Confirmed 7/28/22</t>
        </is>
      </c>
      <c r="E346" s="15" t="n"/>
      <c r="F346" s="17" t="n"/>
      <c r="G346" s="15" t="inlineStr">
        <is>
          <t>McMaster Carr</t>
        </is>
      </c>
      <c r="H346" s="15" t="inlineStr">
        <is>
          <t>51205K135</t>
        </is>
      </c>
      <c r="I346" s="15" t="inlineStr">
        <is>
          <t>NO</t>
        </is>
      </c>
      <c r="J346" s="18" t="n">
        <v>14.96</v>
      </c>
      <c r="K346" s="14" t="n"/>
      <c r="L346" s="19" t="n"/>
      <c r="M346" s="20" t="n"/>
      <c r="N346" s="21" t="n"/>
      <c r="O346" s="22" t="n"/>
      <c r="P346" s="24" t="n"/>
    </row>
    <row r="347" ht="33" customHeight="1">
      <c r="A347" s="14" t="inlineStr">
        <is>
          <t>9151K17</t>
        </is>
      </c>
      <c r="B347" s="15" t="inlineStr">
        <is>
          <t>9151K17</t>
        </is>
      </c>
      <c r="C347" s="15" t="inlineStr">
        <is>
          <t>McMaster Carr</t>
        </is>
      </c>
      <c r="D347" s="15" t="inlineStr">
        <is>
          <t>Nickel-Plated Brass Threaded Pipe Fitting, 1/4" Pipe Size, 90 Degree Elbow, Female x Male - Price Confirmed 7/28/22</t>
        </is>
      </c>
      <c r="E347" s="15" t="n"/>
      <c r="F347" s="17" t="n"/>
      <c r="G347" s="15" t="inlineStr">
        <is>
          <t>McMaster Carr</t>
        </is>
      </c>
      <c r="H347" s="15" t="inlineStr">
        <is>
          <t>9151K17</t>
        </is>
      </c>
      <c r="I347" s="15" t="inlineStr">
        <is>
          <t>NO</t>
        </is>
      </c>
      <c r="J347" s="18" t="n">
        <v>4.74</v>
      </c>
      <c r="K347" s="14" t="n"/>
      <c r="L347" s="19" t="n"/>
      <c r="M347" s="20" t="n"/>
      <c r="N347" s="21" t="n"/>
      <c r="O347" s="22" t="n"/>
      <c r="P347" s="24" t="n"/>
    </row>
    <row r="348" ht="33" customHeight="1">
      <c r="A348" s="14" t="inlineStr">
        <is>
          <t>SSQ304TB/500</t>
        </is>
      </c>
      <c r="B348" s="15" t="inlineStr">
        <is>
          <t>SSQ304TB/500</t>
        </is>
      </c>
      <c r="C348" s="15" t="inlineStr">
        <is>
          <t>Metal Supermarkets</t>
        </is>
      </c>
      <c r="D348" s="15" t="inlineStr">
        <is>
          <t>Keystock, 1/2" Square, T304 Stainless Steel, 10ft Long</t>
        </is>
      </c>
      <c r="E348" s="15" t="n"/>
      <c r="F348" s="17" t="n"/>
      <c r="G348" s="15" t="inlineStr">
        <is>
          <t>Metal Supermarkets</t>
        </is>
      </c>
      <c r="H348" s="15" t="inlineStr">
        <is>
          <t>SSQ304TB/500</t>
        </is>
      </c>
      <c r="I348" s="15" t="inlineStr">
        <is>
          <t>NO</t>
        </is>
      </c>
      <c r="J348" s="18" t="n">
        <v>47.74</v>
      </c>
      <c r="K348" s="14" t="n"/>
      <c r="L348" s="19" t="n"/>
      <c r="M348" s="20" t="n"/>
      <c r="N348" s="21" t="n"/>
      <c r="O348" s="22" t="n"/>
      <c r="P348" s="24" t="n"/>
    </row>
    <row r="349" ht="33" customHeight="1">
      <c r="A349" s="14" t="inlineStr">
        <is>
          <t>614-237-3</t>
        </is>
      </c>
      <c r="B349" s="15" t="n">
        <v>10028677</v>
      </c>
      <c r="C349" s="15" t="inlineStr">
        <is>
          <t>Rexnord</t>
        </is>
      </c>
      <c r="D349" s="15" t="inlineStr">
        <is>
          <t>NS8500 Thermoplastic Split Sprocket - 21T w/ 1.25" Round Bore with Keyway and Setscrew - Price Confirmed: 04.18.17</t>
        </is>
      </c>
      <c r="E349" s="15" t="n"/>
      <c r="F349" s="17" t="n"/>
      <c r="G349" s="15" t="inlineStr">
        <is>
          <t>Rexnord</t>
        </is>
      </c>
      <c r="H349" s="15" t="inlineStr">
        <is>
          <t>614-237-3</t>
        </is>
      </c>
      <c r="I349" s="15" t="inlineStr">
        <is>
          <t>NO</t>
        </is>
      </c>
      <c r="J349" s="18" t="n">
        <v>29.54</v>
      </c>
      <c r="K349" s="14" t="n"/>
      <c r="L349" s="19" t="n"/>
      <c r="M349" s="20" t="n"/>
      <c r="N349" s="21" t="n"/>
      <c r="O349" s="22" t="n"/>
      <c r="P349" s="24" t="n"/>
    </row>
    <row r="350" ht="33" customHeight="1">
      <c r="A350" s="14" t="inlineStr">
        <is>
          <t>PS770TAB-3.25IN</t>
        </is>
      </c>
      <c r="B350" s="15" t="n">
        <v>10145633</v>
      </c>
      <c r="C350" s="15" t="inlineStr">
        <is>
          <t>Rexnord</t>
        </is>
      </c>
      <c r="D350" s="15" t="inlineStr">
        <is>
          <t>Platinum Series 770 TAB - 3.25" Wide - Price Confirmed: 03.29.21</t>
        </is>
      </c>
      <c r="E350" s="15" t="n"/>
      <c r="F350" s="17" t="n"/>
      <c r="G350" s="15" t="inlineStr">
        <is>
          <t>Rexnord</t>
        </is>
      </c>
      <c r="H350" s="15" t="inlineStr">
        <is>
          <t>PS770TAB-3.25IN</t>
        </is>
      </c>
      <c r="I350" s="15" t="inlineStr">
        <is>
          <t>NO</t>
        </is>
      </c>
      <c r="J350" s="18" t="n">
        <v>18.3</v>
      </c>
      <c r="K350" s="14" t="n"/>
      <c r="L350" s="19" t="n"/>
      <c r="M350" s="20" t="n"/>
      <c r="N350" s="21" t="n"/>
      <c r="O350" s="22" t="n"/>
      <c r="P350" s="24" t="n"/>
    </row>
    <row r="351" ht="33" customHeight="1">
      <c r="A351" s="14" t="inlineStr">
        <is>
          <t>614-60-3</t>
        </is>
      </c>
      <c r="B351" s="15" t="n">
        <v>10019874</v>
      </c>
      <c r="C351" s="15" t="inlineStr">
        <is>
          <t>Rexnord</t>
        </is>
      </c>
      <c r="D351" s="15" t="inlineStr">
        <is>
          <t>NS7700 Thermoplastic Split Sprocket  - 18T W/ 1.25" Round Bore w/ Keyway &amp; SS - Price Confirmed: 03.29.21</t>
        </is>
      </c>
      <c r="E351" s="15" t="n"/>
      <c r="F351" s="17" t="n"/>
      <c r="G351" s="15" t="inlineStr">
        <is>
          <t>Rexnord</t>
        </is>
      </c>
      <c r="H351" s="15" t="inlineStr">
        <is>
          <t>614-60-3</t>
        </is>
      </c>
      <c r="I351" s="15" t="inlineStr">
        <is>
          <t>NO</t>
        </is>
      </c>
      <c r="J351" s="18" t="n">
        <v>37.97</v>
      </c>
      <c r="K351" s="14" t="n"/>
      <c r="L351" s="19" t="n"/>
      <c r="M351" s="20" t="n"/>
      <c r="N351" s="21" t="n"/>
      <c r="O351" s="22" t="n"/>
      <c r="P351" s="24" t="n"/>
    </row>
    <row r="352" ht="33" customHeight="1">
      <c r="A352" s="14" t="inlineStr">
        <is>
          <t>HP1505-4.5IN_MTW</t>
        </is>
      </c>
      <c r="B352" s="15" t="n">
        <v>10028891</v>
      </c>
      <c r="C352" s="15" t="inlineStr">
        <is>
          <t>Rexnord</t>
        </is>
      </c>
      <c r="D352" s="15" t="inlineStr">
        <is>
          <t>HP1505 - 3" Wide - Mold-to-Width Straight Running - Price Confirmed: 05.02.17</t>
        </is>
      </c>
      <c r="E352" s="15" t="n"/>
      <c r="F352" s="17" t="n"/>
      <c r="G352" s="15" t="inlineStr">
        <is>
          <t>Rexnord</t>
        </is>
      </c>
      <c r="H352" s="15">
        <f>A352</f>
        <v/>
      </c>
      <c r="I352" s="15" t="inlineStr">
        <is>
          <t>NO</t>
        </is>
      </c>
      <c r="J352" s="18" t="n">
        <v>10.18</v>
      </c>
      <c r="K352" s="14" t="n"/>
      <c r="L352" s="19" t="n"/>
      <c r="M352" s="20" t="n"/>
      <c r="N352" s="21" t="n"/>
      <c r="O352" s="22" t="n"/>
      <c r="P352" s="24" t="n"/>
    </row>
    <row r="353" ht="33" customHeight="1">
      <c r="A353" s="14" t="inlineStr">
        <is>
          <t>P11140308</t>
        </is>
      </c>
      <c r="B353" s="15" t="inlineStr">
        <is>
          <t>P55402YF</t>
        </is>
      </c>
      <c r="C353" s="15" t="inlineStr">
        <is>
          <t>Movex</t>
        </is>
      </c>
      <c r="D353" s="15" t="inlineStr">
        <is>
          <t>MX 882 TAB K 1000 - Price Confirmed 06.05.18</t>
        </is>
      </c>
      <c r="E353" s="15" t="n"/>
      <c r="F353" s="17" t="n"/>
      <c r="G353" s="15" t="inlineStr">
        <is>
          <t>Movex</t>
        </is>
      </c>
      <c r="H353" s="15" t="inlineStr">
        <is>
          <t>P55402YF</t>
        </is>
      </c>
      <c r="I353" s="15" t="inlineStr">
        <is>
          <t>NO</t>
        </is>
      </c>
      <c r="J353" s="18" t="n">
        <v>12.46</v>
      </c>
      <c r="K353" s="14" t="n"/>
      <c r="L353" s="19" t="n"/>
      <c r="M353" s="20" t="n"/>
      <c r="N353" s="21" t="n"/>
      <c r="O353" s="22" t="n"/>
      <c r="P353" s="24" t="n"/>
    </row>
    <row r="354" ht="33" customHeight="1">
      <c r="A354" s="14" t="inlineStr">
        <is>
          <t>HX106-58-6</t>
        </is>
      </c>
      <c r="B354" s="15" t="inlineStr">
        <is>
          <t>HX106-58-6</t>
        </is>
      </c>
      <c r="C354" s="15" t="inlineStr">
        <is>
          <t>NGI</t>
        </is>
      </c>
      <c r="D354" s="15" t="inlineStr">
        <is>
          <t>4" Adjustable Leveler - Stanitary Style - SS Stem &amp; Base - 1x Lag Hole Tab - 6"x5/8-11 Stem
INCORRECT P/N PLEASE UPDATE TO: HX-FIX106-58-6</t>
        </is>
      </c>
      <c r="E354" s="15" t="n"/>
      <c r="F354" s="17" t="n"/>
      <c r="G354" s="15" t="inlineStr">
        <is>
          <t>NGI</t>
        </is>
      </c>
      <c r="H354" s="15" t="inlineStr">
        <is>
          <t>HX106-58-6</t>
        </is>
      </c>
      <c r="I354" s="15" t="inlineStr">
        <is>
          <t>NO</t>
        </is>
      </c>
      <c r="J354" s="18" t="inlineStr">
        <is>
          <t>INCORRECT P/N
PLEASE UPDATE</t>
        </is>
      </c>
      <c r="K354" s="14" t="inlineStr">
        <is>
          <t>INCORRECT P/N
PLEASE UPDATE</t>
        </is>
      </c>
      <c r="L354" s="19" t="n"/>
      <c r="M354" s="20" t="n"/>
      <c r="N354" s="21" t="n"/>
      <c r="O354" s="22" t="n"/>
      <c r="P354" s="24" t="n"/>
    </row>
    <row r="355" ht="33" customHeight="1">
      <c r="A355" s="14" t="inlineStr">
        <is>
          <t>HPA-FIX-101-58-6</t>
        </is>
      </c>
      <c r="B355" s="15" t="inlineStr">
        <is>
          <t>HPA-FIX-101-58-6</t>
        </is>
      </c>
      <c r="C355" s="15" t="inlineStr">
        <is>
          <t>NGI</t>
        </is>
      </c>
      <c r="D355" s="15" t="inlineStr">
        <is>
          <t>7" L x 5/8-11 thread, Adjustable Leveler w/ Adjusting Nut, Stainless Steel Rod, 2 skinned-over lag holes
INCORRECT P/N PLEASE UPDATE TO: HPA-FIX101-58-6</t>
        </is>
      </c>
      <c r="E355" s="15" t="n"/>
      <c r="F355" s="17" t="n"/>
      <c r="G355" s="15" t="inlineStr">
        <is>
          <t>NGI</t>
        </is>
      </c>
      <c r="H355" s="15" t="inlineStr">
        <is>
          <t>HPA-FIX101-58-6</t>
        </is>
      </c>
      <c r="I355" s="15" t="inlineStr">
        <is>
          <t>NO</t>
        </is>
      </c>
      <c r="J355" s="18" t="inlineStr">
        <is>
          <t>INCORRECT P/N
PLEASE UPDATE</t>
        </is>
      </c>
      <c r="K355" s="14" t="inlineStr">
        <is>
          <t>INCORRECT P/N
PLEASE UPDATE</t>
        </is>
      </c>
      <c r="L355" s="19" t="n"/>
      <c r="M355" s="20" t="n"/>
      <c r="N355" s="21" t="n"/>
      <c r="O355" s="22" t="n"/>
      <c r="P355" s="24" t="n"/>
    </row>
    <row r="356" ht="33" customHeight="1">
      <c r="A356" s="14" t="inlineStr">
        <is>
          <t>HPA-FIX-101-34-10</t>
        </is>
      </c>
      <c r="B356" s="15" t="inlineStr">
        <is>
          <t>HPA-FIX-101-34-10</t>
        </is>
      </c>
      <c r="C356" s="15" t="inlineStr">
        <is>
          <t>NGI</t>
        </is>
      </c>
      <c r="D356" s="15" t="inlineStr">
        <is>
          <t>10" L x 3/4-10 thread, Adjustable Leveler w/ Adjusting Nut, Stainless Steel Rod, 2 skinned-over lag holes
INCORRECT P/N PLEASE UPDATE TO: HPA-FIX101-34-10</t>
        </is>
      </c>
      <c r="E356" s="15" t="n"/>
      <c r="F356" s="17" t="n"/>
      <c r="G356" s="15" t="inlineStr">
        <is>
          <t>NGI</t>
        </is>
      </c>
      <c r="H356" s="15" t="inlineStr">
        <is>
          <t>HPA-FIX101-34-10</t>
        </is>
      </c>
      <c r="I356" s="15" t="inlineStr">
        <is>
          <t>NO</t>
        </is>
      </c>
      <c r="J356" s="18" t="inlineStr">
        <is>
          <t>INCORRECT P/N
PLEASE UPDATE</t>
        </is>
      </c>
      <c r="K356" s="14" t="inlineStr">
        <is>
          <t>INCORRECT P/N
PLEASE UPDATE</t>
        </is>
      </c>
      <c r="L356" s="19" t="n"/>
      <c r="M356" s="20" t="n"/>
      <c r="N356" s="21" t="n"/>
      <c r="O356" s="22" t="n"/>
      <c r="P356" s="24" t="n"/>
    </row>
    <row r="357" ht="33" customHeight="1">
      <c r="A357" s="14" t="inlineStr">
        <is>
          <t>SP-16-SS</t>
        </is>
      </c>
      <c r="B357" s="15" t="inlineStr">
        <is>
          <t>SP-16-SS</t>
        </is>
      </c>
      <c r="C357" s="15" t="inlineStr">
        <is>
          <t>Ruland Manufacturing</t>
        </is>
      </c>
      <c r="D357" s="15" t="inlineStr">
        <is>
          <t>1.00" Bore two-piece stainlesss steel clamp shaft collar - Price Confirmed: 07.27.23</t>
        </is>
      </c>
      <c r="E357" s="15" t="n"/>
      <c r="F357" s="17" t="n"/>
      <c r="G357" s="15" t="inlineStr">
        <is>
          <t>Ruland Manufacturing</t>
        </is>
      </c>
      <c r="H357" s="15" t="inlineStr">
        <is>
          <t>SP-16-SS</t>
        </is>
      </c>
      <c r="I357" s="15" t="inlineStr">
        <is>
          <t>NO</t>
        </is>
      </c>
      <c r="J357" s="18" t="n">
        <v>18.7</v>
      </c>
      <c r="K357" s="14" t="n"/>
      <c r="L357" s="19" t="n"/>
      <c r="M357" s="20" t="n"/>
      <c r="N357" s="21" t="n"/>
      <c r="O357" s="22" t="n"/>
      <c r="P357" s="24" t="n"/>
    </row>
    <row r="358" ht="33" customHeight="1">
      <c r="A358" s="14" t="inlineStr">
        <is>
          <t>SP-20-SS</t>
        </is>
      </c>
      <c r="B358" s="15" t="inlineStr">
        <is>
          <t>SP-20-SS</t>
        </is>
      </c>
      <c r="C358" s="15" t="inlineStr">
        <is>
          <t>Ruland Manufacturing</t>
        </is>
      </c>
      <c r="D358" s="15" t="inlineStr">
        <is>
          <t>1-1/4" Bore two-piece stainless steel clamp shaft collar - Price confirmed: 07.27.23</t>
        </is>
      </c>
      <c r="E358" s="15" t="n">
        <v>1</v>
      </c>
      <c r="F358" s="17" t="inlineStr">
        <is>
          <t>each</t>
        </is>
      </c>
      <c r="G358" s="15" t="inlineStr">
        <is>
          <t>Ruland Manufacturing</t>
        </is>
      </c>
      <c r="H358" s="15" t="inlineStr">
        <is>
          <t>SP-20-SS</t>
        </is>
      </c>
      <c r="I358" s="15" t="inlineStr">
        <is>
          <t>NO</t>
        </is>
      </c>
      <c r="J358" s="18" t="n">
        <v>23.99</v>
      </c>
      <c r="K358" s="14" t="n"/>
      <c r="L358" s="19" t="n"/>
      <c r="M358" s="20" t="n"/>
      <c r="N358" s="21" t="n"/>
      <c r="O358" s="22" t="n"/>
      <c r="P358" s="24" t="n"/>
    </row>
    <row r="359" ht="33" customHeight="1">
      <c r="A359" s="14" t="inlineStr">
        <is>
          <t>3109-04-20</t>
        </is>
      </c>
      <c r="B359" s="15" t="inlineStr">
        <is>
          <t>3109-04-20</t>
        </is>
      </c>
      <c r="C359" s="15" t="inlineStr">
        <is>
          <t>Legris</t>
        </is>
      </c>
      <c r="D359" s="15" t="inlineStr">
        <is>
          <t>5/32" Tube x #10-32 UNF Male Swivel 90 Connector (Pack of 10) - Price Check 6/14/23</t>
        </is>
      </c>
      <c r="E359" s="15" t="n">
        <v>10</v>
      </c>
      <c r="F359" s="17" t="inlineStr">
        <is>
          <t>pk</t>
        </is>
      </c>
      <c r="G359" s="15" t="inlineStr">
        <is>
          <t>Zoro</t>
        </is>
      </c>
      <c r="H359" s="15" t="inlineStr">
        <is>
          <t>G0457563</t>
        </is>
      </c>
      <c r="I359" s="15" t="inlineStr">
        <is>
          <t>NO</t>
        </is>
      </c>
      <c r="J359" s="18" t="n">
        <v>73.53</v>
      </c>
      <c r="K359" s="21" t="n">
        <v>45348</v>
      </c>
      <c r="L359" s="19" t="n">
        <v>0.116959064327485</v>
      </c>
      <c r="M359" s="20" t="n">
        <v>64.93000000000001</v>
      </c>
      <c r="N359" s="21" t="n"/>
      <c r="O359" s="22" t="inlineStr">
        <is>
          <t>, 2/14/2024, 64.93</t>
        </is>
      </c>
      <c r="P359" s="24" t="n"/>
    </row>
    <row r="360" ht="33" customHeight="1">
      <c r="A360" s="14">
        <f>"7010-04-20"</f>
        <v/>
      </c>
      <c r="B360" s="15" t="inlineStr">
        <is>
          <t>7620-04-20</t>
        </is>
      </c>
      <c r="C360" s="15" t="inlineStr">
        <is>
          <t>Legris</t>
        </is>
      </c>
      <c r="D360" s="15" t="inlineStr">
        <is>
          <t>5/32" Tube x #10-32 UNF Meter Out Flow Control Regulator - Price Check 6/14/23</t>
        </is>
      </c>
      <c r="E360" s="15" t="n"/>
      <c r="F360" s="17" t="n"/>
      <c r="G360" s="15" t="inlineStr">
        <is>
          <t>Zoro</t>
        </is>
      </c>
      <c r="H360" s="15" t="inlineStr">
        <is>
          <t>G0971013</t>
        </is>
      </c>
      <c r="I360" s="15" t="inlineStr">
        <is>
          <t>NO</t>
        </is>
      </c>
      <c r="J360" s="18" t="n">
        <v>26.59</v>
      </c>
      <c r="K360" s="21" t="n">
        <v>45348</v>
      </c>
      <c r="L360" s="19" t="n"/>
      <c r="M360" s="20" t="n"/>
      <c r="N360" s="21" t="n"/>
      <c r="O360" s="22" t="n"/>
      <c r="P360" s="24" t="n"/>
    </row>
    <row r="361" ht="33" customHeight="1">
      <c r="A361" s="14" t="inlineStr">
        <is>
          <t>3175-56-14</t>
        </is>
      </c>
      <c r="B361" s="15" t="inlineStr">
        <is>
          <t>3175-56-14</t>
        </is>
      </c>
      <c r="C361" s="15" t="inlineStr">
        <is>
          <t>Legris</t>
        </is>
      </c>
      <c r="D361" s="15" t="inlineStr">
        <is>
          <t>1/4" Tube x 1/4" NPT Male Straight Connector (Pack of 10) - Price Check 6/14/23</t>
        </is>
      </c>
      <c r="E361" s="15" t="n">
        <v>10</v>
      </c>
      <c r="F361" s="17" t="inlineStr">
        <is>
          <t>pk</t>
        </is>
      </c>
      <c r="G361" s="15" t="inlineStr">
        <is>
          <t>Zoro</t>
        </is>
      </c>
      <c r="H361" s="15" t="inlineStr">
        <is>
          <t>G1429461</t>
        </is>
      </c>
      <c r="I361" s="15" t="inlineStr">
        <is>
          <t>NO</t>
        </is>
      </c>
      <c r="J361" s="18" t="n">
        <v>47.49</v>
      </c>
      <c r="K361" s="21" t="n">
        <v>45348</v>
      </c>
      <c r="L361" s="19" t="n">
        <v>0.139122091628688</v>
      </c>
      <c r="M361" s="20" t="n">
        <v>45.85</v>
      </c>
      <c r="N361" s="21" t="n">
        <v>45343</v>
      </c>
      <c r="O361" s="22" t="inlineStr">
        <is>
          <t>, 2/14/2024, 36.33</t>
        </is>
      </c>
      <c r="P361" s="24" t="n"/>
    </row>
    <row r="362" ht="33" customHeight="1">
      <c r="A362" s="14" t="inlineStr">
        <is>
          <t>3175-60-14</t>
        </is>
      </c>
      <c r="B362" s="15" t="inlineStr">
        <is>
          <t>3175-60-14</t>
        </is>
      </c>
      <c r="C362" s="15" t="inlineStr">
        <is>
          <t>Legris</t>
        </is>
      </c>
      <c r="D362" s="15" t="inlineStr">
        <is>
          <t>3/8" Tube x 1/4" NPT Male Straight Connector (Pack of 10) - Price Check 6/14/23</t>
        </is>
      </c>
      <c r="E362" s="15" t="n">
        <v>10</v>
      </c>
      <c r="F362" s="17" t="inlineStr">
        <is>
          <t>pk</t>
        </is>
      </c>
      <c r="G362" s="15" t="inlineStr">
        <is>
          <t>Zoro</t>
        </is>
      </c>
      <c r="H362" s="15" t="inlineStr">
        <is>
          <t>G1297037</t>
        </is>
      </c>
      <c r="I362" s="15" t="inlineStr">
        <is>
          <t>NO</t>
        </is>
      </c>
      <c r="J362" s="18" t="n">
        <v>58.05</v>
      </c>
      <c r="K362" s="21" t="n">
        <v>45414</v>
      </c>
      <c r="L362" s="19" t="n">
        <v>0</v>
      </c>
      <c r="M362" s="20" t="n">
        <v>55.15</v>
      </c>
      <c r="N362" s="21" t="n">
        <v>45343</v>
      </c>
      <c r="O362" s="22" t="inlineStr">
        <is>
          <t>, 2/14/2024, 49.98, 2/26/2024, 58.05</t>
        </is>
      </c>
      <c r="P362" s="24" t="n"/>
    </row>
    <row r="363" ht="33" customHeight="1">
      <c r="A363" s="14" t="inlineStr">
        <is>
          <t>3104-56-00</t>
        </is>
      </c>
      <c r="B363" s="15" t="inlineStr">
        <is>
          <t>3104-56-00</t>
        </is>
      </c>
      <c r="C363" s="15" t="inlineStr">
        <is>
          <t>Legris</t>
        </is>
      </c>
      <c r="D363" s="15" t="inlineStr">
        <is>
          <t>1/4" x 1/4" Tube Union Tee (Pack of 10) - Price Check 6/14/23</t>
        </is>
      </c>
      <c r="E363" s="15" t="n">
        <v>10</v>
      </c>
      <c r="F363" s="17" t="inlineStr">
        <is>
          <t>pk</t>
        </is>
      </c>
      <c r="G363" s="15" t="inlineStr">
        <is>
          <t>Zoro</t>
        </is>
      </c>
      <c r="H363" s="15" t="inlineStr">
        <is>
          <t>G2393544</t>
        </is>
      </c>
      <c r="I363" s="15" t="inlineStr">
        <is>
          <t>NO</t>
        </is>
      </c>
      <c r="J363" s="18" t="n">
        <v>54.65</v>
      </c>
      <c r="K363" s="21" t="n">
        <v>45348</v>
      </c>
      <c r="L363" s="19" t="n">
        <v>0.209338349192299</v>
      </c>
      <c r="M363" s="20" t="n">
        <v>49.69</v>
      </c>
      <c r="N363" s="21" t="n">
        <v>45343</v>
      </c>
      <c r="O363" s="22" t="inlineStr">
        <is>
          <t>, 2/14/2024, 45.33</t>
        </is>
      </c>
      <c r="P363" s="24" t="n"/>
    </row>
    <row r="364" ht="33" customHeight="1">
      <c r="A364" s="14" t="inlineStr">
        <is>
          <t>1A327</t>
        </is>
      </c>
      <c r="B364" s="15" t="inlineStr">
        <is>
          <t>1A327</t>
        </is>
      </c>
      <c r="C364" s="15" t="inlineStr">
        <is>
          <t>SpeedAire</t>
        </is>
      </c>
      <c r="D364" s="15" t="inlineStr">
        <is>
          <t>3/8" NPT Exhaust Silencer 6/14/23</t>
        </is>
      </c>
      <c r="E364" s="15" t="n">
        <v>1</v>
      </c>
      <c r="F364" s="17" t="inlineStr">
        <is>
          <t>each</t>
        </is>
      </c>
      <c r="G364" s="15" t="inlineStr">
        <is>
          <t>Zoro</t>
        </is>
      </c>
      <c r="H364" s="50" t="inlineStr">
        <is>
          <t>G0628704</t>
        </is>
      </c>
      <c r="I364" s="15" t="inlineStr">
        <is>
          <t>NO</t>
        </is>
      </c>
      <c r="J364" s="18" t="n">
        <v>3.29</v>
      </c>
      <c r="K364" s="21" t="n">
        <v>45348</v>
      </c>
      <c r="L364" s="19" t="n">
        <v>0.0444444444444445</v>
      </c>
      <c r="M364" s="20" t="n">
        <v>3.15</v>
      </c>
      <c r="N364" s="21" t="n">
        <v>45343</v>
      </c>
      <c r="O364" s="22" t="inlineStr">
        <is>
          <t>, 2/21/2024, 3.15</t>
        </is>
      </c>
      <c r="P364" s="24" t="n"/>
    </row>
    <row r="365" ht="33" customHeight="1">
      <c r="A365" s="14" t="inlineStr">
        <is>
          <t>6F600</t>
        </is>
      </c>
      <c r="B365" s="15" t="inlineStr">
        <is>
          <t>6F600</t>
        </is>
      </c>
      <c r="C365" s="15" t="inlineStr">
        <is>
          <t>SpeedAire</t>
        </is>
      </c>
      <c r="D365" s="15" t="inlineStr">
        <is>
          <t>3/4" NPT Exhaust Silencer 6/14/23</t>
        </is>
      </c>
      <c r="E365" s="15" t="n">
        <v>1</v>
      </c>
      <c r="F365" s="17" t="inlineStr">
        <is>
          <t>each</t>
        </is>
      </c>
      <c r="G365" s="15" t="inlineStr">
        <is>
          <t>Zoro</t>
        </is>
      </c>
      <c r="H365" s="15" t="inlineStr">
        <is>
          <t>G1483194</t>
        </is>
      </c>
      <c r="I365" s="15" t="inlineStr">
        <is>
          <t>NO</t>
        </is>
      </c>
      <c r="J365" s="18" t="n">
        <v>6.59</v>
      </c>
      <c r="K365" s="21" t="n">
        <v>45348</v>
      </c>
      <c r="L365" s="19" t="n">
        <v>0.00303490136570555</v>
      </c>
      <c r="M365" s="20" t="n">
        <v>6.57</v>
      </c>
      <c r="N365" s="21" t="n"/>
      <c r="O365" s="22" t="inlineStr">
        <is>
          <t>, 2/14/2024, 6.57</t>
        </is>
      </c>
      <c r="P365" s="24" t="n"/>
    </row>
    <row r="366" ht="33" customHeight="1">
      <c r="A366" s="14" t="inlineStr">
        <is>
          <t>N04M/532ANA</t>
        </is>
      </c>
      <c r="B366" s="15" t="inlineStr">
        <is>
          <t>N04M/532ANA</t>
        </is>
      </c>
      <c r="C366" s="15" t="inlineStr">
        <is>
          <t>Advanced Technology Products</t>
        </is>
      </c>
      <c r="D366" s="15" t="inlineStr">
        <is>
          <t>5/32 inch O.D. 100 ft Nylon 12 tubing - Natural</t>
        </is>
      </c>
      <c r="E366" s="15" t="n"/>
      <c r="F366" s="17" t="n"/>
      <c r="G366" s="15" t="inlineStr">
        <is>
          <t>Advanced Technology Products</t>
        </is>
      </c>
      <c r="H366" s="15" t="inlineStr">
        <is>
          <t>N38ANA</t>
        </is>
      </c>
      <c r="I366" s="15" t="inlineStr">
        <is>
          <t>NO</t>
        </is>
      </c>
      <c r="J366" s="18" t="n">
        <v>25.93</v>
      </c>
      <c r="K366" s="14" t="n"/>
      <c r="L366" s="19" t="n"/>
      <c r="M366" s="20" t="n"/>
      <c r="N366" s="21" t="n"/>
      <c r="O366" s="22" t="n"/>
      <c r="P366" s="24" t="n"/>
    </row>
    <row r="367" ht="33" customHeight="1">
      <c r="A367" s="14" t="inlineStr">
        <is>
          <t>S6G9XXCKK5NN</t>
        </is>
      </c>
      <c r="B367" s="15" t="inlineStr">
        <is>
          <t>S6G9XXCKK5NN</t>
        </is>
      </c>
      <c r="C367" s="15" t="inlineStr">
        <is>
          <t>Intralox</t>
        </is>
      </c>
      <c r="D367" s="15" t="inlineStr">
        <is>
          <t>SERIES 1000 4.6" (24T) GREY GLASS FILLED NYLON SPLIT SPROCKET WITH 1-1/4" ROUND BORE</t>
        </is>
      </c>
      <c r="E367" s="15" t="n">
        <v>1</v>
      </c>
      <c r="F367" s="17" t="inlineStr">
        <is>
          <t>each</t>
        </is>
      </c>
      <c r="G367" s="15" t="inlineStr">
        <is>
          <t>Intralox</t>
        </is>
      </c>
      <c r="H367" s="15" t="inlineStr">
        <is>
          <t>S6G9XXCKK5NN</t>
        </is>
      </c>
      <c r="I367" s="15" t="inlineStr">
        <is>
          <t>NO</t>
        </is>
      </c>
      <c r="J367" s="18" t="n">
        <v>44.86</v>
      </c>
      <c r="K367" s="21" t="n">
        <v>45447</v>
      </c>
      <c r="L367" s="19" t="n">
        <v>0.0298438934802571</v>
      </c>
      <c r="M367" s="31" t="n">
        <v>43.56</v>
      </c>
      <c r="N367" s="21" t="n"/>
      <c r="O367" s="22" t="inlineStr">
        <is>
          <t>, 6/4/2024, 44.86</t>
        </is>
      </c>
      <c r="P367" s="24" t="n"/>
    </row>
    <row r="368" ht="33" customHeight="1">
      <c r="A368" s="14" t="inlineStr">
        <is>
          <t>S6G9XXCVK5NN</t>
        </is>
      </c>
      <c r="B368" s="15" t="inlineStr">
        <is>
          <t>S6G9XXCVK5NN</t>
        </is>
      </c>
      <c r="C368" s="15" t="inlineStr">
        <is>
          <t>Intralox</t>
        </is>
      </c>
      <c r="D368" s="15" t="inlineStr">
        <is>
          <t>SERIES 1000 6.1" (32T) GREY GLASS FILLED NYLON SPLIT SPROCKET WITH 1-1/4" ROUND BORE - 1/13/23</t>
        </is>
      </c>
      <c r="E368" s="15" t="n">
        <v>1</v>
      </c>
      <c r="F368" s="17" t="inlineStr">
        <is>
          <t>each</t>
        </is>
      </c>
      <c r="G368" s="15" t="inlineStr">
        <is>
          <t>Intralox</t>
        </is>
      </c>
      <c r="H368" s="15" t="inlineStr">
        <is>
          <t>S6G9XXCVK5NN</t>
        </is>
      </c>
      <c r="I368" s="15" t="inlineStr">
        <is>
          <t>NO</t>
        </is>
      </c>
      <c r="J368" s="18" t="n">
        <v>62.98</v>
      </c>
      <c r="K368" s="14" t="n"/>
      <c r="L368" s="19" t="n"/>
      <c r="M368" s="20" t="n"/>
      <c r="N368" s="21" t="n"/>
      <c r="O368" s="22" t="n"/>
      <c r="P368" s="24" t="n"/>
    </row>
    <row r="369" ht="33" customHeight="1">
      <c r="A369" s="14" t="inlineStr">
        <is>
          <t>HP882TAB-6IN</t>
        </is>
      </c>
      <c r="B369" s="15" t="n">
        <v>81400088</v>
      </c>
      <c r="C369" s="15" t="inlineStr">
        <is>
          <t>Rexnord</t>
        </is>
      </c>
      <c r="D369" s="15" t="inlineStr">
        <is>
          <t>Rexnord High Performance 882 TAB-K750 -  Price Checked: 12/21/22</t>
        </is>
      </c>
      <c r="E369" s="15" t="n">
        <v>1</v>
      </c>
      <c r="F369" s="17" t="inlineStr">
        <is>
          <t>ft</t>
        </is>
      </c>
      <c r="G369" s="15" t="inlineStr">
        <is>
          <t>Rexnord</t>
        </is>
      </c>
      <c r="H369" s="15" t="n">
        <v>81400088</v>
      </c>
      <c r="I369" s="15" t="inlineStr">
        <is>
          <t>NO</t>
        </is>
      </c>
      <c r="J369" s="18" t="n">
        <v>42.94</v>
      </c>
      <c r="K369" s="14" t="n"/>
      <c r="L369" s="19" t="n"/>
      <c r="M369" s="20" t="n"/>
      <c r="N369" s="21" t="n"/>
      <c r="O369" s="22" t="n"/>
      <c r="P369" s="24" t="n"/>
    </row>
    <row r="370" ht="33" customHeight="1">
      <c r="A370" s="14" t="inlineStr">
        <is>
          <t>S3F5XXCNK5NG</t>
        </is>
      </c>
      <c r="B370" s="15" t="inlineStr">
        <is>
          <t>S3F5XXCNK5NG</t>
        </is>
      </c>
      <c r="C370" s="15" t="inlineStr">
        <is>
          <t>Intralox</t>
        </is>
      </c>
      <c r="D370" s="15" t="inlineStr">
        <is>
          <t>SERIES 2400 5.1" (16T) NATURAL ACETAL SPROCKET WITH 1 1/4" ROUND BORE  - 01.14.2021</t>
        </is>
      </c>
      <c r="E370" s="15" t="n">
        <v>1</v>
      </c>
      <c r="F370" s="17" t="inlineStr">
        <is>
          <t>each</t>
        </is>
      </c>
      <c r="G370" s="15" t="inlineStr">
        <is>
          <t>Intralox</t>
        </is>
      </c>
      <c r="H370" s="15" t="inlineStr">
        <is>
          <t>S3F5XXCNK5NG</t>
        </is>
      </c>
      <c r="I370" s="15" t="inlineStr">
        <is>
          <t>NO</t>
        </is>
      </c>
      <c r="J370" s="40" t="n">
        <v>26.19</v>
      </c>
      <c r="K370" s="14" t="n"/>
      <c r="L370" s="19" t="n"/>
      <c r="M370" s="20" t="n"/>
      <c r="N370" s="21" t="n"/>
      <c r="O370" s="22" t="n"/>
      <c r="P370" s="24" t="n"/>
    </row>
    <row r="371" ht="33" customHeight="1">
      <c r="A371" s="14" t="inlineStr">
        <is>
          <t>HP8505-12IN_MTW</t>
        </is>
      </c>
      <c r="B371" s="15" t="n">
        <v>81421211</v>
      </c>
      <c r="C371" s="15" t="inlineStr">
        <is>
          <t>Rexnord</t>
        </is>
      </c>
      <c r="D371" s="15" t="inlineStr">
        <is>
          <t>HP8505-12IN_MTW, Straight Running Mat Top Chain, 12 in Wide, Mold-to-Width - 03.29.21</t>
        </is>
      </c>
      <c r="E371" s="15" t="n">
        <v>1</v>
      </c>
      <c r="F371" s="17" t="inlineStr">
        <is>
          <t>ft</t>
        </is>
      </c>
      <c r="G371" s="15" t="inlineStr">
        <is>
          <t>Rexnord</t>
        </is>
      </c>
      <c r="H371" s="15" t="n">
        <v>81421211</v>
      </c>
      <c r="I371" s="15" t="inlineStr">
        <is>
          <t>NO</t>
        </is>
      </c>
      <c r="J371" s="18" t="n">
        <v>17.43</v>
      </c>
      <c r="K371" s="14" t="n"/>
      <c r="L371" s="19" t="n"/>
      <c r="M371" s="20" t="n"/>
      <c r="N371" s="21" t="n"/>
      <c r="O371" s="22" t="n"/>
      <c r="P371" s="24" t="n"/>
    </row>
    <row r="372" ht="33" customHeight="1">
      <c r="A372" s="14" t="inlineStr">
        <is>
          <t>HP8505-7.5IN_MTW</t>
        </is>
      </c>
      <c r="B372" s="15" t="n">
        <v>81418391</v>
      </c>
      <c r="C372" s="15" t="inlineStr">
        <is>
          <t>Rexnord</t>
        </is>
      </c>
      <c r="D372" s="15" t="inlineStr">
        <is>
          <t>HP8505-7.5IN_MTW, Straight Running Mat Top Chain, 7.5 in Wide, Mold-to-Width - 03.29.21</t>
        </is>
      </c>
      <c r="E372" s="15" t="n">
        <v>1</v>
      </c>
      <c r="F372" s="17" t="inlineStr">
        <is>
          <t>ft</t>
        </is>
      </c>
      <c r="G372" s="15" t="inlineStr">
        <is>
          <t>Rexnord</t>
        </is>
      </c>
      <c r="H372" s="15" t="n">
        <v>81418391</v>
      </c>
      <c r="I372" s="15" t="inlineStr">
        <is>
          <t>NO</t>
        </is>
      </c>
      <c r="J372" s="18" t="n">
        <v>15.77</v>
      </c>
      <c r="K372" s="14" t="n"/>
      <c r="L372" s="19" t="n"/>
      <c r="M372" s="20" t="n"/>
      <c r="N372" s="21" t="n"/>
      <c r="O372" s="22" t="n"/>
      <c r="P372" s="24" t="n"/>
    </row>
    <row r="373" ht="33" customHeight="1">
      <c r="A373" s="14" t="inlineStr">
        <is>
          <t>HP8505-4.5IN_MTW</t>
        </is>
      </c>
      <c r="B373" s="15" t="n">
        <v>81418291</v>
      </c>
      <c r="C373" s="15" t="inlineStr">
        <is>
          <t>Rexnord</t>
        </is>
      </c>
      <c r="D373" s="15" t="inlineStr">
        <is>
          <t>HP8505-4.5IN_MTW, Straight Running Mat Top Chain, 4.5 in Wide, Mold-to-Width - 03.29.21</t>
        </is>
      </c>
      <c r="E373" s="15" t="n">
        <v>1</v>
      </c>
      <c r="F373" s="17" t="inlineStr">
        <is>
          <t>ft</t>
        </is>
      </c>
      <c r="G373" s="15" t="inlineStr">
        <is>
          <t>Rexnord</t>
        </is>
      </c>
      <c r="H373" s="15" t="n">
        <v>81418291</v>
      </c>
      <c r="I373" s="15" t="inlineStr">
        <is>
          <t>NO</t>
        </is>
      </c>
      <c r="J373" s="18" t="n">
        <v>10.05</v>
      </c>
      <c r="K373" s="14" t="n"/>
      <c r="L373" s="19" t="n"/>
      <c r="M373" s="20" t="n"/>
      <c r="N373" s="21" t="n"/>
      <c r="O373" s="22" t="n"/>
      <c r="P373" s="24" t="n"/>
    </row>
    <row r="374" ht="33" customHeight="1">
      <c r="A374" s="14" t="inlineStr">
        <is>
          <t>SP-12-SS</t>
        </is>
      </c>
      <c r="B374" s="15" t="inlineStr">
        <is>
          <t>SP-12-SS</t>
        </is>
      </c>
      <c r="C374" s="15" t="inlineStr">
        <is>
          <t>Ruland Manufacturing</t>
        </is>
      </c>
      <c r="D374" s="15" t="inlineStr">
        <is>
          <t>3/4" Two-Piece Shaft Collar, 303 Stainless Steel, Clamp Style - Price Confirmed: 04.05.22</t>
        </is>
      </c>
      <c r="E374" s="15" t="n">
        <v>1</v>
      </c>
      <c r="F374" s="17" t="inlineStr">
        <is>
          <t>each</t>
        </is>
      </c>
      <c r="G374" s="15" t="inlineStr">
        <is>
          <t>Ruland Manufacturing</t>
        </is>
      </c>
      <c r="H374" s="15" t="inlineStr">
        <is>
          <t>SP-12-SS</t>
        </is>
      </c>
      <c r="I374" s="15" t="inlineStr">
        <is>
          <t>NO</t>
        </is>
      </c>
      <c r="J374" s="18" t="n">
        <v>11.14</v>
      </c>
      <c r="K374" s="14" t="n"/>
      <c r="L374" s="19" t="n"/>
      <c r="M374" s="20" t="n"/>
      <c r="N374" s="21" t="n"/>
      <c r="O374" s="22" t="n"/>
      <c r="P374" s="24" t="n"/>
    </row>
    <row r="375" ht="33" customHeight="1">
      <c r="A375" s="14" t="inlineStr">
        <is>
          <t>16770-SR</t>
        </is>
      </c>
      <c r="B375" s="15" t="inlineStr">
        <is>
          <t>16770-SR</t>
        </is>
      </c>
      <c r="C375" s="15" t="inlineStr">
        <is>
          <t>Solus</t>
        </is>
      </c>
      <c r="D375" s="15" t="inlineStr">
        <is>
          <t>Width: 3.35-in, Length: 1.95-in, Height: 0.79-in, w/ 3 Type SR rollers - 1EA  - Price Checked - 05.23.22</t>
        </is>
      </c>
      <c r="E375" s="15" t="n">
        <v>1</v>
      </c>
      <c r="F375" s="17" t="inlineStr">
        <is>
          <t>each</t>
        </is>
      </c>
      <c r="G375" s="15" t="inlineStr">
        <is>
          <t>Regal Beloit</t>
        </is>
      </c>
      <c r="H375" s="15" t="inlineStr">
        <is>
          <t>16770-SR</t>
        </is>
      </c>
      <c r="I375" s="15" t="inlineStr">
        <is>
          <t>NO</t>
        </is>
      </c>
      <c r="J375" s="18" t="n">
        <v>12.58</v>
      </c>
      <c r="K375" s="14" t="n"/>
      <c r="L375" s="19" t="n"/>
      <c r="M375" s="20" t="n"/>
      <c r="N375" s="21" t="n"/>
      <c r="O375" s="22" t="n"/>
      <c r="P375" s="24" t="n"/>
    </row>
    <row r="376" ht="33" customHeight="1">
      <c r="A376" s="14" t="inlineStr">
        <is>
          <t>6126K47</t>
        </is>
      </c>
      <c r="B376" s="15" t="inlineStr">
        <is>
          <t>6126K47</t>
        </is>
      </c>
      <c r="C376" s="15" t="inlineStr">
        <is>
          <t>McMaster-Carr</t>
        </is>
      </c>
      <c r="D376" s="15" t="inlineStr">
        <is>
          <t>Nylon Shaft Grommet for 9/16" Hole Diameter - Price Checked: 06.23.21</t>
        </is>
      </c>
      <c r="E376" s="15" t="n"/>
      <c r="F376" s="17" t="inlineStr">
        <is>
          <t>Each</t>
        </is>
      </c>
      <c r="G376" s="15" t="inlineStr">
        <is>
          <t>McMaster-Carr</t>
        </is>
      </c>
      <c r="H376" s="15" t="inlineStr">
        <is>
          <t>6126K47</t>
        </is>
      </c>
      <c r="I376" s="15" t="inlineStr">
        <is>
          <t>NO</t>
        </is>
      </c>
      <c r="J376" s="18" t="n">
        <v>4.99</v>
      </c>
      <c r="K376" s="21" t="n">
        <v>45348</v>
      </c>
      <c r="L376" s="19" t="n">
        <v>0</v>
      </c>
      <c r="M376" s="20" t="n">
        <v>4.99</v>
      </c>
      <c r="N376" s="21" t="n">
        <v>45336</v>
      </c>
      <c r="O376" s="22" t="inlineStr">
        <is>
          <t>, 2/15/2024, 4.99</t>
        </is>
      </c>
      <c r="P376" s="24" t="n"/>
    </row>
    <row r="377" ht="33" customHeight="1">
      <c r="A377" s="14" t="inlineStr">
        <is>
          <t>HP1505-24IN</t>
        </is>
      </c>
      <c r="B377" s="15" t="n">
        <v>10028885</v>
      </c>
      <c r="C377" s="15" t="inlineStr">
        <is>
          <t>Rexnord</t>
        </is>
      </c>
      <c r="D377" s="15" t="inlineStr">
        <is>
          <t>HP1505 - 24" Wide - Assembled-to-Width (Priced per Foot) - Price Confirmed: 7/11/22</t>
        </is>
      </c>
      <c r="E377" s="15" t="n"/>
      <c r="F377" s="17" t="n"/>
      <c r="G377" s="15" t="inlineStr">
        <is>
          <t>Rexnord</t>
        </is>
      </c>
      <c r="H377" s="15" t="n">
        <v>10028885</v>
      </c>
      <c r="I377" s="15" t="inlineStr">
        <is>
          <t>NO</t>
        </is>
      </c>
      <c r="J377" s="18" t="n">
        <v>50.07</v>
      </c>
      <c r="K377" s="14" t="n"/>
      <c r="L377" s="19" t="n"/>
      <c r="M377" s="20" t="n"/>
      <c r="N377" s="21" t="n"/>
      <c r="O377" s="22" t="n"/>
      <c r="P377" s="24" t="n"/>
    </row>
    <row r="378" ht="33" customHeight="1">
      <c r="A378" s="14" t="inlineStr">
        <is>
          <t>HP1506-24IN</t>
        </is>
      </c>
      <c r="B378" s="15" t="n">
        <v>10028904</v>
      </c>
      <c r="C378" s="15" t="inlineStr">
        <is>
          <t>Rexnord</t>
        </is>
      </c>
      <c r="D378" s="15" t="inlineStr">
        <is>
          <t>HP1506 - Perf. Top - 24" Wide - Assembled-to-Width (Priced per Foot) - Price Confirmed: 7/11/22</t>
        </is>
      </c>
      <c r="E378" s="15" t="n"/>
      <c r="F378" s="17" t="n"/>
      <c r="G378" s="15" t="inlineStr">
        <is>
          <t>Rexnord</t>
        </is>
      </c>
      <c r="H378" s="15" t="n">
        <v>10028904</v>
      </c>
      <c r="I378" s="15" t="inlineStr">
        <is>
          <t>NO</t>
        </is>
      </c>
      <c r="J378" s="18" t="n">
        <v>47.58</v>
      </c>
      <c r="K378" s="14" t="n"/>
      <c r="L378" s="19" t="n"/>
      <c r="M378" s="20" t="n"/>
      <c r="N378" s="21" t="n"/>
      <c r="O378" s="22" t="n"/>
      <c r="P378" s="24" t="n"/>
    </row>
    <row r="379" ht="33" customHeight="1">
      <c r="A379" s="14" t="inlineStr">
        <is>
          <t>9338T9</t>
        </is>
      </c>
      <c r="B379" s="15" t="inlineStr">
        <is>
          <t>9338T9</t>
        </is>
      </c>
      <c r="C379" s="15" t="inlineStr">
        <is>
          <t>McMaster-Carr</t>
        </is>
      </c>
      <c r="D379" s="15" t="inlineStr">
        <is>
          <t>Mounted Linear Ball Bearing Fixed Alignment for 3/4" Shaft Diameter - 07/11/22</t>
        </is>
      </c>
      <c r="E379" s="15" t="n">
        <v>1</v>
      </c>
      <c r="F379" s="17" t="inlineStr">
        <is>
          <t>each</t>
        </is>
      </c>
      <c r="G379" s="15" t="inlineStr">
        <is>
          <t>McMaster-Carr</t>
        </is>
      </c>
      <c r="H379" s="15" t="inlineStr">
        <is>
          <t>9338T9</t>
        </is>
      </c>
      <c r="I379" s="15" t="inlineStr">
        <is>
          <t>NO</t>
        </is>
      </c>
      <c r="J379" s="18" t="n">
        <v>138.4</v>
      </c>
      <c r="K379" s="21" t="n">
        <v>45348</v>
      </c>
      <c r="L379" s="19" t="n">
        <v>0</v>
      </c>
      <c r="M379" s="20" t="n">
        <v>138.4</v>
      </c>
      <c r="N379" s="21" t="n">
        <v>45336</v>
      </c>
      <c r="O379" s="22" t="inlineStr">
        <is>
          <t>, 2/15/2024, 138.4</t>
        </is>
      </c>
      <c r="P379" s="24" t="n"/>
    </row>
    <row r="380" ht="33" customHeight="1">
      <c r="A380" s="14" t="inlineStr">
        <is>
          <t>11245A84</t>
        </is>
      </c>
      <c r="B380" s="15" t="inlineStr">
        <is>
          <t>11245A84</t>
        </is>
      </c>
      <c r="C380" s="15" t="inlineStr">
        <is>
          <t>McMaster-Carr</t>
        </is>
      </c>
      <c r="D380" s="15" t="inlineStr">
        <is>
          <t>Threaded-Hole Oval Pull Handle Dull 303 Stainless Steel, 6" Center-to-Center Width, 1-1/2" Projection - 07/11/22</t>
        </is>
      </c>
      <c r="E380" s="15" t="n">
        <v>1</v>
      </c>
      <c r="F380" s="17" t="inlineStr">
        <is>
          <t>each</t>
        </is>
      </c>
      <c r="G380" s="15" t="inlineStr">
        <is>
          <t>McMaster-Carr</t>
        </is>
      </c>
      <c r="H380" s="15" t="inlineStr">
        <is>
          <t>11245A84</t>
        </is>
      </c>
      <c r="I380" s="15" t="inlineStr">
        <is>
          <t>NO</t>
        </is>
      </c>
      <c r="J380" s="18" t="n">
        <v>26.75</v>
      </c>
      <c r="K380" s="21" t="n">
        <v>45348</v>
      </c>
      <c r="L380" s="19" t="n">
        <v>0</v>
      </c>
      <c r="M380" s="20" t="n">
        <v>26.75</v>
      </c>
      <c r="N380" s="21" t="n"/>
      <c r="O380" s="22" t="inlineStr">
        <is>
          <t>, 2/15/2024, 26.75</t>
        </is>
      </c>
      <c r="P380" s="24" t="n"/>
    </row>
    <row r="381" ht="33" customHeight="1">
      <c r="A381" s="14" t="inlineStr">
        <is>
          <t>92320A396</t>
        </is>
      </c>
      <c r="B381" s="15" t="inlineStr">
        <is>
          <t>92320A396</t>
        </is>
      </c>
      <c r="C381" s="15" t="inlineStr">
        <is>
          <t>McMaster-Carr</t>
        </is>
      </c>
      <c r="D381" s="15" t="inlineStr">
        <is>
          <t>18-8 Stainless Steel Unthreaded Spacer 3/4" OD, 1/4" Long, for 3/8" Screw Size - 07/11/22</t>
        </is>
      </c>
      <c r="E381" s="15" t="n"/>
      <c r="F381" s="17" t="n"/>
      <c r="G381" s="15" t="inlineStr">
        <is>
          <t>McMaster-Carr</t>
        </is>
      </c>
      <c r="H381" s="15" t="inlineStr">
        <is>
          <t>92320A396</t>
        </is>
      </c>
      <c r="I381" s="15" t="inlineStr">
        <is>
          <t>NO</t>
        </is>
      </c>
      <c r="J381" s="18" t="n">
        <v>11.06</v>
      </c>
      <c r="K381" s="21" t="n">
        <v>45348</v>
      </c>
      <c r="L381" s="19" t="n">
        <v>0</v>
      </c>
      <c r="M381" s="20" t="n">
        <v>11.06</v>
      </c>
      <c r="N381" s="21" t="n"/>
      <c r="O381" s="22" t="inlineStr">
        <is>
          <t>, 2/19/2024, 11.06</t>
        </is>
      </c>
      <c r="P381" s="24" t="n"/>
    </row>
    <row r="382" ht="33" customHeight="1">
      <c r="A382" s="14" t="inlineStr">
        <is>
          <t>92240A382</t>
        </is>
      </c>
      <c r="B382" s="15" t="inlineStr">
        <is>
          <t>92240A382</t>
        </is>
      </c>
      <c r="C382" s="15" t="inlineStr">
        <is>
          <t>McMaster-Carr</t>
        </is>
      </c>
      <c r="D382" s="15" t="inlineStr">
        <is>
          <t>18-8 Stainless Steel Hex Head Screw 3/4"-16 Thread Size, 2" Long (Pack of 1) - 07/11/22</t>
        </is>
      </c>
      <c r="E382" s="15" t="n">
        <v>1</v>
      </c>
      <c r="F382" s="17" t="inlineStr">
        <is>
          <t>each</t>
        </is>
      </c>
      <c r="G382" s="15" t="inlineStr">
        <is>
          <t>McMaster-Carr</t>
        </is>
      </c>
      <c r="H382" s="15" t="inlineStr">
        <is>
          <t>92240A382</t>
        </is>
      </c>
      <c r="I382" s="15" t="inlineStr">
        <is>
          <t>NO</t>
        </is>
      </c>
      <c r="J382" s="18" t="n">
        <v>3.17</v>
      </c>
      <c r="K382" s="21" t="n">
        <v>45348</v>
      </c>
      <c r="L382" s="19" t="n">
        <v>0</v>
      </c>
      <c r="M382" s="20" t="n">
        <v>3.17</v>
      </c>
      <c r="N382" s="21" t="n">
        <v>45336</v>
      </c>
      <c r="O382" s="22" t="inlineStr">
        <is>
          <t>, 2/15/2024, 3.17</t>
        </is>
      </c>
      <c r="P382" s="24" t="n"/>
    </row>
    <row r="383" ht="33" customHeight="1">
      <c r="A383" s="14" t="inlineStr">
        <is>
          <t>92673A157</t>
        </is>
      </c>
      <c r="B383" s="15" t="inlineStr">
        <is>
          <t>92673A157</t>
        </is>
      </c>
      <c r="C383" s="15" t="inlineStr">
        <is>
          <t>McMaster-Carr</t>
        </is>
      </c>
      <c r="D383" s="15" t="inlineStr">
        <is>
          <t>18-8 Stainless Steel Hex Nut 3/4"-16 Thread Size, ASTM F594 (Pack of 5) - 07/11/22</t>
        </is>
      </c>
      <c r="E383" s="15" t="n">
        <v>5</v>
      </c>
      <c r="F383" s="17" t="inlineStr">
        <is>
          <t>pack</t>
        </is>
      </c>
      <c r="G383" s="15" t="inlineStr">
        <is>
          <t>McMaster-Carr</t>
        </is>
      </c>
      <c r="H383" s="15" t="inlineStr">
        <is>
          <t>92673A157</t>
        </is>
      </c>
      <c r="I383" s="15" t="inlineStr">
        <is>
          <t>NO</t>
        </is>
      </c>
      <c r="J383" s="18" t="n">
        <v>5.7</v>
      </c>
      <c r="K383" s="21" t="n">
        <v>45348</v>
      </c>
      <c r="L383" s="19" t="n">
        <v>0</v>
      </c>
      <c r="M383" s="20" t="n">
        <v>5.7</v>
      </c>
      <c r="N383" s="21" t="n">
        <v>45336</v>
      </c>
      <c r="O383" s="22" t="inlineStr">
        <is>
          <t>, 2/15/2024, 5.7</t>
        </is>
      </c>
      <c r="P383" s="24" t="n"/>
    </row>
    <row r="384" ht="33" customHeight="1">
      <c r="A384" s="14" t="inlineStr">
        <is>
          <t>TABLERETURNSHOE</t>
        </is>
      </c>
      <c r="B384" s="15" t="inlineStr">
        <is>
          <t>Table Return Shoe</t>
        </is>
      </c>
      <c r="C384" s="15" t="inlineStr">
        <is>
          <t>Advantage Conveyor</t>
        </is>
      </c>
      <c r="D384" s="15" t="inlineStr">
        <is>
          <t>Return Shoe for Accumulation Table, 1/4" Black Anti-Stat, Brake Rolled</t>
        </is>
      </c>
      <c r="E384" s="15" t="n">
        <v>1</v>
      </c>
      <c r="F384" s="17" t="inlineStr">
        <is>
          <t>each</t>
        </is>
      </c>
      <c r="G384" s="15" t="inlineStr">
        <is>
          <t>Advantage Conveyor</t>
        </is>
      </c>
      <c r="H384" s="15" t="inlineStr">
        <is>
          <t>Table Return Shoe</t>
        </is>
      </c>
      <c r="I384" s="15" t="inlineStr">
        <is>
          <t>NO</t>
        </is>
      </c>
      <c r="J384" s="18" t="n">
        <v>75</v>
      </c>
      <c r="K384" s="14" t="n"/>
      <c r="L384" s="19" t="n"/>
      <c r="M384" s="20" t="n"/>
      <c r="N384" s="21" t="n"/>
      <c r="O384" s="22" t="n"/>
      <c r="P384" s="24" t="n"/>
    </row>
    <row r="385" ht="33" customHeight="1">
      <c r="A385" s="14" t="inlineStr">
        <is>
          <t>A1210CH</t>
        </is>
      </c>
      <c r="B385" s="15" t="inlineStr">
        <is>
          <t>A1210CH</t>
        </is>
      </c>
      <c r="C385" s="15" t="inlineStr">
        <is>
          <t>Hoffman</t>
        </is>
      </c>
      <c r="D385" s="15" t="inlineStr">
        <is>
          <t>Electrical Enclosure, 12 inH x 10 inW x 5 inD, Gray Painted Carbon Steel, NEMA 12/13 - 4/11/23</t>
        </is>
      </c>
      <c r="E385" s="15" t="n">
        <v>1</v>
      </c>
      <c r="F385" s="17" t="inlineStr">
        <is>
          <t>each</t>
        </is>
      </c>
      <c r="G385" s="15" t="inlineStr">
        <is>
          <t>Grainger</t>
        </is>
      </c>
      <c r="H385" s="15" t="inlineStr">
        <is>
          <t>32FD87</t>
        </is>
      </c>
      <c r="I385" s="15" t="inlineStr">
        <is>
          <t>NO</t>
        </is>
      </c>
      <c r="J385" s="18" t="n">
        <v>235.98</v>
      </c>
      <c r="K385" s="21" t="n">
        <v>45413</v>
      </c>
      <c r="L385" s="19" t="n">
        <v>-0.06509026188660059</v>
      </c>
      <c r="M385" s="20" t="n">
        <v>251.34</v>
      </c>
      <c r="N385" s="21" t="n"/>
      <c r="O385" s="22" t="inlineStr">
        <is>
          <t>, 2/15/2024, 251.34, 2/26/2024, 235.98</t>
        </is>
      </c>
      <c r="P385" s="24" t="n"/>
    </row>
    <row r="386" ht="33" customHeight="1">
      <c r="A386" s="14" t="inlineStr">
        <is>
          <t>8961K84</t>
        </is>
      </c>
      <c r="B386" s="15" t="inlineStr">
        <is>
          <t>8961K84</t>
        </is>
      </c>
      <c r="C386" s="15" t="inlineStr">
        <is>
          <t>McMaster-Carr</t>
        </is>
      </c>
      <c r="D386" s="15" t="inlineStr">
        <is>
          <t>DIN 3 Rail, Zinc-Plated Steel, 2" Long - 4/11/23</t>
        </is>
      </c>
      <c r="E386" s="15" t="n">
        <v>1</v>
      </c>
      <c r="F386" s="17" t="inlineStr">
        <is>
          <t>each</t>
        </is>
      </c>
      <c r="G386" s="15" t="inlineStr">
        <is>
          <t>McMaster-Carr</t>
        </is>
      </c>
      <c r="H386" s="15" t="inlineStr">
        <is>
          <t>8961K84</t>
        </is>
      </c>
      <c r="I386" s="15" t="inlineStr">
        <is>
          <t>NO</t>
        </is>
      </c>
      <c r="J386" s="18" t="n">
        <v>3.9</v>
      </c>
      <c r="K386" s="21" t="n">
        <v>45348</v>
      </c>
      <c r="L386" s="19" t="n">
        <v>0</v>
      </c>
      <c r="M386" s="20" t="n">
        <v>3.9</v>
      </c>
      <c r="N386" s="21" t="n">
        <v>45348</v>
      </c>
      <c r="O386" s="22" t="inlineStr">
        <is>
          <t>, 2/26/2024, 3.9</t>
        </is>
      </c>
      <c r="P386" s="24" t="n"/>
    </row>
    <row r="387" ht="33" customHeight="1">
      <c r="A387" s="14" t="inlineStr">
        <is>
          <t>9473T144</t>
        </is>
      </c>
      <c r="B387" s="15" t="inlineStr">
        <is>
          <t>9473T144</t>
        </is>
      </c>
      <c r="C387" s="15" t="inlineStr">
        <is>
          <t>McMaster-Carr</t>
        </is>
      </c>
      <c r="D387" s="15" t="inlineStr">
        <is>
          <t>End Stop for Quick&amp;Secure Modular DIN-Rail Terminal Block - 4/11/23</t>
        </is>
      </c>
      <c r="E387" s="15" t="n">
        <v>1</v>
      </c>
      <c r="F387" s="17" t="inlineStr">
        <is>
          <t>Each</t>
        </is>
      </c>
      <c r="G387" s="15" t="inlineStr">
        <is>
          <t>McMaster-Carr</t>
        </is>
      </c>
      <c r="H387" s="15" t="inlineStr">
        <is>
          <t>9473T144</t>
        </is>
      </c>
      <c r="I387" s="15" t="inlineStr">
        <is>
          <t>NO</t>
        </is>
      </c>
      <c r="J387" s="18" t="n">
        <v>1.86</v>
      </c>
      <c r="K387" s="21" t="n">
        <v>45457</v>
      </c>
      <c r="L387" s="19" t="n">
        <v>0.0449438202247191</v>
      </c>
      <c r="M387" s="20" t="n">
        <v>1.78</v>
      </c>
      <c r="N387" s="21" t="n"/>
      <c r="O387" s="22" t="inlineStr">
        <is>
          <t>, 2/19/2024, 1.78, 2/26/2024, 1.78</t>
        </is>
      </c>
      <c r="P387" s="24" t="n"/>
    </row>
    <row r="388" ht="32.25" customHeight="1">
      <c r="A388" s="14" t="inlineStr">
        <is>
          <t>9473T186</t>
        </is>
      </c>
      <c r="B388" s="15" t="inlineStr">
        <is>
          <t>9473T186</t>
        </is>
      </c>
      <c r="C388" s="15" t="inlineStr">
        <is>
          <t>McMaster-Carr</t>
        </is>
      </c>
      <c r="D388" s="15" t="inlineStr">
        <is>
          <t>Quick&amp;Secure Modular DIN-Rail Terminal Block - Grounding (Green/Yellow) with 1 Circuit, 4.2mm Wide - 2 Terminals Per Circuit -4/11/23</t>
        </is>
      </c>
      <c r="E388" s="15" t="n">
        <v>1</v>
      </c>
      <c r="F388" s="17" t="inlineStr">
        <is>
          <t>each</t>
        </is>
      </c>
      <c r="G388" s="15" t="inlineStr">
        <is>
          <t>McMaster-Carr</t>
        </is>
      </c>
      <c r="H388" s="15" t="inlineStr">
        <is>
          <t>9473T186</t>
        </is>
      </c>
      <c r="I388" s="15" t="inlineStr">
        <is>
          <t>NO</t>
        </is>
      </c>
      <c r="J388" s="18" t="n">
        <v>8.050000000000001</v>
      </c>
      <c r="K388" s="21" t="n">
        <v>45348</v>
      </c>
      <c r="L388" s="19" t="n">
        <v>0</v>
      </c>
      <c r="M388" s="20" t="n">
        <v>8.050000000000001</v>
      </c>
      <c r="N388" s="21" t="n"/>
      <c r="O388" s="22" t="inlineStr">
        <is>
          <t>, 2/19/2024, 8.05</t>
        </is>
      </c>
      <c r="P388" s="24" t="n"/>
    </row>
    <row r="389" ht="32.25" customHeight="1">
      <c r="A389" s="14" t="inlineStr">
        <is>
          <t>9473T173</t>
        </is>
      </c>
      <c r="B389" s="15" t="inlineStr">
        <is>
          <t>9473T173</t>
        </is>
      </c>
      <c r="C389" s="15" t="inlineStr">
        <is>
          <t>McMaster-Carr</t>
        </is>
      </c>
      <c r="D389" s="15" t="inlineStr">
        <is>
          <t>Quick&amp;Secure Modular DIN-Rail Terminal Block 1 Circuit with 2 Terminals, 4.2mm Wide
SPECIFY COLOR CHOICE</t>
        </is>
      </c>
      <c r="E389" s="15" t="n">
        <v>1</v>
      </c>
      <c r="F389" s="17" t="inlineStr">
        <is>
          <t>Each</t>
        </is>
      </c>
      <c r="G389" s="15" t="inlineStr">
        <is>
          <t>McMaster-Carr</t>
        </is>
      </c>
      <c r="H389" s="15" t="inlineStr">
        <is>
          <t>9473T173</t>
        </is>
      </c>
      <c r="I389" s="15" t="inlineStr">
        <is>
          <t>NO</t>
        </is>
      </c>
      <c r="J389" s="18" t="n">
        <v>1.95</v>
      </c>
      <c r="K389" s="21" t="n">
        <v>45457</v>
      </c>
      <c r="L389" s="19" t="n">
        <v>0</v>
      </c>
      <c r="M389" s="20" t="n">
        <v>1.95</v>
      </c>
      <c r="N389" s="21" t="n"/>
      <c r="O389" s="22" t="inlineStr">
        <is>
          <t>, 2/19/2024, 1.95, 2/26/2024, 1.95, 6/14/2024, 1.95</t>
        </is>
      </c>
      <c r="P389" s="24" t="n"/>
    </row>
    <row r="390" ht="32.25" customHeight="1">
      <c r="A390" s="14" t="inlineStr">
        <is>
          <t>9473T173-BLACK</t>
        </is>
      </c>
      <c r="B390" s="15" t="inlineStr">
        <is>
          <t>9473T173</t>
        </is>
      </c>
      <c r="C390" s="15" t="inlineStr">
        <is>
          <t>McMaster-Carr</t>
        </is>
      </c>
      <c r="D390" s="15" t="inlineStr">
        <is>
          <t>Quick&amp;Secure Modular DIN-Rail Terminal Block 1 Circuit with 2 Terminals, 4.2mm Wide
SPECIFY BLACK COLOR</t>
        </is>
      </c>
      <c r="E390" s="15" t="n">
        <v>1</v>
      </c>
      <c r="F390" s="17" t="inlineStr">
        <is>
          <t>Each</t>
        </is>
      </c>
      <c r="G390" s="15" t="inlineStr">
        <is>
          <t>McMaster-Carr</t>
        </is>
      </c>
      <c r="H390" s="15" t="inlineStr">
        <is>
          <t>9473T173</t>
        </is>
      </c>
      <c r="I390" s="15" t="inlineStr">
        <is>
          <t>NO</t>
        </is>
      </c>
      <c r="J390" s="18" t="n">
        <v>1.95</v>
      </c>
      <c r="K390" s="21" t="n">
        <v>45457</v>
      </c>
      <c r="L390" s="19" t="n">
        <v>0</v>
      </c>
      <c r="M390" s="20" t="n">
        <v>1.95</v>
      </c>
      <c r="N390" s="21" t="n"/>
      <c r="O390" s="22" t="inlineStr">
        <is>
          <t>, 2/19/2024, 1.95, 2/26/2024, 1.95, 6/14/2024, 1.95</t>
        </is>
      </c>
      <c r="P390" s="24" t="n"/>
    </row>
    <row r="391" ht="32.25" customHeight="1">
      <c r="A391" s="14" t="inlineStr">
        <is>
          <t>9473T173-BLUE</t>
        </is>
      </c>
      <c r="B391" s="15" t="inlineStr">
        <is>
          <t>9473T173</t>
        </is>
      </c>
      <c r="C391" s="15" t="inlineStr">
        <is>
          <t>McMaster-Carr</t>
        </is>
      </c>
      <c r="D391" s="15" t="inlineStr">
        <is>
          <t>Quick&amp;Secure Modular DIN-Rail Terminal Block 1 Circuit with 2 Terminals, 4.2mm Wide
SPECIFY BLUE COLOR</t>
        </is>
      </c>
      <c r="E391" s="15" t="n">
        <v>1</v>
      </c>
      <c r="F391" s="17" t="inlineStr">
        <is>
          <t>Each</t>
        </is>
      </c>
      <c r="G391" s="15" t="inlineStr">
        <is>
          <t>McMaster-Carr</t>
        </is>
      </c>
      <c r="H391" s="15" t="inlineStr">
        <is>
          <t>9473T173</t>
        </is>
      </c>
      <c r="I391" s="15" t="inlineStr">
        <is>
          <t>NO</t>
        </is>
      </c>
      <c r="J391" s="18" t="n">
        <v>1.95</v>
      </c>
      <c r="K391" s="21" t="n">
        <v>45457</v>
      </c>
      <c r="L391" s="19" t="n">
        <v>0</v>
      </c>
      <c r="M391" s="20" t="n">
        <v>1.95</v>
      </c>
      <c r="N391" s="21" t="n"/>
      <c r="O391" s="22" t="inlineStr">
        <is>
          <t>, 2/19/2024, 1.95, 2/26/2024, 1.95, 6/14/2024, 1.95</t>
        </is>
      </c>
      <c r="P391" s="24" t="n"/>
    </row>
    <row r="392" ht="32.25" customHeight="1">
      <c r="A392" s="14" t="inlineStr">
        <is>
          <t>9473T173-GRAY</t>
        </is>
      </c>
      <c r="B392" s="15" t="inlineStr">
        <is>
          <t>9473T173</t>
        </is>
      </c>
      <c r="C392" s="15" t="inlineStr">
        <is>
          <t>McMaster-Carr</t>
        </is>
      </c>
      <c r="D392" s="15" t="inlineStr">
        <is>
          <t>Quick&amp;Secure Modular DIN-Rail Terminal Block 1 Circuit with 2 Terminals, 4.2mm Wide
SPECIFY GRAY COLOR</t>
        </is>
      </c>
      <c r="E392" s="15" t="n">
        <v>1</v>
      </c>
      <c r="F392" s="17" t="inlineStr">
        <is>
          <t>Each</t>
        </is>
      </c>
      <c r="G392" s="15" t="inlineStr">
        <is>
          <t>McMaster-Carr</t>
        </is>
      </c>
      <c r="H392" s="15" t="inlineStr">
        <is>
          <t>9473T173</t>
        </is>
      </c>
      <c r="I392" s="15" t="inlineStr">
        <is>
          <t>NO</t>
        </is>
      </c>
      <c r="J392" s="18" t="n">
        <v>1.95</v>
      </c>
      <c r="K392" s="21" t="n">
        <v>45457</v>
      </c>
      <c r="L392" s="19" t="n">
        <v>0</v>
      </c>
      <c r="M392" s="20" t="n">
        <v>1.95</v>
      </c>
      <c r="N392" s="21" t="n"/>
      <c r="O392" s="22" t="inlineStr">
        <is>
          <t>, 2/19/2024, 1.95, 2/26/2024, 1.95, 6/14/2024, 1.95</t>
        </is>
      </c>
      <c r="P392" s="24" t="n"/>
    </row>
    <row r="393" ht="32.25" customHeight="1">
      <c r="A393" s="14" t="inlineStr">
        <is>
          <t>9473T173-ORANGE</t>
        </is>
      </c>
      <c r="B393" s="15" t="inlineStr">
        <is>
          <t>9473T173</t>
        </is>
      </c>
      <c r="C393" s="15" t="inlineStr">
        <is>
          <t>McMaster-Carr</t>
        </is>
      </c>
      <c r="D393" s="15" t="inlineStr">
        <is>
          <t>Quick&amp;Secure Modular DIN-Rail Terminal Block 1 Circuit with 2 Terminals, 4.2mm Wide
SPECIFY ORANGE COLOR</t>
        </is>
      </c>
      <c r="E393" s="15" t="n">
        <v>1</v>
      </c>
      <c r="F393" s="17" t="inlineStr">
        <is>
          <t>Each</t>
        </is>
      </c>
      <c r="G393" s="15" t="inlineStr">
        <is>
          <t>McMaster-Carr</t>
        </is>
      </c>
      <c r="H393" s="15" t="inlineStr">
        <is>
          <t>9473T173</t>
        </is>
      </c>
      <c r="I393" s="15" t="inlineStr">
        <is>
          <t>NO</t>
        </is>
      </c>
      <c r="J393" s="18" t="n">
        <v>1.95</v>
      </c>
      <c r="K393" s="21" t="n">
        <v>45457</v>
      </c>
      <c r="L393" s="19" t="n">
        <v>0</v>
      </c>
      <c r="M393" s="20" t="n">
        <v>1.95</v>
      </c>
      <c r="N393" s="21" t="n"/>
      <c r="O393" s="22" t="inlineStr">
        <is>
          <t>, 2/19/2024, 1.95, 2/26/2024, 1.95, 6/14/2024, 1.95</t>
        </is>
      </c>
      <c r="P393" s="24" t="n"/>
    </row>
    <row r="394" ht="32.25" customHeight="1">
      <c r="A394" s="14" t="inlineStr">
        <is>
          <t>9473T173-RED</t>
        </is>
      </c>
      <c r="B394" s="15" t="inlineStr">
        <is>
          <t>9473T173</t>
        </is>
      </c>
      <c r="C394" s="15" t="inlineStr">
        <is>
          <t>McMaster-Carr</t>
        </is>
      </c>
      <c r="D394" s="15" t="inlineStr">
        <is>
          <t>Quick&amp;Secure Modular DIN-Rail Terminal Block 1 Circuit with 2 Terminals, 4.2mm Wide
SPECIFY RED COLOR</t>
        </is>
      </c>
      <c r="E394" s="15" t="n">
        <v>1</v>
      </c>
      <c r="F394" s="17" t="inlineStr">
        <is>
          <t>Each</t>
        </is>
      </c>
      <c r="G394" s="15" t="inlineStr">
        <is>
          <t>McMaster-Carr</t>
        </is>
      </c>
      <c r="H394" s="15" t="inlineStr">
        <is>
          <t>9473T173</t>
        </is>
      </c>
      <c r="I394" s="15" t="inlineStr">
        <is>
          <t>NO</t>
        </is>
      </c>
      <c r="J394" s="18" t="n">
        <v>1.95</v>
      </c>
      <c r="K394" s="21" t="n">
        <v>45457</v>
      </c>
      <c r="L394" s="19" t="n">
        <v>0</v>
      </c>
      <c r="M394" s="20" t="n">
        <v>1.95</v>
      </c>
      <c r="N394" s="21" t="n"/>
      <c r="O394" s="22" t="inlineStr">
        <is>
          <t>, 2/19/2024, 1.95, 2/26/2024, 1.95, 6/14/2024, 1.95</t>
        </is>
      </c>
      <c r="P394" s="24" t="n"/>
    </row>
    <row r="395" ht="32.25" customHeight="1">
      <c r="A395" s="14" t="inlineStr">
        <is>
          <t>9473T173-YELLOW</t>
        </is>
      </c>
      <c r="B395" s="15" t="inlineStr">
        <is>
          <t>9473T173</t>
        </is>
      </c>
      <c r="C395" s="15" t="inlineStr">
        <is>
          <t>McMaster-Carr</t>
        </is>
      </c>
      <c r="D395" s="15" t="inlineStr">
        <is>
          <t>Quick&amp;Secure Modular DIN-Rail Terminal Block 1 Circuit with 2 Terminals, 4.2mm Wide
SPECIFY YELLOW COLOR</t>
        </is>
      </c>
      <c r="E395" s="15" t="n">
        <v>1</v>
      </c>
      <c r="F395" s="17" t="inlineStr">
        <is>
          <t>Each</t>
        </is>
      </c>
      <c r="G395" s="15" t="inlineStr">
        <is>
          <t>McMaster-Carr</t>
        </is>
      </c>
      <c r="H395" s="15" t="inlineStr">
        <is>
          <t>9473T173</t>
        </is>
      </c>
      <c r="I395" s="15" t="inlineStr">
        <is>
          <t>NO</t>
        </is>
      </c>
      <c r="J395" s="18" t="n">
        <v>1.95</v>
      </c>
      <c r="K395" s="21" t="n">
        <v>45457</v>
      </c>
      <c r="L395" s="19" t="n">
        <v>0</v>
      </c>
      <c r="M395" s="20" t="n">
        <v>1.95</v>
      </c>
      <c r="N395" s="21" t="n"/>
      <c r="O395" s="22" t="inlineStr">
        <is>
          <t>, 2/19/2024, 1.95, 2/26/2024, 1.95, 6/14/2024, 1.95</t>
        </is>
      </c>
      <c r="P395" s="24" t="n"/>
    </row>
    <row r="396" ht="33" customHeight="1">
      <c r="A396" s="14" t="inlineStr">
        <is>
          <t>5203K922</t>
        </is>
      </c>
      <c r="B396" s="15" t="inlineStr">
        <is>
          <t>5203K922</t>
        </is>
      </c>
      <c r="C396" s="15" t="inlineStr">
        <is>
          <t>McMaster-Carr</t>
        </is>
      </c>
      <c r="D396" s="15" t="inlineStr">
        <is>
          <t>Push-to-Connect Tube Fitting for Air and Water 2 Outlet Manifold, 1/4 NPT Male x 1/4" Tube OD- Nickel-Plated Brass - 4/11/23</t>
        </is>
      </c>
      <c r="E396" s="15" t="n">
        <v>1</v>
      </c>
      <c r="F396" s="17" t="inlineStr">
        <is>
          <t>each</t>
        </is>
      </c>
      <c r="G396" s="15" t="inlineStr">
        <is>
          <t>McMaster-Carr</t>
        </is>
      </c>
      <c r="H396" s="15" t="inlineStr">
        <is>
          <t>5203K922</t>
        </is>
      </c>
      <c r="I396" s="15" t="inlineStr">
        <is>
          <t>NO</t>
        </is>
      </c>
      <c r="J396" s="18" t="n">
        <v>10.26</v>
      </c>
      <c r="K396" s="21" t="n">
        <v>45348</v>
      </c>
      <c r="L396" s="19" t="n">
        <v>0</v>
      </c>
      <c r="M396" s="20" t="n">
        <v>10.26</v>
      </c>
      <c r="N396" s="21" t="n"/>
      <c r="O396" s="22" t="inlineStr">
        <is>
          <t>, 2/15/2024, 10.26</t>
        </is>
      </c>
      <c r="P396" s="24" t="n"/>
    </row>
    <row r="397" ht="33" customHeight="1">
      <c r="A397" s="14" t="inlineStr">
        <is>
          <t>5203K933</t>
        </is>
      </c>
      <c r="B397" s="15" t="inlineStr">
        <is>
          <t>5203K933</t>
        </is>
      </c>
      <c r="C397" s="15" t="inlineStr">
        <is>
          <t>McMaster-Carr</t>
        </is>
      </c>
      <c r="D397" s="15" t="inlineStr">
        <is>
          <t>Push-to-Connect Tube Fitting for Air and Water 3 Outlet Manifold, 1/4 NPT Male x 1/4" Tube OD - Nickel-Plated Brass - 4/11/23</t>
        </is>
      </c>
      <c r="E397" s="15" t="n">
        <v>1</v>
      </c>
      <c r="F397" s="17" t="inlineStr">
        <is>
          <t>each</t>
        </is>
      </c>
      <c r="G397" s="15" t="inlineStr">
        <is>
          <t>McMaster-Carr</t>
        </is>
      </c>
      <c r="H397" s="15" t="inlineStr">
        <is>
          <t>5203K933</t>
        </is>
      </c>
      <c r="I397" s="15" t="inlineStr">
        <is>
          <t>NO</t>
        </is>
      </c>
      <c r="J397" s="18" t="n">
        <v>13.91</v>
      </c>
      <c r="K397" s="21" t="n">
        <v>45348</v>
      </c>
      <c r="L397" s="19" t="n">
        <v>0</v>
      </c>
      <c r="M397" s="20" t="n">
        <v>13.91</v>
      </c>
      <c r="N397" s="21" t="n"/>
      <c r="O397" s="22" t="inlineStr">
        <is>
          <t>, 2/15/2024, 13.91</t>
        </is>
      </c>
      <c r="P397" s="24" t="n"/>
    </row>
    <row r="398" ht="33" customHeight="1">
      <c r="A398" s="43" t="inlineStr">
        <is>
          <t>4208K152</t>
        </is>
      </c>
      <c r="B398" s="15" t="inlineStr">
        <is>
          <t>4208K152</t>
        </is>
      </c>
      <c r="C398" s="15" t="inlineStr">
        <is>
          <t>McMaster-Carr</t>
        </is>
      </c>
      <c r="D398" s="15" t="inlineStr">
        <is>
          <t>Round Face Compact Tie Rod Air Cylinder, Double Acting, 1-1/16" Bore Size, 2" Diameter, 1-1/2" Stroke - 4/11/23</t>
        </is>
      </c>
      <c r="E398" s="15" t="n">
        <v>1</v>
      </c>
      <c r="F398" s="17" t="inlineStr">
        <is>
          <t>each</t>
        </is>
      </c>
      <c r="G398" s="15" t="inlineStr">
        <is>
          <t>McMaster-Carr</t>
        </is>
      </c>
      <c r="H398" s="15" t="inlineStr">
        <is>
          <t>4208K152</t>
        </is>
      </c>
      <c r="I398" s="15" t="inlineStr">
        <is>
          <t>NO</t>
        </is>
      </c>
      <c r="J398" s="18" t="n">
        <v>88.12</v>
      </c>
      <c r="K398" s="21" t="n">
        <v>45348</v>
      </c>
      <c r="L398" s="19" t="n">
        <v>0</v>
      </c>
      <c r="M398" s="20" t="n">
        <v>88.12</v>
      </c>
      <c r="N398" s="21" t="n"/>
      <c r="O398" s="22" t="inlineStr">
        <is>
          <t>, 2/15/2024, 88.12</t>
        </is>
      </c>
      <c r="P398" s="24" t="n"/>
    </row>
    <row r="399" ht="33" customHeight="1">
      <c r="A399" s="51" t="inlineStr">
        <is>
          <t>4749T11</t>
        </is>
      </c>
      <c r="B399" s="15" t="inlineStr">
        <is>
          <t>4749T11</t>
        </is>
      </c>
      <c r="C399" s="15" t="inlineStr">
        <is>
          <t>McMaster-Carr</t>
        </is>
      </c>
      <c r="D399" s="15" t="inlineStr">
        <is>
          <t>Externally Threaded Clevis Rod End 5/16"-24 Thread, 1/4" ID, 2-1/4" Shank Center Length - RIGHT HAND THREAD - 4/11/23</t>
        </is>
      </c>
      <c r="E399" s="15" t="n">
        <v>1</v>
      </c>
      <c r="F399" s="17" t="inlineStr">
        <is>
          <t>each</t>
        </is>
      </c>
      <c r="G399" s="15" t="inlineStr">
        <is>
          <t>McMaster-Carr</t>
        </is>
      </c>
      <c r="H399" s="15" t="inlineStr">
        <is>
          <t>4749T11</t>
        </is>
      </c>
      <c r="I399" s="15" t="inlineStr">
        <is>
          <t>NO</t>
        </is>
      </c>
      <c r="J399" s="18" t="n">
        <v>7.02</v>
      </c>
      <c r="K399" s="21" t="n">
        <v>45348</v>
      </c>
      <c r="L399" s="19" t="n">
        <v>0</v>
      </c>
      <c r="M399" s="20" t="n">
        <v>7.02</v>
      </c>
      <c r="N399" s="21" t="n"/>
      <c r="O399" s="22" t="inlineStr">
        <is>
          <t>, 2/15/2024, 7.02</t>
        </is>
      </c>
      <c r="P399" s="24" t="n"/>
    </row>
    <row r="400" ht="33" customHeight="1">
      <c r="A400" s="43" t="inlineStr">
        <is>
          <t>90298A722</t>
        </is>
      </c>
      <c r="B400" s="15" t="inlineStr">
        <is>
          <t>90298A722</t>
        </is>
      </c>
      <c r="C400" s="15" t="inlineStr">
        <is>
          <t>McMaster-Carr</t>
        </is>
      </c>
      <c r="D400" s="15" t="inlineStr">
        <is>
          <t>18-8 Stainless Steel Shoulder Screw with Passivated Finish, 1/2" Shoulder Diameter, 2-1/2" Shoulder Length - 4/11/23</t>
        </is>
      </c>
      <c r="E400" s="15" t="n">
        <v>1</v>
      </c>
      <c r="F400" s="17" t="inlineStr">
        <is>
          <t>each</t>
        </is>
      </c>
      <c r="G400" s="15" t="inlineStr">
        <is>
          <t>McMaster-Carr</t>
        </is>
      </c>
      <c r="H400" s="15" t="inlineStr">
        <is>
          <t>90298A722</t>
        </is>
      </c>
      <c r="I400" s="15" t="inlineStr">
        <is>
          <t>YES</t>
        </is>
      </c>
      <c r="J400" s="18" t="n">
        <v>15.7</v>
      </c>
      <c r="K400" s="14" t="n"/>
      <c r="L400" s="19" t="n"/>
      <c r="M400" s="20" t="n"/>
      <c r="N400" s="21" t="n"/>
      <c r="O400" s="22" t="n"/>
      <c r="P400" s="24" t="n"/>
    </row>
    <row r="401" ht="33" customHeight="1">
      <c r="A401" s="43" t="inlineStr">
        <is>
          <t>91772A842</t>
        </is>
      </c>
      <c r="B401" s="15" t="inlineStr">
        <is>
          <t>91772A842</t>
        </is>
      </c>
      <c r="C401" s="15" t="inlineStr">
        <is>
          <t>McMaster-Carr</t>
        </is>
      </c>
      <c r="D401" s="15" t="inlineStr">
        <is>
          <t>Passivated 18-8 Stainless Steel Pan Head Phillips Screw 10-32 Thread, 3" Long - PACK OF 25 - 4/11/23</t>
        </is>
      </c>
      <c r="E401" s="15" t="n">
        <v>25</v>
      </c>
      <c r="F401" s="17" t="inlineStr">
        <is>
          <t>pack</t>
        </is>
      </c>
      <c r="G401" s="15" t="inlineStr">
        <is>
          <t>McMaster-Carr</t>
        </is>
      </c>
      <c r="H401" s="15" t="inlineStr">
        <is>
          <t>91772A842</t>
        </is>
      </c>
      <c r="I401" s="15" t="inlineStr">
        <is>
          <t>NO</t>
        </is>
      </c>
      <c r="J401" s="18" t="n">
        <v>12.94</v>
      </c>
      <c r="K401" s="21" t="n">
        <v>45348</v>
      </c>
      <c r="L401" s="19" t="n">
        <v>0</v>
      </c>
      <c r="M401" s="20" t="n">
        <v>12.94</v>
      </c>
      <c r="N401" s="21" t="n"/>
      <c r="O401" s="22" t="inlineStr">
        <is>
          <t>, 2/15/2024, 12.94</t>
        </is>
      </c>
      <c r="P401" s="24" t="n"/>
    </row>
    <row r="402" ht="33" customHeight="1">
      <c r="A402" s="43" t="inlineStr">
        <is>
          <t>92210A302</t>
        </is>
      </c>
      <c r="B402" s="15" t="inlineStr">
        <is>
          <t>92210A302</t>
        </is>
      </c>
      <c r="C402" s="15" t="inlineStr">
        <is>
          <t>McMaster-Carr</t>
        </is>
      </c>
      <c r="D402" s="15" t="inlineStr">
        <is>
          <t>18-8 Stainless Steel Hex Drive Flat Head Screw 82 Degree Countersink Angle, 10-32 Thread Size, 1/2" Long - PACK OF 100 - 4/11/23</t>
        </is>
      </c>
      <c r="E402" s="15" t="n">
        <v>100</v>
      </c>
      <c r="F402" s="17" t="inlineStr">
        <is>
          <t>pack</t>
        </is>
      </c>
      <c r="G402" s="15" t="inlineStr">
        <is>
          <t>McMaster-Carr</t>
        </is>
      </c>
      <c r="H402" s="15" t="inlineStr">
        <is>
          <t>92210A302</t>
        </is>
      </c>
      <c r="I402" s="15" t="inlineStr">
        <is>
          <t>NO</t>
        </is>
      </c>
      <c r="J402" s="18" t="n">
        <v>10.22</v>
      </c>
      <c r="K402" s="21" t="n">
        <v>45348</v>
      </c>
      <c r="L402" s="19" t="n">
        <v>0</v>
      </c>
      <c r="M402" s="20" t="n">
        <v>10.22</v>
      </c>
      <c r="N402" s="21" t="n">
        <v>45336</v>
      </c>
      <c r="O402" s="22" t="inlineStr">
        <is>
          <t>, 2/15/2024, 10.22</t>
        </is>
      </c>
      <c r="P402" s="24" t="n"/>
    </row>
    <row r="403" ht="33" customHeight="1">
      <c r="A403" s="43" t="inlineStr">
        <is>
          <t>92210A312</t>
        </is>
      </c>
      <c r="B403" s="15" t="inlineStr">
        <is>
          <t>92210A312</t>
        </is>
      </c>
      <c r="C403" s="15" t="inlineStr">
        <is>
          <t>McMaster-Carr</t>
        </is>
      </c>
      <c r="D403" s="15" t="inlineStr">
        <is>
          <t>18-8 Stainless Steel Hex Drive Flat Head Screw 82 Degree Countersink Angle, 10-32 Thread Size, 1-3/4" Long - PACK OF 25 - 4/11/23</t>
        </is>
      </c>
      <c r="E403" s="15" t="n">
        <v>25</v>
      </c>
      <c r="F403" s="17" t="inlineStr">
        <is>
          <t>pack</t>
        </is>
      </c>
      <c r="G403" s="15" t="inlineStr">
        <is>
          <t>McMaster-Carr</t>
        </is>
      </c>
      <c r="H403" s="15" t="inlineStr">
        <is>
          <t>92210A312</t>
        </is>
      </c>
      <c r="I403" s="15" t="inlineStr">
        <is>
          <t>NO</t>
        </is>
      </c>
      <c r="J403" s="18" t="n">
        <v>7.6</v>
      </c>
      <c r="K403" s="21" t="n">
        <v>45348</v>
      </c>
      <c r="L403" s="19" t="n">
        <v>0</v>
      </c>
      <c r="M403" s="20" t="n">
        <v>7.6</v>
      </c>
      <c r="N403" s="21" t="n"/>
      <c r="O403" s="22" t="inlineStr">
        <is>
          <t>, 2/15/2024, 7.6</t>
        </is>
      </c>
      <c r="P403" s="24" t="n"/>
    </row>
    <row r="404" ht="33" customHeight="1">
      <c r="A404" s="43" t="inlineStr">
        <is>
          <t>92210A585</t>
        </is>
      </c>
      <c r="B404" s="15" t="inlineStr">
        <is>
          <t>92210A585</t>
        </is>
      </c>
      <c r="C404" s="15" t="inlineStr">
        <is>
          <t>McMaster-Carr</t>
        </is>
      </c>
      <c r="D404" s="15" t="inlineStr">
        <is>
          <t>18-8 Stainless Steel Hex Drive Flat Head Screw 82 Degree Countersink Angle, 5/16"-18 Thread Size, 1-1/4" Long - PACK OF 10 - 4/11/23</t>
        </is>
      </c>
      <c r="E404" s="15" t="n">
        <v>10</v>
      </c>
      <c r="F404" s="17" t="inlineStr">
        <is>
          <t>pack</t>
        </is>
      </c>
      <c r="G404" s="15" t="inlineStr">
        <is>
          <t>McMaster-Carr</t>
        </is>
      </c>
      <c r="H404" s="15" t="inlineStr">
        <is>
          <t>92210A585</t>
        </is>
      </c>
      <c r="I404" s="15" t="inlineStr">
        <is>
          <t>NO</t>
        </is>
      </c>
      <c r="J404" s="18" t="n">
        <v>5.47</v>
      </c>
      <c r="K404" s="21" t="n">
        <v>45348</v>
      </c>
      <c r="L404" s="19" t="n">
        <v>0</v>
      </c>
      <c r="M404" s="20" t="n">
        <v>5.47</v>
      </c>
      <c r="N404" s="21" t="n">
        <v>45336</v>
      </c>
      <c r="O404" s="22" t="inlineStr">
        <is>
          <t>, 2/15/2024, 5.47</t>
        </is>
      </c>
      <c r="P404" s="24" t="n"/>
    </row>
    <row r="405" ht="33" customHeight="1">
      <c r="A405" s="43" t="inlineStr">
        <is>
          <t>92735A220</t>
        </is>
      </c>
      <c r="B405" s="15" t="inlineStr">
        <is>
          <t>92735A220</t>
        </is>
      </c>
      <c r="C405" s="15" t="inlineStr">
        <is>
          <t>McMaster-Carr</t>
        </is>
      </c>
      <c r="D405" s="15" t="inlineStr">
        <is>
          <t>Clevis Pin with Retaining Ring Groove 18-8 Stainless Steel, 1/4" Diameter, 5/8" Usable Length - PACK OF 5 - 4/11/23</t>
        </is>
      </c>
      <c r="E405" s="15" t="n">
        <v>5</v>
      </c>
      <c r="F405" s="17" t="inlineStr">
        <is>
          <t>pack</t>
        </is>
      </c>
      <c r="G405" s="15" t="inlineStr">
        <is>
          <t>McMaster-Carr</t>
        </is>
      </c>
      <c r="H405" s="15" t="inlineStr">
        <is>
          <t>92735A220</t>
        </is>
      </c>
      <c r="I405" s="15" t="inlineStr">
        <is>
          <t>NO</t>
        </is>
      </c>
      <c r="J405" s="18" t="n">
        <v>19.8</v>
      </c>
      <c r="K405" s="21" t="n">
        <v>45348</v>
      </c>
      <c r="L405" s="19" t="n">
        <v>0</v>
      </c>
      <c r="M405" s="20" t="n">
        <v>19.8</v>
      </c>
      <c r="N405" s="21" t="n"/>
      <c r="O405" s="22" t="inlineStr">
        <is>
          <t>, 2/15/2024, 19.8</t>
        </is>
      </c>
      <c r="P405" s="24" t="n"/>
    </row>
    <row r="406" ht="33" customHeight="1">
      <c r="A406" s="43" t="inlineStr">
        <is>
          <t>92949A540</t>
        </is>
      </c>
      <c r="B406" s="15" t="inlineStr">
        <is>
          <t>92949A540</t>
        </is>
      </c>
      <c r="C406" s="15" t="inlineStr">
        <is>
          <t>McMaster-Carr</t>
        </is>
      </c>
      <c r="D406" s="15" t="inlineStr">
        <is>
          <t>18-8 Stainless Steel Button Head Hex Drive Screw 1/4"-20 Thread Size, 3/4" Long - PACK OF 50 - 4/11/23</t>
        </is>
      </c>
      <c r="E406" s="15" t="n">
        <v>50</v>
      </c>
      <c r="F406" s="17" t="inlineStr">
        <is>
          <t>pack</t>
        </is>
      </c>
      <c r="G406" s="15" t="inlineStr">
        <is>
          <t>McMaster-Carr</t>
        </is>
      </c>
      <c r="H406" s="15" t="inlineStr">
        <is>
          <t>92949A540</t>
        </is>
      </c>
      <c r="I406" s="15" t="inlineStr">
        <is>
          <t>NO</t>
        </is>
      </c>
      <c r="J406" s="18" t="n">
        <v>8.949999999999999</v>
      </c>
      <c r="K406" s="21" t="n">
        <v>45348</v>
      </c>
      <c r="L406" s="19" t="n">
        <v>0</v>
      </c>
      <c r="M406" s="20" t="n">
        <v>8.949999999999999</v>
      </c>
      <c r="N406" s="21" t="n">
        <v>45336</v>
      </c>
      <c r="O406" s="22" t="inlineStr">
        <is>
          <t>, 2/15/2024, 8.95</t>
        </is>
      </c>
      <c r="P406" s="24" t="n"/>
    </row>
    <row r="407" ht="33" customHeight="1">
      <c r="A407" s="14" t="inlineStr">
        <is>
          <t>92949A269</t>
        </is>
      </c>
      <c r="B407" s="15" t="inlineStr">
        <is>
          <t>92949A269</t>
        </is>
      </c>
      <c r="C407" s="15" t="inlineStr">
        <is>
          <t>McMaster-Carr</t>
        </is>
      </c>
      <c r="D407" s="15" t="inlineStr">
        <is>
          <t>18-8 Stainless Steel Button Head Hex Drive Screw 10-32 Thread Size, 3/4" Long - PACK OF 100 - 4/11/23</t>
        </is>
      </c>
      <c r="E407" s="15" t="n">
        <v>100</v>
      </c>
      <c r="F407" s="17" t="inlineStr">
        <is>
          <t>pack</t>
        </is>
      </c>
      <c r="G407" s="15" t="inlineStr">
        <is>
          <t>McMaster-Carr</t>
        </is>
      </c>
      <c r="H407" s="15" t="inlineStr">
        <is>
          <t>92949A269</t>
        </is>
      </c>
      <c r="I407" s="15" t="inlineStr">
        <is>
          <t>NO</t>
        </is>
      </c>
      <c r="J407" s="18" t="n">
        <v>14.03</v>
      </c>
      <c r="K407" s="21" t="n">
        <v>45348</v>
      </c>
      <c r="L407" s="19" t="n">
        <v>0</v>
      </c>
      <c r="M407" s="20" t="n">
        <v>14.03</v>
      </c>
      <c r="N407" s="21" t="n"/>
      <c r="O407" s="22" t="inlineStr">
        <is>
          <t>, 2/15/2024, 14.03</t>
        </is>
      </c>
      <c r="P407" s="24" t="n"/>
    </row>
    <row r="408" ht="33" customHeight="1">
      <c r="A408" s="14" t="inlineStr">
        <is>
          <t>54802YF</t>
        </is>
      </c>
      <c r="B408" s="15" t="inlineStr">
        <is>
          <t>54802Y</t>
        </is>
      </c>
      <c r="C408" s="15" t="inlineStr">
        <is>
          <t>Movex</t>
        </is>
      </c>
      <c r="D408" s="15" t="inlineStr">
        <is>
          <t>880 Split Drive Sprocket, 12 Tooth, 5.79" P.D., 1.25" Round Bore w/ Keyway &amp; Set-Screw, Machined Nylon - 05.31.22</t>
        </is>
      </c>
      <c r="E408" s="15" t="n"/>
      <c r="F408" s="17" t="n"/>
      <c r="G408" s="15" t="inlineStr">
        <is>
          <t>Movex</t>
        </is>
      </c>
      <c r="H408" s="15" t="inlineStr">
        <is>
          <t>54802Y</t>
        </is>
      </c>
      <c r="I408" s="15" t="inlineStr">
        <is>
          <t>NO</t>
        </is>
      </c>
      <c r="J408" s="18" t="n">
        <v>55.06</v>
      </c>
      <c r="K408" s="14" t="n"/>
      <c r="L408" s="19" t="n"/>
      <c r="M408" s="20" t="n"/>
      <c r="N408" s="21" t="n"/>
      <c r="O408" s="22" t="n"/>
      <c r="P408" s="24" t="n"/>
    </row>
    <row r="409" ht="33" customHeight="1">
      <c r="A409" s="14" t="inlineStr">
        <is>
          <t>54852Y</t>
        </is>
      </c>
      <c r="B409" s="15" t="inlineStr">
        <is>
          <t>54852Y</t>
        </is>
      </c>
      <c r="C409" s="15" t="inlineStr">
        <is>
          <t>Movex</t>
        </is>
      </c>
      <c r="D409" s="15" t="inlineStr">
        <is>
          <t>880 Split Idler Sprocket, 12 Tooth, 5.79" P.D., 1.25" Round Idler Bore, Machined Nylon - 05.31.22</t>
        </is>
      </c>
      <c r="E409" s="15" t="n"/>
      <c r="F409" s="17" t="n"/>
      <c r="G409" s="15" t="inlineStr">
        <is>
          <t>Movex</t>
        </is>
      </c>
      <c r="H409" s="15" t="inlineStr">
        <is>
          <t>54852Y</t>
        </is>
      </c>
      <c r="I409" s="15" t="inlineStr">
        <is>
          <t>NO</t>
        </is>
      </c>
      <c r="J409" s="18" t="n">
        <v>49.62</v>
      </c>
      <c r="K409" s="14" t="n"/>
      <c r="L409" s="19" t="n"/>
      <c r="M409" s="20" t="n"/>
      <c r="N409" s="21" t="n"/>
      <c r="O409" s="22" t="n"/>
      <c r="P409" s="24" t="n"/>
    </row>
    <row r="410" ht="33" customHeight="1">
      <c r="A410" s="14" t="inlineStr">
        <is>
          <t>55452Y</t>
        </is>
      </c>
      <c r="B410" s="15" t="inlineStr">
        <is>
          <t>55452Y</t>
        </is>
      </c>
      <c r="C410" s="15" t="inlineStr">
        <is>
          <t>Movex</t>
        </is>
      </c>
      <c r="D410" s="15" t="inlineStr">
        <is>
          <t>882 Split Idler Sprocket, 12 Tooth, 5.79" P.D., 1.25" Round Idler Bore, Machined Nylon - 05.31.22</t>
        </is>
      </c>
      <c r="E410" s="15" t="n"/>
      <c r="F410" s="17" t="n"/>
      <c r="G410" s="15" t="inlineStr">
        <is>
          <t>Movex</t>
        </is>
      </c>
      <c r="H410" s="15" t="inlineStr">
        <is>
          <t>55452Y</t>
        </is>
      </c>
      <c r="I410" s="15" t="inlineStr">
        <is>
          <t>NO</t>
        </is>
      </c>
      <c r="J410" s="18" t="n">
        <v>54.93</v>
      </c>
      <c r="K410" s="14" t="n"/>
      <c r="L410" s="19" t="n"/>
      <c r="M410" s="20" t="n"/>
      <c r="N410" s="21" t="n"/>
      <c r="O410" s="22" t="n"/>
      <c r="P410" s="24" t="n"/>
    </row>
    <row r="411" ht="33" customHeight="1">
      <c r="A411" s="14" t="inlineStr">
        <is>
          <t>93115K112</t>
        </is>
      </c>
      <c r="B411" s="15" t="inlineStr">
        <is>
          <t>93115K112</t>
        </is>
      </c>
      <c r="C411" s="15" t="inlineStr">
        <is>
          <t>McMaster-Carr</t>
        </is>
      </c>
      <c r="D411" s="15" t="inlineStr">
        <is>
          <t>Load-Rated Threaded Bumper, Stainless Steel Base, 1/4"-20 Size, 1" OD, 1/2" High, 210 lbs. Maximum - 08/10/22</t>
        </is>
      </c>
      <c r="E411" s="15" t="n"/>
      <c r="F411" s="17" t="inlineStr">
        <is>
          <t>Each</t>
        </is>
      </c>
      <c r="G411" s="15" t="inlineStr">
        <is>
          <t>McMaster-Carr</t>
        </is>
      </c>
      <c r="H411" s="15" t="inlineStr">
        <is>
          <t>93115K112</t>
        </is>
      </c>
      <c r="I411" s="15" t="inlineStr">
        <is>
          <t>NO</t>
        </is>
      </c>
      <c r="J411" s="18" t="n">
        <v>9.4</v>
      </c>
      <c r="K411" s="21" t="n">
        <v>45348</v>
      </c>
      <c r="L411" s="19" t="n">
        <v>0</v>
      </c>
      <c r="M411" s="20" t="n">
        <v>9.4</v>
      </c>
      <c r="N411" s="21" t="n">
        <v>45336</v>
      </c>
      <c r="O411" s="22" t="inlineStr">
        <is>
          <t>, 2/15/2024, 9.4</t>
        </is>
      </c>
      <c r="P411" s="24" t="n"/>
    </row>
    <row r="412" ht="33" customHeight="1">
      <c r="A412" s="14" t="inlineStr">
        <is>
          <t>2500T618</t>
        </is>
      </c>
      <c r="B412" s="15" t="inlineStr">
        <is>
          <t>2500T618</t>
        </is>
      </c>
      <c r="C412" s="15" t="inlineStr">
        <is>
          <t>McMaster-Carr</t>
        </is>
      </c>
      <c r="D412" s="15" t="inlineStr">
        <is>
          <t>Wear-Resistant Sprocket for ANSI 40 Chain, 28 Teeth, for 1-1/2" Shaft Diameter - 09/12/23</t>
        </is>
      </c>
      <c r="E412" s="15" t="n"/>
      <c r="F412" s="17" t="inlineStr">
        <is>
          <t>Each</t>
        </is>
      </c>
      <c r="G412" s="15" t="inlineStr">
        <is>
          <t>McMaster-Carr</t>
        </is>
      </c>
      <c r="H412" s="15" t="inlineStr">
        <is>
          <t>2500T618</t>
        </is>
      </c>
      <c r="I412" s="15" t="inlineStr">
        <is>
          <t>NO</t>
        </is>
      </c>
      <c r="J412" s="18" t="n">
        <v>77.84999999999999</v>
      </c>
      <c r="K412" s="21" t="n">
        <v>45348</v>
      </c>
      <c r="L412" s="19" t="n">
        <v>0</v>
      </c>
      <c r="M412" s="20" t="n">
        <v>77.84999999999999</v>
      </c>
      <c r="N412" s="21" t="n"/>
      <c r="O412" s="22" t="inlineStr">
        <is>
          <t>, 2/15/2024, 77.85</t>
        </is>
      </c>
      <c r="P412" s="24" t="n"/>
    </row>
    <row r="413" ht="33" customHeight="1">
      <c r="A413" s="14" t="inlineStr">
        <is>
          <t>2705T45</t>
        </is>
      </c>
      <c r="B413" s="15" t="inlineStr">
        <is>
          <t>2705T45</t>
        </is>
      </c>
      <c r="C413" s="15" t="inlineStr">
        <is>
          <t>McMaster-Carr</t>
        </is>
      </c>
      <c r="D413" s="15" t="inlineStr">
        <is>
          <t>Light Duty Dry-Running Flanged Sleeve Bearing Acetal, for 1-1/4" Shaft Diameter - 10/04/23</t>
        </is>
      </c>
      <c r="E413" s="15" t="n"/>
      <c r="F413" s="17" t="inlineStr">
        <is>
          <t>Each</t>
        </is>
      </c>
      <c r="G413" s="15" t="inlineStr">
        <is>
          <t>McMaster-Carr</t>
        </is>
      </c>
      <c r="H413" s="15" t="inlineStr">
        <is>
          <t>2705T45</t>
        </is>
      </c>
      <c r="I413" s="15" t="inlineStr">
        <is>
          <t>NO</t>
        </is>
      </c>
      <c r="J413" s="18" t="n">
        <v>16</v>
      </c>
      <c r="K413" s="21" t="n">
        <v>45348</v>
      </c>
      <c r="L413" s="19" t="n">
        <v>0</v>
      </c>
      <c r="M413" s="20" t="n">
        <v>16</v>
      </c>
      <c r="N413" s="21" t="n"/>
      <c r="O413" s="22" t="inlineStr">
        <is>
          <t>, 2/15/2024, 16</t>
        </is>
      </c>
      <c r="P413" s="24" t="n"/>
    </row>
    <row r="414" ht="33" customHeight="1">
      <c r="A414" s="14" t="inlineStr">
        <is>
          <t>6280K834</t>
        </is>
      </c>
      <c r="B414" s="15" t="inlineStr">
        <is>
          <t>6280K834</t>
        </is>
      </c>
      <c r="C414" s="15" t="inlineStr">
        <is>
          <t>McMaster-Carr</t>
        </is>
      </c>
      <c r="D414" s="15" t="inlineStr">
        <is>
          <t>Roller Chain Sprocket for ANSI 40 Chain, 22 Teeth, for 1" Shaft Diameter - 09/12/23</t>
        </is>
      </c>
      <c r="E414" s="15" t="n"/>
      <c r="F414" s="17" t="inlineStr">
        <is>
          <t>Each</t>
        </is>
      </c>
      <c r="G414" s="15" t="inlineStr">
        <is>
          <t>McMaster-Carr</t>
        </is>
      </c>
      <c r="H414" s="15" t="inlineStr">
        <is>
          <t>6280K834</t>
        </is>
      </c>
      <c r="I414" s="15" t="inlineStr">
        <is>
          <t>NO</t>
        </is>
      </c>
      <c r="J414" s="18" t="n">
        <v>44.4</v>
      </c>
      <c r="K414" s="21" t="n">
        <v>45348</v>
      </c>
      <c r="L414" s="19" t="n">
        <v>0</v>
      </c>
      <c r="M414" s="20" t="n">
        <v>44.4</v>
      </c>
      <c r="N414" s="21" t="n"/>
      <c r="O414" s="22" t="inlineStr">
        <is>
          <t>, 2/15/2024, 44.4</t>
        </is>
      </c>
      <c r="P414" s="24" t="n"/>
    </row>
    <row r="415" ht="33" customHeight="1">
      <c r="A415" s="14" t="inlineStr">
        <is>
          <t>91259A709</t>
        </is>
      </c>
      <c r="B415" s="15" t="inlineStr">
        <is>
          <t>91259A709</t>
        </is>
      </c>
      <c r="C415" s="15" t="inlineStr">
        <is>
          <t>McMaster-Carr</t>
        </is>
      </c>
      <c r="D415" s="15" t="inlineStr">
        <is>
          <t>Alloy Steel Shoulder Screw 1/2" Shoulder Diameter, 5/8" Shoulder Length, 3/8"-16 Thread - 10/04/23</t>
        </is>
      </c>
      <c r="E415" s="15" t="n"/>
      <c r="F415" s="17" t="inlineStr">
        <is>
          <t>Each</t>
        </is>
      </c>
      <c r="G415" s="15" t="inlineStr">
        <is>
          <t>McMaster-Carr</t>
        </is>
      </c>
      <c r="H415" s="15" t="inlineStr">
        <is>
          <t>91259A709</t>
        </is>
      </c>
      <c r="I415" s="15" t="inlineStr">
        <is>
          <t>NO</t>
        </is>
      </c>
      <c r="J415" s="18" t="n">
        <v>3.57</v>
      </c>
      <c r="K415" s="21" t="n">
        <v>45348</v>
      </c>
      <c r="L415" s="19" t="n">
        <v>0</v>
      </c>
      <c r="M415" s="20" t="n">
        <v>3.57</v>
      </c>
      <c r="N415" s="21" t="n"/>
      <c r="O415" s="22" t="inlineStr">
        <is>
          <t>, 2/19/2024, 3.57</t>
        </is>
      </c>
      <c r="P415" s="24" t="n"/>
    </row>
    <row r="416" ht="33" customHeight="1">
      <c r="A416" s="14" t="inlineStr">
        <is>
          <t>7467A26</t>
        </is>
      </c>
      <c r="B416" s="15" t="inlineStr">
        <is>
          <t>DP460</t>
        </is>
      </c>
      <c r="C416" s="15" t="inlineStr">
        <is>
          <t>3M</t>
        </is>
      </c>
      <c r="D416" s="15" t="inlineStr">
        <is>
          <t>Structural Adhesive, Toughened Epoxy, 3M DP460, 1.69 oz. Cartridge
(Order With 7467A12 Mixer Nozzle) - 5/23/22</t>
        </is>
      </c>
      <c r="E416" s="15" t="n"/>
      <c r="F416" s="17" t="inlineStr">
        <is>
          <t>Each</t>
        </is>
      </c>
      <c r="G416" s="15" t="inlineStr">
        <is>
          <t>McMaster-Carr</t>
        </is>
      </c>
      <c r="H416" s="15" t="inlineStr">
        <is>
          <t>7467A26</t>
        </is>
      </c>
      <c r="I416" s="15" t="inlineStr">
        <is>
          <t>NO</t>
        </is>
      </c>
      <c r="J416" s="18" t="n">
        <v>46</v>
      </c>
      <c r="K416" s="21" t="n">
        <v>45348</v>
      </c>
      <c r="L416" s="19" t="n">
        <v>0</v>
      </c>
      <c r="M416" s="20" t="n">
        <v>46</v>
      </c>
      <c r="N416" s="21" t="n">
        <v>45336</v>
      </c>
      <c r="O416" s="22" t="inlineStr">
        <is>
          <t>, 2/15/2024, 46</t>
        </is>
      </c>
      <c r="P416" s="24" t="n"/>
    </row>
    <row r="417" ht="33" customHeight="1">
      <c r="A417" s="14" t="inlineStr">
        <is>
          <t>7467A12</t>
        </is>
      </c>
      <c r="B417" s="15" t="inlineStr">
        <is>
          <t>7467A12</t>
        </is>
      </c>
      <c r="C417" s="15" t="inlineStr">
        <is>
          <t>McMaster-Carr</t>
        </is>
      </c>
      <c r="D417" s="15" t="inlineStr">
        <is>
          <t>4-Step Tip Mixer Nozzle for 3M Dual Cartridge - 5/23/22</t>
        </is>
      </c>
      <c r="E417" s="15" t="n"/>
      <c r="F417" s="17" t="inlineStr">
        <is>
          <t>Each</t>
        </is>
      </c>
      <c r="G417" s="15" t="inlineStr">
        <is>
          <t>McMaster-Carr</t>
        </is>
      </c>
      <c r="H417" s="15" t="inlineStr">
        <is>
          <t>7467A12</t>
        </is>
      </c>
      <c r="I417" s="15" t="inlineStr">
        <is>
          <t>NO</t>
        </is>
      </c>
      <c r="J417" s="18" t="n">
        <v>4.06</v>
      </c>
      <c r="K417" s="21" t="n">
        <v>45348</v>
      </c>
      <c r="L417" s="19" t="n">
        <v>0</v>
      </c>
      <c r="M417" s="20" t="n">
        <v>4.06</v>
      </c>
      <c r="N417" s="21" t="n">
        <v>45336</v>
      </c>
      <c r="O417" s="22" t="inlineStr">
        <is>
          <t>, 2/15/2024, 4.06</t>
        </is>
      </c>
      <c r="P417" s="24" t="n"/>
    </row>
    <row r="418" ht="42" customHeight="1">
      <c r="A418" s="14" t="inlineStr">
        <is>
          <t>A1E244DCA1LT</t>
        </is>
      </c>
      <c r="B418" s="15" t="inlineStr">
        <is>
          <t>A1E244DCA1LT</t>
        </is>
      </c>
      <c r="C418" s="15" t="inlineStr">
        <is>
          <t>Intralox</t>
        </is>
      </c>
      <c r="D418" s="15" t="inlineStr">
        <is>
          <t>SERIES 1400 3.25" MTW FLAT TOP - BLUE ACETAL BELT WITH TABS
(10' BOXED BELT)
Lead Time: Stock - 10/4/21</t>
        </is>
      </c>
      <c r="E418" s="15" t="n"/>
      <c r="F418" s="17" t="n"/>
      <c r="G418" s="15" t="inlineStr">
        <is>
          <t>Intralox</t>
        </is>
      </c>
      <c r="H418" s="15" t="inlineStr">
        <is>
          <t>A1E244DCA1LT</t>
        </is>
      </c>
      <c r="I418" s="15" t="inlineStr">
        <is>
          <t>NO</t>
        </is>
      </c>
      <c r="J418" s="18" t="n">
        <v>172.42</v>
      </c>
      <c r="K418" s="14" t="n"/>
      <c r="L418" s="19" t="n"/>
      <c r="M418" s="20" t="n"/>
      <c r="N418" s="21" t="n"/>
      <c r="O418" s="22" t="n"/>
      <c r="P418" s="24" t="n"/>
    </row>
    <row r="419" ht="42" customHeight="1">
      <c r="A419" s="14" t="inlineStr">
        <is>
          <t>S6E2XXCRK5NN</t>
        </is>
      </c>
      <c r="B419" s="15" t="inlineStr">
        <is>
          <t>S6E2XXCRK5NN</t>
        </is>
      </c>
      <c r="C419" s="15" t="inlineStr">
        <is>
          <t>Intralox</t>
        </is>
      </c>
      <c r="D419" s="15" t="inlineStr">
        <is>
          <t>SERIES 1400/4000 5.7" (18T) GREY GLASS FILLED NYLON SPLIT SPROCKET
WITH 1-1/4" ROUND BORE AND SET SCREW
Lead Time: Stock - Price Checked 1/26/23</t>
        </is>
      </c>
      <c r="E419" s="15" t="n"/>
      <c r="F419" s="17" t="n"/>
      <c r="G419" s="15" t="inlineStr">
        <is>
          <t>Intralox</t>
        </is>
      </c>
      <c r="H419" s="15" t="inlineStr">
        <is>
          <t>S6E2XXCRK5NN</t>
        </is>
      </c>
      <c r="I419" s="15" t="inlineStr">
        <is>
          <t>NO</t>
        </is>
      </c>
      <c r="J419" s="18" t="n">
        <v>56.7</v>
      </c>
      <c r="K419" s="14" t="n"/>
      <c r="L419" s="19" t="n"/>
      <c r="M419" s="20" t="n"/>
      <c r="N419" s="21" t="n"/>
      <c r="O419" s="22" t="n"/>
      <c r="P419" s="24" t="n"/>
    </row>
    <row r="420" ht="33" customHeight="1">
      <c r="A420" s="14" t="inlineStr">
        <is>
          <t>A1E244BCC1LT</t>
        </is>
      </c>
      <c r="B420" s="15" t="inlineStr">
        <is>
          <t>A1E244BCC1LT</t>
        </is>
      </c>
      <c r="C420" s="15" t="inlineStr">
        <is>
          <t>Intralox</t>
        </is>
      </c>
      <c r="D420" s="15" t="inlineStr">
        <is>
          <t>SERIES 1400 7.5" MTW FLAT TOP BLUE ACETAL BELT WITHOUT TABS (10' BOXED BELT)
PRICING IS VOLUME SENSATIVE - CALL FOR QUOTE - 8/24/22 @ 50 BOXES</t>
        </is>
      </c>
      <c r="E420" s="15" t="n"/>
      <c r="F420" s="17" t="n"/>
      <c r="G420" s="15" t="inlineStr">
        <is>
          <t>Intralox</t>
        </is>
      </c>
      <c r="H420" s="15" t="inlineStr">
        <is>
          <t>A1E244BCC1LT</t>
        </is>
      </c>
      <c r="I420" s="15" t="inlineStr">
        <is>
          <t>NO</t>
        </is>
      </c>
      <c r="J420" s="18" t="n">
        <v>289.62</v>
      </c>
      <c r="K420" s="14" t="n"/>
      <c r="L420" s="19" t="n"/>
      <c r="M420" s="20" t="n"/>
      <c r="N420" s="21" t="n"/>
      <c r="O420" s="22" t="n"/>
      <c r="P420" s="24" t="n"/>
    </row>
    <row r="421" ht="33" customHeight="1">
      <c r="A421" s="14" t="inlineStr">
        <is>
          <t>SUCNPFB-208-24</t>
        </is>
      </c>
      <c r="B421" s="15" t="inlineStr">
        <is>
          <t>SUCNPFB-208-24</t>
        </is>
      </c>
      <c r="C421" s="15" t="inlineStr">
        <is>
          <t>IPTCI</t>
        </is>
      </c>
      <c r="D421" s="15" t="inlineStr">
        <is>
          <t>3-Bolt Flange Bearing - Stainless Insert - Nickel Plated Housing - Set Screw Lock - Bore Dia. 1-1/2" - 4/26/22</t>
        </is>
      </c>
      <c r="E421" s="15" t="n"/>
      <c r="F421" s="17" t="n"/>
      <c r="G421" s="15" t="inlineStr">
        <is>
          <t>IPTCI</t>
        </is>
      </c>
      <c r="H421" s="15" t="inlineStr">
        <is>
          <t>SUCNPFB-208-24</t>
        </is>
      </c>
      <c r="I421" s="15" t="inlineStr">
        <is>
          <t>NO</t>
        </is>
      </c>
      <c r="J421" s="18" t="n">
        <v>128.39</v>
      </c>
      <c r="K421" s="14" t="n"/>
      <c r="L421" s="19" t="n"/>
      <c r="M421" s="20" t="n"/>
      <c r="N421" s="21" t="n"/>
      <c r="O421" s="22" t="n"/>
      <c r="P421" s="24" t="n"/>
    </row>
    <row r="422" ht="33" customHeight="1">
      <c r="A422" s="14" t="inlineStr">
        <is>
          <t>S3D9XXCJK5NG</t>
        </is>
      </c>
      <c r="B422" s="15" t="inlineStr">
        <is>
          <t>S3D9XXCJK5NG</t>
        </is>
      </c>
      <c r="C422" s="15" t="inlineStr">
        <is>
          <t>Intralox</t>
        </is>
      </c>
      <c r="D422" s="15" t="inlineStr">
        <is>
          <t>SERIES 900 4.1" (12T) NATURAL ACETAL SPROCKET WITH 1.25" ROUND BORE</t>
        </is>
      </c>
      <c r="E422" s="15" t="n">
        <v>1</v>
      </c>
      <c r="F422" s="17" t="inlineStr">
        <is>
          <t>each</t>
        </is>
      </c>
      <c r="G422" s="15" t="inlineStr">
        <is>
          <t>Intralox</t>
        </is>
      </c>
      <c r="H422" s="15" t="inlineStr">
        <is>
          <t>S3D9XXCJK5NG</t>
        </is>
      </c>
      <c r="I422" s="15" t="inlineStr">
        <is>
          <t>NO</t>
        </is>
      </c>
      <c r="J422" s="18" t="n">
        <v>25.24</v>
      </c>
      <c r="K422" s="21" t="n">
        <v>45454</v>
      </c>
      <c r="L422" s="19" t="n">
        <v>0.029783761729906</v>
      </c>
      <c r="M422" s="31" t="n">
        <v>24.51</v>
      </c>
      <c r="N422" s="21" t="n"/>
      <c r="O422" s="22" t="inlineStr">
        <is>
          <t>, 6/11/2024, 25.24</t>
        </is>
      </c>
      <c r="P422" s="24" t="n"/>
    </row>
    <row r="423" ht="33" customHeight="1">
      <c r="A423" s="14" t="inlineStr">
        <is>
          <t>P11180109</t>
        </is>
      </c>
      <c r="B423" s="15" t="inlineStr">
        <is>
          <t>P11180109</t>
        </is>
      </c>
      <c r="C423" s="15" t="inlineStr">
        <is>
          <t>Movex</t>
        </is>
      </c>
      <c r="D423" s="15" t="inlineStr">
        <is>
          <t>LFA 882 TAB LBP K1200 (Low Back Pressure) - Sold in 5ft Boxes</t>
        </is>
      </c>
      <c r="E423" s="15" t="n"/>
      <c r="F423" s="17" t="n"/>
      <c r="G423" s="15" t="inlineStr">
        <is>
          <t>Belt Service</t>
        </is>
      </c>
      <c r="H423" s="15" t="inlineStr">
        <is>
          <t>P11180109</t>
        </is>
      </c>
      <c r="I423" s="15" t="inlineStr">
        <is>
          <t>NO</t>
        </is>
      </c>
      <c r="J423" s="18" t="n">
        <v>103.41</v>
      </c>
      <c r="K423" s="14" t="n"/>
      <c r="L423" s="19" t="n"/>
      <c r="M423" s="20" t="n"/>
      <c r="N423" s="21" t="n"/>
      <c r="O423" s="22" t="n"/>
      <c r="P423" s="24" t="n"/>
    </row>
    <row r="424" ht="33" customHeight="1">
      <c r="A424" s="14" t="inlineStr">
        <is>
          <t>2961N17</t>
        </is>
      </c>
      <c r="B424" s="15" t="inlineStr">
        <is>
          <t>2961N17</t>
        </is>
      </c>
      <c r="C424" s="15" t="inlineStr">
        <is>
          <t>McMaster-Carr</t>
        </is>
      </c>
      <c r="D424" s="15" t="inlineStr">
        <is>
          <t>Tight-Tolerance Easy-to-Machine 303 Stainless Steel Rod, 12 mm Diameter, 1 FT LENGTH - 6/30/22</t>
        </is>
      </c>
      <c r="E424" s="15" t="n"/>
      <c r="F424" s="17" t="n"/>
      <c r="G424" s="15" t="inlineStr">
        <is>
          <t>McMaster-Carr</t>
        </is>
      </c>
      <c r="H424" s="15" t="inlineStr">
        <is>
          <t>2961N17</t>
        </is>
      </c>
      <c r="I424" s="15" t="inlineStr">
        <is>
          <t>NO</t>
        </is>
      </c>
      <c r="J424" s="18" t="n">
        <v>0</v>
      </c>
      <c r="K424" s="21" t="n">
        <v>45348</v>
      </c>
      <c r="L424" s="19" t="n"/>
      <c r="M424" s="20" t="n">
        <v>31.42</v>
      </c>
      <c r="N424" s="21" t="n"/>
      <c r="O424" s="22" t="inlineStr">
        <is>
          <t>, 2/15/2024, 0</t>
        </is>
      </c>
      <c r="P424" s="24" t="n"/>
    </row>
    <row r="425" ht="33" customHeight="1">
      <c r="A425" s="14" t="inlineStr">
        <is>
          <t>VESSWDM3615T</t>
        </is>
      </c>
      <c r="B425" s="15" t="inlineStr">
        <is>
          <t>VESSWDM3615T</t>
        </is>
      </c>
      <c r="C425" s="15" t="inlineStr">
        <is>
          <t>ABB Baldor</t>
        </is>
      </c>
      <c r="D425" s="15" t="inlineStr">
        <is>
          <t>Baldor SS Washdown Motor
5HP, 1750RPM, 208-230/460V AC 3PH, 60HZ, 184TC, TEFC, FOOTLESS - 6/30/22</t>
        </is>
      </c>
      <c r="E425" s="15" t="n"/>
      <c r="F425" s="17" t="n"/>
      <c r="G425" s="15" t="inlineStr">
        <is>
          <t>Motion Industries</t>
        </is>
      </c>
      <c r="H425" s="15" t="inlineStr">
        <is>
          <t>VESSWDM3615T</t>
        </is>
      </c>
      <c r="I425" s="15" t="inlineStr">
        <is>
          <t>NO</t>
        </is>
      </c>
      <c r="J425" s="18" t="n">
        <v>2438</v>
      </c>
      <c r="K425" s="14" t="n"/>
      <c r="L425" s="19" t="n"/>
      <c r="M425" s="20" t="n"/>
      <c r="N425" s="21" t="n"/>
      <c r="O425" s="22" t="n"/>
      <c r="P425" s="24" t="n"/>
    </row>
    <row r="426" ht="33" customHeight="1">
      <c r="A426" s="14" t="inlineStr">
        <is>
          <t>VSSFWDM3538</t>
        </is>
      </c>
      <c r="B426" s="15" t="inlineStr">
        <is>
          <t>VSSFWDM3538</t>
        </is>
      </c>
      <c r="C426" s="15" t="inlineStr">
        <is>
          <t>ABB Baldor</t>
        </is>
      </c>
      <c r="D426" s="15" t="inlineStr">
        <is>
          <t>Baldor SS Washdown Motor
0.5HP, 1745RPM, 208-230/460V AC 3PH, 60HZ, 56C, TEFC, FOOTLESS - 6/30/22</t>
        </is>
      </c>
      <c r="E426" s="15" t="n"/>
      <c r="F426" s="17" t="n"/>
      <c r="G426" s="15" t="inlineStr">
        <is>
          <t>Motion Industries</t>
        </is>
      </c>
      <c r="H426" s="15" t="inlineStr">
        <is>
          <t>VSSFWDM3538</t>
        </is>
      </c>
      <c r="I426" s="15" t="inlineStr">
        <is>
          <t>NO</t>
        </is>
      </c>
      <c r="J426" s="18" t="n">
        <v>1527.61</v>
      </c>
      <c r="K426" s="14" t="n"/>
      <c r="L426" s="19" t="n"/>
      <c r="M426" s="20" t="n"/>
      <c r="N426" s="21" t="n"/>
      <c r="O426" s="22" t="n"/>
      <c r="P426" s="24" t="n"/>
    </row>
    <row r="427" ht="33" customHeight="1">
      <c r="A427" s="14" t="inlineStr">
        <is>
          <t>VESSFWDM3546</t>
        </is>
      </c>
      <c r="B427" s="15" t="inlineStr">
        <is>
          <t>VESSFWDM3546</t>
        </is>
      </c>
      <c r="C427" s="15" t="inlineStr">
        <is>
          <t>ABB Baldor</t>
        </is>
      </c>
      <c r="D427" s="15" t="inlineStr">
        <is>
          <t>Baldor SS Washdown Motor
1HP, 1745RPM, 230/460V AC 3PH, 60HZ, 56C, TEFC, FOOTLESS - 4/21/22</t>
        </is>
      </c>
      <c r="E427" s="15" t="n"/>
      <c r="F427" s="17" t="n"/>
      <c r="G427" s="15" t="inlineStr">
        <is>
          <t>Motion Industries</t>
        </is>
      </c>
      <c r="H427" s="15" t="inlineStr">
        <is>
          <t>VESSFWDM3546</t>
        </is>
      </c>
      <c r="I427" s="15" t="inlineStr">
        <is>
          <t>NO</t>
        </is>
      </c>
      <c r="J427" s="18" t="n">
        <v>1667.16</v>
      </c>
      <c r="K427" s="14" t="n"/>
      <c r="L427" s="19" t="n"/>
      <c r="M427" s="20" t="n"/>
      <c r="N427" s="21" t="n"/>
      <c r="O427" s="22" t="n"/>
      <c r="P427" s="24" t="n"/>
    </row>
    <row r="428" ht="33" customHeight="1">
      <c r="A428" s="14" t="inlineStr">
        <is>
          <t>1LTC7</t>
        </is>
      </c>
      <c r="B428" s="15" t="inlineStr">
        <is>
          <t>1LTC7</t>
        </is>
      </c>
      <c r="C428" s="15" t="inlineStr">
        <is>
          <t>Grainger</t>
        </is>
      </c>
      <c r="D428" s="15" t="inlineStr">
        <is>
          <t>Hex Bushing: 304 Stainless Steel, 3/8 in x 1/4 in Fitting Pipe Size, Male NPT x Female NPT - 6/30/22</t>
        </is>
      </c>
      <c r="E428" s="15" t="n">
        <v>1</v>
      </c>
      <c r="F428" s="17" t="inlineStr">
        <is>
          <t>each</t>
        </is>
      </c>
      <c r="G428" s="15" t="inlineStr">
        <is>
          <t>Grainger</t>
        </is>
      </c>
      <c r="H428" s="15" t="inlineStr">
        <is>
          <t>1LTC7</t>
        </is>
      </c>
      <c r="I428" s="15" t="inlineStr">
        <is>
          <t>NO</t>
        </is>
      </c>
      <c r="J428" s="18" t="n">
        <v>3.19</v>
      </c>
      <c r="K428" s="21" t="n">
        <v>45348</v>
      </c>
      <c r="L428" s="19" t="n">
        <v>-0.554858934169279</v>
      </c>
      <c r="M428" s="20" t="n">
        <v>4.96</v>
      </c>
      <c r="N428" s="21" t="n"/>
      <c r="O428" s="22" t="inlineStr">
        <is>
          <t>, 2/15/2024, 4.96</t>
        </is>
      </c>
      <c r="P428" s="24" t="n"/>
    </row>
    <row r="429" ht="42" customHeight="1">
      <c r="A429" s="14" t="inlineStr">
        <is>
          <t>ACTSPH50JB0517YY</t>
        </is>
      </c>
      <c r="B429" s="15" t="inlineStr">
        <is>
          <t>ACTSPH50JB0517YY</t>
        </is>
      </c>
      <c r="C429" s="15" t="inlineStr">
        <is>
          <t>Allied Caster</t>
        </is>
      </c>
      <c r="D429" s="15" t="inlineStr">
        <is>
          <t>Swivel Caster, Total Lock, T304 SS Body &amp; Hardware, 5"x2" Phenolic Wheel
4"x4.5" Top Plate, 6.5" Overall Height, 1,000lb Capacity
2-3 Weeks ARO, 12/12/21</t>
        </is>
      </c>
      <c r="E429" s="15" t="n"/>
      <c r="F429" s="17" t="n"/>
      <c r="G429" s="15" t="inlineStr">
        <is>
          <t>Allied Caster</t>
        </is>
      </c>
      <c r="H429" s="15" t="inlineStr">
        <is>
          <t>ACTSPH50JB0517YY</t>
        </is>
      </c>
      <c r="I429" s="15" t="inlineStr">
        <is>
          <t>NO</t>
        </is>
      </c>
      <c r="J429" s="18" t="n">
        <v>93.5</v>
      </c>
      <c r="K429" s="14" t="n"/>
      <c r="L429" s="19" t="n"/>
      <c r="M429" s="20" t="n"/>
      <c r="N429" s="21" t="n"/>
      <c r="O429" s="22" t="n"/>
      <c r="P429" s="24" t="n"/>
    </row>
    <row r="430" ht="33" customHeight="1">
      <c r="A430" s="14" t="inlineStr">
        <is>
          <t>4936K117</t>
        </is>
      </c>
      <c r="B430" s="15" t="inlineStr">
        <is>
          <t>4936K117</t>
        </is>
      </c>
      <c r="C430" s="15" t="inlineStr">
        <is>
          <t>McMaster-Carr</t>
        </is>
      </c>
      <c r="D430" s="15" t="inlineStr">
        <is>
          <t>Compact Extreme-Pressure Steel Pipe Fitting, Straight Adapter, 1/8 NPT Female x 1/8 BSPP Male - 01.06.22</t>
        </is>
      </c>
      <c r="E430" s="15" t="n"/>
      <c r="F430" s="17" t="inlineStr">
        <is>
          <t>Each</t>
        </is>
      </c>
      <c r="G430" s="15" t="inlineStr">
        <is>
          <t>McMaster-Carr</t>
        </is>
      </c>
      <c r="H430" s="15" t="inlineStr">
        <is>
          <t>4936K117</t>
        </is>
      </c>
      <c r="I430" s="15" t="inlineStr">
        <is>
          <t>NO</t>
        </is>
      </c>
      <c r="J430" s="18" t="n">
        <v>4.16</v>
      </c>
      <c r="K430" s="21" t="n">
        <v>45348</v>
      </c>
      <c r="L430" s="19" t="n">
        <v>0</v>
      </c>
      <c r="M430" s="20" t="n">
        <v>4.16</v>
      </c>
      <c r="N430" s="21" t="n">
        <v>45336</v>
      </c>
      <c r="O430" s="22" t="inlineStr">
        <is>
          <t>, 2/15/2024, 4.16</t>
        </is>
      </c>
      <c r="P430" s="24" t="n"/>
    </row>
    <row r="431" ht="33" customHeight="1">
      <c r="A431" s="14" t="inlineStr">
        <is>
          <t>S3F5XXCYK5NG</t>
        </is>
      </c>
      <c r="B431" s="15" t="inlineStr">
        <is>
          <t>S3F5XXCYK5NG</t>
        </is>
      </c>
      <c r="C431" s="15" t="inlineStr">
        <is>
          <t>Intralox</t>
        </is>
      </c>
      <c r="D431" s="15" t="inlineStr">
        <is>
          <t>SERIES 2400 6.4" (20T) NATURAL ACETAL SPROCKET WITH 1 1/4" ROUND BORE - 1/11/22</t>
        </is>
      </c>
      <c r="E431" s="15" t="n"/>
      <c r="F431" s="17" t="n"/>
      <c r="G431" s="15" t="inlineStr">
        <is>
          <t>Intralox</t>
        </is>
      </c>
      <c r="H431" s="15" t="inlineStr">
        <is>
          <t>S3F5XXCYK5NG</t>
        </is>
      </c>
      <c r="I431" s="15" t="inlineStr">
        <is>
          <t>NO</t>
        </is>
      </c>
      <c r="J431" s="18" t="n">
        <v>32.05</v>
      </c>
      <c r="K431" s="14" t="n"/>
      <c r="L431" s="19" t="n"/>
      <c r="M431" s="20" t="n"/>
      <c r="N431" s="21" t="n"/>
      <c r="O431" s="22" t="n"/>
      <c r="P431" s="24" t="n"/>
    </row>
    <row r="432" ht="33" customHeight="1">
      <c r="A432" s="14" t="inlineStr">
        <is>
          <t>VG-JL137-125-NS-20</t>
        </is>
      </c>
      <c r="B432" s="15" t="inlineStr">
        <is>
          <t>VG-JL137-125-NS-20</t>
        </is>
      </c>
      <c r="C432" s="15" t="inlineStr">
        <is>
          <t>Emerson</t>
        </is>
      </c>
      <c r="D432" s="15" t="inlineStr">
        <is>
          <t>Nolu-S J-Leg, 1.50" Overall Width, 1/8" Tall Lipped Edge (1.375" Usable Wear-Strip Width), 20 ft. Roll</t>
        </is>
      </c>
      <c r="E432" s="15" t="n"/>
      <c r="F432" s="17" t="n"/>
      <c r="G432" s="15" t="inlineStr">
        <is>
          <t>Emerson</t>
        </is>
      </c>
      <c r="H432" s="15" t="inlineStr">
        <is>
          <t>VG-JL137-125-NS-20</t>
        </is>
      </c>
      <c r="I432" s="15" t="inlineStr">
        <is>
          <t>NO</t>
        </is>
      </c>
      <c r="J432" s="18">
        <f>3.4*20</f>
        <v/>
      </c>
      <c r="K432" s="14" t="n"/>
      <c r="L432" s="19" t="n"/>
      <c r="M432" s="20" t="n"/>
      <c r="N432" s="21" t="n"/>
      <c r="O432" s="22" t="n"/>
      <c r="P432" s="24" t="n"/>
    </row>
    <row r="433" ht="33" customHeight="1">
      <c r="A433" s="14" t="inlineStr">
        <is>
          <t>1351A52</t>
        </is>
      </c>
      <c r="B433" s="15" t="inlineStr">
        <is>
          <t>1351A52</t>
        </is>
      </c>
      <c r="C433" s="15" t="inlineStr">
        <is>
          <t>McMaster-Carr</t>
        </is>
      </c>
      <c r="D433" s="15" t="inlineStr">
        <is>
          <t>High-Capacity Lid Support w/ Hold-Open Mechanism, Lift-to-Release, Side Mount, Free Moving, T304SS - 3/8/22</t>
        </is>
      </c>
      <c r="E433" s="15" t="n">
        <v>1</v>
      </c>
      <c r="F433" s="17" t="inlineStr">
        <is>
          <t>each</t>
        </is>
      </c>
      <c r="G433" s="15" t="inlineStr">
        <is>
          <t>McMaster-Carr</t>
        </is>
      </c>
      <c r="H433" s="15" t="inlineStr">
        <is>
          <t>1351A52</t>
        </is>
      </c>
      <c r="I433" s="15" t="inlineStr">
        <is>
          <t>NO</t>
        </is>
      </c>
      <c r="J433" s="18" t="n">
        <v>181.71</v>
      </c>
      <c r="K433" s="21" t="n">
        <v>45348</v>
      </c>
      <c r="L433" s="19" t="n">
        <v>0</v>
      </c>
      <c r="M433" s="20" t="n">
        <v>181.71</v>
      </c>
      <c r="N433" s="21" t="n">
        <v>45336</v>
      </c>
      <c r="O433" s="22" t="inlineStr">
        <is>
          <t>, 2/15/2024, 181.71</t>
        </is>
      </c>
      <c r="P433" s="24" t="n"/>
    </row>
    <row r="434" ht="33" customHeight="1">
      <c r="A434" s="14" t="inlineStr">
        <is>
          <t>1582A76</t>
        </is>
      </c>
      <c r="B434" s="15" t="inlineStr">
        <is>
          <t>1582A76</t>
        </is>
      </c>
      <c r="C434" s="15" t="inlineStr">
        <is>
          <t>McMaster-Carr</t>
        </is>
      </c>
      <c r="D434" s="15" t="inlineStr">
        <is>
          <t>Piano Hinge without Holes, 304 Stainless Steel, 2" Overall Width, 0.490" Knuckle Diameter, 1 Foot Long - 3/8/22</t>
        </is>
      </c>
      <c r="E434" s="15" t="n">
        <v>1</v>
      </c>
      <c r="F434" s="17" t="n"/>
      <c r="G434" s="15" t="inlineStr">
        <is>
          <t>McMaster-Carr</t>
        </is>
      </c>
      <c r="H434" s="15" t="inlineStr">
        <is>
          <t>1582A76</t>
        </is>
      </c>
      <c r="I434" s="15" t="inlineStr">
        <is>
          <t>NO</t>
        </is>
      </c>
      <c r="J434" s="18" t="n">
        <v>0</v>
      </c>
      <c r="K434" s="21" t="n">
        <v>45456</v>
      </c>
      <c r="L434" s="19" t="n"/>
      <c r="M434" s="20" t="n">
        <v>30.4</v>
      </c>
      <c r="N434" s="21" t="n"/>
      <c r="O434" s="22" t="inlineStr">
        <is>
          <t>, 2/15/2024, 0, 2/26/2024, 0</t>
        </is>
      </c>
      <c r="P434" s="24" t="n"/>
    </row>
    <row r="435" ht="33" customHeight="1">
      <c r="A435" s="14" t="inlineStr">
        <is>
          <t>5876T180</t>
        </is>
      </c>
      <c r="B435" s="15" t="inlineStr">
        <is>
          <t>5876T18</t>
        </is>
      </c>
      <c r="C435" s="15" t="inlineStr">
        <is>
          <t>McMaster-Carr</t>
        </is>
      </c>
      <c r="D435" s="15" t="inlineStr">
        <is>
          <t>Clamping Two-Piece Shaft Collar w/ Wrench Flats, for 1-1/4" Diameter, 303 Stainless Steel - 7/20/22</t>
        </is>
      </c>
      <c r="E435" s="15" t="n"/>
      <c r="F435" s="17" t="inlineStr">
        <is>
          <t>Each</t>
        </is>
      </c>
      <c r="G435" s="15" t="inlineStr">
        <is>
          <t>McMaster-Carr</t>
        </is>
      </c>
      <c r="H435" s="15" t="inlineStr">
        <is>
          <t>5876T18</t>
        </is>
      </c>
      <c r="I435" s="15" t="inlineStr">
        <is>
          <t>NO</t>
        </is>
      </c>
      <c r="J435" s="18" t="n">
        <v>59.4</v>
      </c>
      <c r="K435" s="21" t="n">
        <v>45348</v>
      </c>
      <c r="L435" s="19" t="n">
        <v>0</v>
      </c>
      <c r="M435" s="20" t="n">
        <v>59.4</v>
      </c>
      <c r="N435" s="21" t="n">
        <v>45336</v>
      </c>
      <c r="O435" s="22" t="inlineStr">
        <is>
          <t>, 2/15/2024, 59.4</t>
        </is>
      </c>
      <c r="P435" s="24" t="n"/>
    </row>
    <row r="436" ht="33" customHeight="1">
      <c r="A436" s="14" t="inlineStr">
        <is>
          <t>5876T18</t>
        </is>
      </c>
      <c r="B436" s="15" t="inlineStr">
        <is>
          <t>5876T18</t>
        </is>
      </c>
      <c r="C436" s="15" t="inlineStr">
        <is>
          <t>McMaster-Carr</t>
        </is>
      </c>
      <c r="D436" s="15" t="inlineStr">
        <is>
          <t>Clamping Two-Piece Shaft Collar w/ Wrench Flats, for 1-1/4" Diameter, 303 Stainless Steel - 3/8/22</t>
        </is>
      </c>
      <c r="E436" s="15" t="n"/>
      <c r="F436" s="17" t="inlineStr">
        <is>
          <t>Each</t>
        </is>
      </c>
      <c r="G436" s="15" t="inlineStr">
        <is>
          <t>McMaster-Carr</t>
        </is>
      </c>
      <c r="H436" s="15" t="inlineStr">
        <is>
          <t>5876T18</t>
        </is>
      </c>
      <c r="I436" s="15" t="inlineStr">
        <is>
          <t>NO</t>
        </is>
      </c>
      <c r="J436" s="18" t="n">
        <v>59.4</v>
      </c>
      <c r="K436" s="21" t="n">
        <v>45348</v>
      </c>
      <c r="L436" s="19" t="n">
        <v>0</v>
      </c>
      <c r="M436" s="20" t="n">
        <v>59.4</v>
      </c>
      <c r="N436" s="21" t="n">
        <v>45336</v>
      </c>
      <c r="O436" s="22" t="inlineStr">
        <is>
          <t>, 2/15/2024, 59.4</t>
        </is>
      </c>
      <c r="P436" s="24" t="n"/>
    </row>
    <row r="437" ht="33" customHeight="1">
      <c r="A437" s="14" t="inlineStr">
        <is>
          <t>92356A257</t>
        </is>
      </c>
      <c r="B437" s="15" t="inlineStr">
        <is>
          <t>92356A257</t>
        </is>
      </c>
      <c r="C437" s="15" t="inlineStr">
        <is>
          <t>McMaster-Carr</t>
        </is>
      </c>
      <c r="D437" s="15" t="inlineStr">
        <is>
          <t>18-8 Stainless Steel Square-Neck Carriage Bolt, 10-32 Thread Size, 5/8" Long, Pack of 50x - 3/8/22</t>
        </is>
      </c>
      <c r="E437" s="15" t="n">
        <v>50</v>
      </c>
      <c r="F437" s="17" t="inlineStr">
        <is>
          <t>pack</t>
        </is>
      </c>
      <c r="G437" s="15" t="inlineStr">
        <is>
          <t>McMaster-Carr</t>
        </is>
      </c>
      <c r="H437" s="15" t="inlineStr">
        <is>
          <t>92356A257</t>
        </is>
      </c>
      <c r="I437" s="15" t="inlineStr">
        <is>
          <t>NO</t>
        </is>
      </c>
      <c r="J437" s="18" t="n">
        <v>7.45</v>
      </c>
      <c r="K437" s="21" t="n">
        <v>45348</v>
      </c>
      <c r="L437" s="19" t="n">
        <v>0</v>
      </c>
      <c r="M437" s="20" t="n">
        <v>7.45</v>
      </c>
      <c r="N437" s="21" t="n">
        <v>45336</v>
      </c>
      <c r="O437" s="22" t="inlineStr">
        <is>
          <t>, 2/15/2024, 7.45</t>
        </is>
      </c>
      <c r="P437" s="24" t="n"/>
    </row>
    <row r="438" ht="33" customHeight="1">
      <c r="A438" s="14" t="inlineStr">
        <is>
          <t>92949A265</t>
        </is>
      </c>
      <c r="B438" s="15" t="inlineStr">
        <is>
          <t>92949A537</t>
        </is>
      </c>
      <c r="C438" s="15" t="inlineStr">
        <is>
          <t>McMaster-Carr</t>
        </is>
      </c>
      <c r="D438" s="15" t="inlineStr">
        <is>
          <t>18-8 Stainless Steel Button Head Hex Drive Screw, 10-32 Thread Size, 1/2" Long, Pack of 100x - 3/8/22</t>
        </is>
      </c>
      <c r="E438" s="15" t="n">
        <v>50</v>
      </c>
      <c r="F438" s="17" t="inlineStr">
        <is>
          <t>pack</t>
        </is>
      </c>
      <c r="G438" s="15" t="inlineStr">
        <is>
          <t>McMaster-Carr</t>
        </is>
      </c>
      <c r="H438" s="15" t="inlineStr">
        <is>
          <t>92949A537</t>
        </is>
      </c>
      <c r="I438" s="15" t="inlineStr">
        <is>
          <t>NO</t>
        </is>
      </c>
      <c r="J438" s="18" t="n">
        <v>7.46</v>
      </c>
      <c r="K438" s="21" t="n">
        <v>45461</v>
      </c>
      <c r="L438" s="19" t="n">
        <v>0</v>
      </c>
      <c r="M438" s="20" t="n">
        <v>7.46</v>
      </c>
      <c r="N438" s="21" t="n">
        <v>45336</v>
      </c>
      <c r="O438" s="22" t="inlineStr">
        <is>
          <t>, 2/15/2024, 7.46, 2/26/2024, 7.46</t>
        </is>
      </c>
      <c r="P438" s="24" t="n"/>
    </row>
    <row r="439" ht="33" customHeight="1">
      <c r="A439" s="14" t="inlineStr">
        <is>
          <t>92949A537</t>
        </is>
      </c>
      <c r="B439" s="15" t="inlineStr">
        <is>
          <t>95412A632</t>
        </is>
      </c>
      <c r="C439" s="15" t="inlineStr">
        <is>
          <t>McMaster-Carr</t>
        </is>
      </c>
      <c r="D439" s="15" t="inlineStr">
        <is>
          <t>18-8 Stainless Steel Button Head Hex Drive Screw, 1/4"-20 Thread Size, 1/2" Long, Pack of 50x - 3/8/22</t>
        </is>
      </c>
      <c r="E439" s="15" t="n">
        <v>10</v>
      </c>
      <c r="F439" s="17" t="inlineStr">
        <is>
          <t>pack</t>
        </is>
      </c>
      <c r="G439" s="15" t="inlineStr">
        <is>
          <t>McMaster-Carr</t>
        </is>
      </c>
      <c r="H439" s="15" t="inlineStr">
        <is>
          <t>95412A632</t>
        </is>
      </c>
      <c r="I439" s="15" t="inlineStr">
        <is>
          <t>NO</t>
        </is>
      </c>
      <c r="J439" s="18" t="n">
        <v>13</v>
      </c>
      <c r="K439" s="21" t="n">
        <v>45348</v>
      </c>
      <c r="L439" s="19" t="n">
        <v>0</v>
      </c>
      <c r="M439" s="20" t="n">
        <v>13</v>
      </c>
      <c r="N439" s="21" t="n">
        <v>45336</v>
      </c>
      <c r="O439" s="22" t="inlineStr">
        <is>
          <t>, 2/15/2024, 13</t>
        </is>
      </c>
      <c r="P439" s="24" t="n"/>
    </row>
    <row r="440" ht="33" customHeight="1">
      <c r="A440" s="14" t="inlineStr">
        <is>
          <t>95412A632</t>
        </is>
      </c>
      <c r="B440" s="15" t="inlineStr">
        <is>
          <t>95412A632</t>
        </is>
      </c>
      <c r="C440" s="15" t="inlineStr">
        <is>
          <t>McMaster-Carr</t>
        </is>
      </c>
      <c r="D440" s="15" t="inlineStr">
        <is>
          <t>18-8 Stainless Steel Threaded Rod, 3/8"-16 Thread Size, 2" Long, Pack fo 10x - 3/8/22</t>
        </is>
      </c>
      <c r="E440" s="15" t="n">
        <v>10</v>
      </c>
      <c r="F440" s="17" t="inlineStr">
        <is>
          <t>pack</t>
        </is>
      </c>
      <c r="G440" s="15" t="inlineStr">
        <is>
          <t>McMaster-Carr</t>
        </is>
      </c>
      <c r="H440" s="15" t="inlineStr">
        <is>
          <t>95412A632</t>
        </is>
      </c>
      <c r="I440" s="15" t="inlineStr">
        <is>
          <t>NO</t>
        </is>
      </c>
      <c r="J440" s="18" t="n">
        <v>13</v>
      </c>
      <c r="K440" s="21" t="n">
        <v>45348</v>
      </c>
      <c r="L440" s="19" t="n">
        <v>0</v>
      </c>
      <c r="M440" s="20" t="n">
        <v>13</v>
      </c>
      <c r="N440" s="21" t="n">
        <v>45336</v>
      </c>
      <c r="O440" s="22" t="inlineStr">
        <is>
          <t>, 2/15/2024, 13</t>
        </is>
      </c>
      <c r="P440" s="24" t="n"/>
    </row>
    <row r="441" ht="33" customHeight="1">
      <c r="A441" s="14" t="inlineStr">
        <is>
          <t>9338T900</t>
        </is>
      </c>
      <c r="B441" s="15" t="inlineStr">
        <is>
          <t>9338T900</t>
        </is>
      </c>
      <c r="C441" s="15" t="inlineStr">
        <is>
          <t>McMaster-Carr</t>
        </is>
      </c>
      <c r="D441" s="15" t="inlineStr">
        <is>
          <t>Mounted Linear Ball Bearing, Fixed Alignment for 3/4" Shaft Diameter - 4/11/22</t>
        </is>
      </c>
      <c r="E441" s="15" t="n"/>
      <c r="F441" s="17" t="inlineStr">
        <is>
          <t>Each</t>
        </is>
      </c>
      <c r="G441" s="15" t="inlineStr">
        <is>
          <t>McMaster-Carr</t>
        </is>
      </c>
      <c r="H441" s="15" t="inlineStr">
        <is>
          <t>9338T900</t>
        </is>
      </c>
      <c r="I441" s="15" t="inlineStr">
        <is>
          <t>NO</t>
        </is>
      </c>
      <c r="J441" s="18" t="n">
        <v>138.4</v>
      </c>
      <c r="K441" s="21" t="n">
        <v>45348</v>
      </c>
      <c r="L441" s="19" t="n">
        <v>0</v>
      </c>
      <c r="M441" s="20" t="n">
        <v>138.4</v>
      </c>
      <c r="N441" s="21" t="n">
        <v>45336</v>
      </c>
      <c r="O441" s="22" t="inlineStr">
        <is>
          <t>, 2/15/2024, 138.4</t>
        </is>
      </c>
      <c r="P441" s="24" t="n"/>
    </row>
    <row r="442" ht="33" customHeight="1">
      <c r="A442" s="14" t="inlineStr">
        <is>
          <t>11245A840</t>
        </is>
      </c>
      <c r="B442" s="15" t="inlineStr">
        <is>
          <t>11245A840</t>
        </is>
      </c>
      <c r="C442" s="15" t="inlineStr">
        <is>
          <t>McMaster-Carr</t>
        </is>
      </c>
      <c r="D442" s="15" t="inlineStr">
        <is>
          <t>Threaded-Hole Oval Pull Handle, Dull 303 Stainless Steel, 6" Center-to-Center Width, 1-1/2" Projection - 4/11/22</t>
        </is>
      </c>
      <c r="E442" s="15" t="n"/>
      <c r="F442" s="17" t="inlineStr">
        <is>
          <t>Each</t>
        </is>
      </c>
      <c r="G442" s="15" t="inlineStr">
        <is>
          <t>McMaster-Carr</t>
        </is>
      </c>
      <c r="H442" s="15" t="inlineStr">
        <is>
          <t>11245A840</t>
        </is>
      </c>
      <c r="I442" s="15" t="inlineStr">
        <is>
          <t>NO</t>
        </is>
      </c>
      <c r="J442" s="18" t="n">
        <v>26.75</v>
      </c>
      <c r="K442" s="21" t="n">
        <v>45348</v>
      </c>
      <c r="L442" s="19" t="n">
        <v>0</v>
      </c>
      <c r="M442" s="20" t="n">
        <v>26.75</v>
      </c>
      <c r="N442" s="21" t="n"/>
      <c r="O442" s="22" t="inlineStr">
        <is>
          <t>, 2/15/2024, 26.75</t>
        </is>
      </c>
      <c r="P442" s="24" t="n"/>
    </row>
    <row r="443" ht="33" customHeight="1">
      <c r="A443" s="14" t="inlineStr">
        <is>
          <t>8558K500</t>
        </is>
      </c>
      <c r="B443" s="15" t="inlineStr">
        <is>
          <t>8558K500</t>
        </is>
      </c>
      <c r="C443" s="15" t="inlineStr">
        <is>
          <t>McMaster-Carr</t>
        </is>
      </c>
      <c r="D443" s="15" t="inlineStr">
        <is>
          <t>303 Stainless Steel Seven Arm Knob with 1/4"-20 Threaded Hole 
(Same As 8558K5) - 4/11/22</t>
        </is>
      </c>
      <c r="E443" s="15" t="n"/>
      <c r="F443" s="17" t="inlineStr">
        <is>
          <t>Each</t>
        </is>
      </c>
      <c r="G443" s="15" t="inlineStr">
        <is>
          <t>McMaster-Carr</t>
        </is>
      </c>
      <c r="H443" s="15" t="inlineStr">
        <is>
          <t>8558K500</t>
        </is>
      </c>
      <c r="I443" s="15" t="inlineStr">
        <is>
          <t>NO</t>
        </is>
      </c>
      <c r="J443" s="18" t="n">
        <v>13.44</v>
      </c>
      <c r="K443" s="21" t="n">
        <v>45348</v>
      </c>
      <c r="L443" s="19" t="n">
        <v>0</v>
      </c>
      <c r="M443" s="20" t="n">
        <v>13.44</v>
      </c>
      <c r="N443" s="21" t="n"/>
      <c r="O443" s="22" t="inlineStr">
        <is>
          <t>, 2/19/2024, 13.44</t>
        </is>
      </c>
      <c r="P443" s="24" t="n"/>
    </row>
    <row r="444" ht="33" customHeight="1">
      <c r="A444" s="14" t="inlineStr">
        <is>
          <t>8558K5</t>
        </is>
      </c>
      <c r="B444" s="15" t="inlineStr">
        <is>
          <t>8558K5</t>
        </is>
      </c>
      <c r="C444" s="15" t="inlineStr">
        <is>
          <t>McMaster-Carr</t>
        </is>
      </c>
      <c r="D444" s="15" t="inlineStr">
        <is>
          <t>303 Stainless Steel Seven Arm Knob with 1/4"-20 Threaded Hole - 4/11/22</t>
        </is>
      </c>
      <c r="E444" s="15" t="n"/>
      <c r="F444" s="17" t="inlineStr">
        <is>
          <t>Each</t>
        </is>
      </c>
      <c r="G444" s="15" t="inlineStr">
        <is>
          <t>McMaster-Carr</t>
        </is>
      </c>
      <c r="H444" s="15" t="inlineStr">
        <is>
          <t>8558K5</t>
        </is>
      </c>
      <c r="I444" s="15" t="inlineStr">
        <is>
          <t>NO</t>
        </is>
      </c>
      <c r="J444" s="18" t="n">
        <v>13.44</v>
      </c>
      <c r="K444" s="21" t="n">
        <v>45348</v>
      </c>
      <c r="L444" s="19" t="n">
        <v>0</v>
      </c>
      <c r="M444" s="20" t="n">
        <v>13.44</v>
      </c>
      <c r="N444" s="21" t="n"/>
      <c r="O444" s="22" t="inlineStr">
        <is>
          <t>, 2/19/2024, 13.44</t>
        </is>
      </c>
      <c r="P444" s="24" t="n"/>
    </row>
    <row r="445" ht="33" customHeight="1">
      <c r="A445" s="14" t="inlineStr">
        <is>
          <t>6320K33</t>
        </is>
      </c>
      <c r="B445" s="15" t="inlineStr">
        <is>
          <t>6320K33</t>
        </is>
      </c>
      <c r="C445" s="15" t="inlineStr">
        <is>
          <t>McMaster-Carr</t>
        </is>
      </c>
      <c r="D445" s="15" t="inlineStr">
        <is>
          <t>Plastic Adjustable-Position Handle with Stainless Steel 3/8"-16 Threaded 3/4" Long Stud, 1-3/4" Projection
(Same As 6320K25) - 4/11/22</t>
        </is>
      </c>
      <c r="E445" s="15" t="n"/>
      <c r="F445" s="17" t="inlineStr">
        <is>
          <t>Each</t>
        </is>
      </c>
      <c r="G445" s="15" t="inlineStr">
        <is>
          <t>McMaster-Carr</t>
        </is>
      </c>
      <c r="H445" s="15" t="inlineStr">
        <is>
          <t>6320K33</t>
        </is>
      </c>
      <c r="I445" s="15" t="inlineStr">
        <is>
          <t>NO</t>
        </is>
      </c>
      <c r="J445" s="18" t="n">
        <v>12.69</v>
      </c>
      <c r="K445" s="21" t="n">
        <v>45348</v>
      </c>
      <c r="L445" s="19" t="n">
        <v>0</v>
      </c>
      <c r="M445" s="20" t="n">
        <v>12.69</v>
      </c>
      <c r="N445" s="21" t="n">
        <v>45336</v>
      </c>
      <c r="O445" s="22" t="inlineStr">
        <is>
          <t>, 2/15/2024, 12.69</t>
        </is>
      </c>
      <c r="P445" s="24" t="n"/>
    </row>
    <row r="446" ht="33" customHeight="1">
      <c r="A446" s="14" t="inlineStr">
        <is>
          <t>6320K25</t>
        </is>
      </c>
      <c r="B446" s="15" t="inlineStr">
        <is>
          <t>6320K25</t>
        </is>
      </c>
      <c r="C446" s="15" t="inlineStr">
        <is>
          <t>McMaster-Carr</t>
        </is>
      </c>
      <c r="D446" s="15" t="inlineStr">
        <is>
          <t>Plastic Adjustable-Position Handle with Stainless Steel 3/8"-16 Threaded 3/4" Long Stud, 1-3/4" Projection - 4/11/22</t>
        </is>
      </c>
      <c r="E446" s="15" t="n"/>
      <c r="F446" s="17" t="inlineStr">
        <is>
          <t>Each</t>
        </is>
      </c>
      <c r="G446" s="15" t="inlineStr">
        <is>
          <t>McMaster-Carr</t>
        </is>
      </c>
      <c r="H446" s="15" t="inlineStr">
        <is>
          <t>6320K25</t>
        </is>
      </c>
      <c r="I446" s="15" t="inlineStr">
        <is>
          <t>NO</t>
        </is>
      </c>
      <c r="J446" s="18" t="n">
        <v>12.69</v>
      </c>
      <c r="K446" s="21" t="n">
        <v>45348</v>
      </c>
      <c r="L446" s="19" t="n">
        <v>0</v>
      </c>
      <c r="M446" s="20" t="n">
        <v>12.69</v>
      </c>
      <c r="N446" s="21" t="n">
        <v>45336</v>
      </c>
      <c r="O446" s="22" t="inlineStr">
        <is>
          <t>, 2/15/2024, 12.69</t>
        </is>
      </c>
      <c r="P446" s="24" t="n"/>
    </row>
    <row r="447" ht="33" customHeight="1">
      <c r="A447" s="43" t="inlineStr">
        <is>
          <t>FCPC-5</t>
        </is>
      </c>
      <c r="B447" s="15" t="inlineStr">
        <is>
          <t>FCPC-5</t>
        </is>
      </c>
      <c r="C447" s="15" t="inlineStr">
        <is>
          <t>Dorner</t>
        </is>
      </c>
      <c r="D447" s="15" t="inlineStr">
        <is>
          <t>FlexMove-105, Standard plain chain, 105mm Wide, 16.4 ft (5m) roll - 04/14/22</t>
        </is>
      </c>
      <c r="E447" s="15" t="n"/>
      <c r="F447" s="17" t="n"/>
      <c r="G447" s="15" t="inlineStr">
        <is>
          <t>Braas Co</t>
        </is>
      </c>
      <c r="H447" s="15" t="inlineStr">
        <is>
          <t>FCPC-5</t>
        </is>
      </c>
      <c r="I447" s="15" t="inlineStr">
        <is>
          <t>NO</t>
        </is>
      </c>
      <c r="J447" s="18" t="n">
        <v>356.8</v>
      </c>
      <c r="K447" s="14" t="n"/>
      <c r="L447" s="19" t="n"/>
      <c r="M447" s="20" t="n"/>
      <c r="N447" s="21" t="n"/>
      <c r="O447" s="22" t="n"/>
      <c r="P447" s="24" t="n"/>
    </row>
    <row r="448" ht="33" customHeight="1">
      <c r="A448" s="43" t="inlineStr">
        <is>
          <t>FSD63100-2C</t>
        </is>
      </c>
      <c r="B448" s="15" t="inlineStr">
        <is>
          <t>FSD63100-2C</t>
        </is>
      </c>
      <c r="C448" s="15" t="inlineStr">
        <is>
          <t>Dorner</t>
        </is>
      </c>
      <c r="D448" s="15" t="inlineStr">
        <is>
          <t>FlexMove-105 Sprocket, 12 Tooth, 25mm Round Bore w/ Keyway - 4/14/22</t>
        </is>
      </c>
      <c r="E448" s="15" t="n"/>
      <c r="F448" s="17" t="n"/>
      <c r="G448" s="15" t="inlineStr">
        <is>
          <t>Braas Co</t>
        </is>
      </c>
      <c r="H448" s="15" t="inlineStr">
        <is>
          <t>FSD63100-2C</t>
        </is>
      </c>
      <c r="I448" s="15" t="inlineStr">
        <is>
          <t>NO</t>
        </is>
      </c>
      <c r="J448" s="18" t="n">
        <v>75.25</v>
      </c>
      <c r="K448" s="14" t="n"/>
      <c r="L448" s="19" t="n"/>
      <c r="M448" s="20" t="n"/>
      <c r="N448" s="21" t="n"/>
      <c r="O448" s="22" t="n"/>
      <c r="P448" s="24" t="n"/>
    </row>
    <row r="449" ht="33" customHeight="1">
      <c r="A449" s="43" t="inlineStr">
        <is>
          <t>BSG020708</t>
        </is>
      </c>
      <c r="B449" s="15" t="inlineStr">
        <is>
          <t>BSG020708</t>
        </is>
      </c>
      <c r="C449" s="15" t="inlineStr">
        <is>
          <t>POBCO, Inc.</t>
        </is>
      </c>
      <c r="D449" s="15" t="inlineStr">
        <is>
          <t>BAR SNAP ON PROFILE TO FIT 1/8 RAIL BLACK NYLATRON
For FlexMove-105 - Priced Per Foot - 4/14/22</t>
        </is>
      </c>
      <c r="E449" s="15" t="n"/>
      <c r="F449" s="17" t="n"/>
      <c r="G449" s="15" t="inlineStr">
        <is>
          <t>POBCO, Inc.</t>
        </is>
      </c>
      <c r="H449" s="15" t="inlineStr">
        <is>
          <t>BSG020708</t>
        </is>
      </c>
      <c r="I449" s="15" t="inlineStr">
        <is>
          <t>NO</t>
        </is>
      </c>
      <c r="J449" s="18" t="n">
        <v>1.45</v>
      </c>
      <c r="K449" s="14" t="n"/>
      <c r="L449" s="19" t="n"/>
      <c r="M449" s="20" t="n"/>
      <c r="N449" s="21" t="n"/>
      <c r="O449" s="22" t="n"/>
      <c r="P449" s="24" t="n"/>
    </row>
    <row r="450" ht="33" customHeight="1">
      <c r="A450" s="43" t="inlineStr">
        <is>
          <t>FKPC-5</t>
        </is>
      </c>
      <c r="B450" s="15" t="inlineStr">
        <is>
          <t>FKPC-5</t>
        </is>
      </c>
      <c r="C450" s="15" t="inlineStr">
        <is>
          <t>Dorner</t>
        </is>
      </c>
      <c r="D450" s="15" t="inlineStr">
        <is>
          <t>FlexMove-45, Standard plain chain, 45mm Wide, 16.4 ft (5m) roll</t>
        </is>
      </c>
      <c r="E450" s="15" t="n">
        <v>16.4</v>
      </c>
      <c r="F450" s="17" t="inlineStr">
        <is>
          <t>ft</t>
        </is>
      </c>
      <c r="G450" s="15" t="inlineStr">
        <is>
          <t>Braas Co</t>
        </is>
      </c>
      <c r="H450" s="15" t="inlineStr">
        <is>
          <t>FKPC-5</t>
        </is>
      </c>
      <c r="I450" s="15" t="inlineStr">
        <is>
          <t>NO</t>
        </is>
      </c>
      <c r="J450" s="18" t="n">
        <v>247.8</v>
      </c>
      <c r="K450" s="21" t="n">
        <v>44663</v>
      </c>
      <c r="L450" s="19" t="n"/>
      <c r="M450" s="20" t="n"/>
      <c r="N450" s="21" t="n"/>
      <c r="O450" s="22" t="n"/>
      <c r="P450" s="24" t="n"/>
    </row>
    <row r="451" ht="33" customHeight="1">
      <c r="A451" s="43" t="inlineStr">
        <is>
          <t>FSD63100-2K</t>
        </is>
      </c>
      <c r="B451" s="15" t="inlineStr">
        <is>
          <t>FSD63100-2K</t>
        </is>
      </c>
      <c r="C451" s="15" t="inlineStr">
        <is>
          <t>Dorner</t>
        </is>
      </c>
      <c r="D451" s="15" t="inlineStr">
        <is>
          <t>FlexMove-45 Sprocket, 12 Tooth, 25mm Round Bore w/ Keyway</t>
        </is>
      </c>
      <c r="E451" s="15" t="n">
        <v>1</v>
      </c>
      <c r="F451" s="17" t="inlineStr">
        <is>
          <t>each</t>
        </is>
      </c>
      <c r="G451" s="15" t="inlineStr">
        <is>
          <t>Braas Co</t>
        </is>
      </c>
      <c r="H451" s="15" t="inlineStr">
        <is>
          <t>FSD63100-2K</t>
        </is>
      </c>
      <c r="I451" s="15" t="inlineStr">
        <is>
          <t>NO</t>
        </is>
      </c>
      <c r="J451" s="18" t="n">
        <v>75.25</v>
      </c>
      <c r="K451" s="21" t="n">
        <v>44663</v>
      </c>
      <c r="L451" s="19" t="n"/>
      <c r="M451" s="20" t="n"/>
      <c r="N451" s="21" t="n"/>
      <c r="O451" s="22" t="n"/>
      <c r="P451" s="24" t="n"/>
    </row>
    <row r="452" ht="33" customHeight="1">
      <c r="A452" s="43" t="inlineStr">
        <is>
          <t>BSP020404</t>
        </is>
      </c>
      <c r="B452" s="15" t="inlineStr">
        <is>
          <t>BSP020404</t>
        </is>
      </c>
      <c r="C452" s="15" t="inlineStr">
        <is>
          <t>POBCO, Inc.</t>
        </is>
      </c>
      <c r="D452" s="15" t="inlineStr">
        <is>
          <t>BAR SNAP ON PROFILE TO FIT 1/8 RAIL LUBED UHMWPE
For FlexMove-45</t>
        </is>
      </c>
      <c r="E452" s="15" t="n">
        <v>1</v>
      </c>
      <c r="F452" s="17" t="inlineStr">
        <is>
          <t>ft</t>
        </is>
      </c>
      <c r="G452" s="15" t="inlineStr">
        <is>
          <t>POBCO, Inc.</t>
        </is>
      </c>
      <c r="H452" s="15" t="inlineStr">
        <is>
          <t>BSP020404</t>
        </is>
      </c>
      <c r="I452" s="15" t="inlineStr">
        <is>
          <t>NO</t>
        </is>
      </c>
      <c r="J452" s="18" t="n">
        <v>3.25</v>
      </c>
      <c r="K452" s="21" t="n">
        <v>45378</v>
      </c>
      <c r="L452" s="19" t="n"/>
      <c r="M452" s="20" t="n"/>
      <c r="N452" s="21" t="n"/>
      <c r="O452" s="22" t="n"/>
      <c r="P452" s="24" t="n"/>
    </row>
    <row r="453" ht="33" customHeight="1">
      <c r="A453" s="14" t="inlineStr">
        <is>
          <t>SUCTFB-205</t>
        </is>
      </c>
      <c r="B453" s="15" t="inlineStr">
        <is>
          <t>SUCTFB-205</t>
        </is>
      </c>
      <c r="C453" s="15" t="inlineStr">
        <is>
          <t>IPTCI</t>
        </is>
      </c>
      <c r="D453" s="15" t="inlineStr">
        <is>
          <t>Corrosion Resistant 3 Bolt Flange Bearing, 25mm Bore, Thermoplastic Housing w/ SS Insert
EXTENDED LEAD TIME - 4/14/22</t>
        </is>
      </c>
      <c r="E453" s="15" t="n"/>
      <c r="F453" s="17" t="n"/>
      <c r="G453" s="15" t="inlineStr">
        <is>
          <t>IPTCI</t>
        </is>
      </c>
      <c r="H453" s="15" t="inlineStr">
        <is>
          <t>SUCTFB-205</t>
        </is>
      </c>
      <c r="I453" s="15" t="inlineStr">
        <is>
          <t>NO</t>
        </is>
      </c>
      <c r="J453" s="18" t="n">
        <v>49.21</v>
      </c>
      <c r="K453" s="14" t="n"/>
      <c r="L453" s="19" t="n"/>
      <c r="M453" s="20" t="n"/>
      <c r="N453" s="21" t="n"/>
      <c r="O453" s="22" t="n"/>
      <c r="P453" s="24" t="n"/>
    </row>
    <row r="454" ht="33" customHeight="1">
      <c r="A454" s="14" t="inlineStr">
        <is>
          <t>3761N112</t>
        </is>
      </c>
      <c r="B454" s="15" t="inlineStr">
        <is>
          <t>3761N112</t>
        </is>
      </c>
      <c r="C454" s="15" t="inlineStr">
        <is>
          <t>McMaster-Carr</t>
        </is>
      </c>
      <c r="D454" s="15" t="inlineStr">
        <is>
          <t>One-Piece Clamping Shaft Collar, 25mm Diameter Bore, White Acetal Plastic w/ 18-8 SS Screw</t>
        </is>
      </c>
      <c r="E454" s="15" t="n"/>
      <c r="F454" s="17" t="inlineStr">
        <is>
          <t>Each</t>
        </is>
      </c>
      <c r="G454" s="15" t="inlineStr">
        <is>
          <t>McMaster-Carr</t>
        </is>
      </c>
      <c r="H454" s="15" t="inlineStr">
        <is>
          <t>3761N112</t>
        </is>
      </c>
      <c r="I454" s="15" t="inlineStr">
        <is>
          <t>NO</t>
        </is>
      </c>
      <c r="J454" s="18" t="n">
        <v>30.56</v>
      </c>
      <c r="K454" s="21" t="n">
        <v>45348</v>
      </c>
      <c r="L454" s="19" t="n">
        <v>0</v>
      </c>
      <c r="M454" s="20" t="n">
        <v>30.56</v>
      </c>
      <c r="N454" s="21" t="n">
        <v>45336</v>
      </c>
      <c r="O454" s="22" t="inlineStr">
        <is>
          <t>, 2/15/2024, 30.56</t>
        </is>
      </c>
      <c r="P454" s="24" t="n"/>
    </row>
    <row r="455" ht="33" customHeight="1">
      <c r="A455" s="14" t="inlineStr">
        <is>
          <t>57715K37</t>
        </is>
      </c>
      <c r="B455" s="15" t="inlineStr">
        <is>
          <t>57715K37</t>
        </is>
      </c>
      <c r="C455" s="15" t="inlineStr">
        <is>
          <t>McMaster-Carr</t>
        </is>
      </c>
      <c r="D455" s="15" t="inlineStr">
        <is>
          <t>Plastic Three Arm Knob 10-32 Thread x 3/4" Long Steel Stud, 7/8" Diameter Head - 6/29/22</t>
        </is>
      </c>
      <c r="E455" s="15" t="n">
        <v>1</v>
      </c>
      <c r="F455" s="17" t="inlineStr">
        <is>
          <t>Each</t>
        </is>
      </c>
      <c r="G455" s="15" t="inlineStr">
        <is>
          <t>McMaster-Carr</t>
        </is>
      </c>
      <c r="H455" s="15" t="inlineStr">
        <is>
          <t>57715K37</t>
        </is>
      </c>
      <c r="I455" s="15" t="inlineStr">
        <is>
          <t>NO</t>
        </is>
      </c>
      <c r="J455" s="18" t="n">
        <v>1</v>
      </c>
      <c r="K455" s="21" t="n">
        <v>45456</v>
      </c>
      <c r="L455" s="19" t="n">
        <v>0</v>
      </c>
      <c r="M455" s="20" t="n">
        <v>1</v>
      </c>
      <c r="N455" s="21" t="n"/>
      <c r="O455" s="22" t="inlineStr">
        <is>
          <t>, 2/19/2024, 1, 2/26/2024, 1</t>
        </is>
      </c>
      <c r="P455" s="24" t="n"/>
    </row>
    <row r="456" ht="33" customHeight="1">
      <c r="A456" s="14" t="inlineStr">
        <is>
          <t>S3F8G5CHE7NG</t>
        </is>
      </c>
      <c r="B456" s="15" t="inlineStr">
        <is>
          <t>S3F8G5CHE7NG</t>
        </is>
      </c>
      <c r="C456" s="15" t="inlineStr">
        <is>
          <t>Intralox</t>
        </is>
      </c>
      <c r="D456" s="15" t="inlineStr">
        <is>
          <t>SERIES 1600 3.9" (12T) NATURAL ACETAL EZ CLEAN SPROCKET WITH 1.5" SQUARE BORE - 4/21/22</t>
        </is>
      </c>
      <c r="E456" s="15" t="n"/>
      <c r="F456" s="17" t="n"/>
      <c r="G456" s="15" t="inlineStr">
        <is>
          <t>S3F8G5CHE7NG</t>
        </is>
      </c>
      <c r="H456" s="15" t="inlineStr">
        <is>
          <t>Intralox</t>
        </is>
      </c>
      <c r="I456" s="15" t="inlineStr">
        <is>
          <t>NO</t>
        </is>
      </c>
      <c r="J456" s="18" t="n">
        <v>16.04</v>
      </c>
      <c r="K456" s="14" t="n"/>
      <c r="L456" s="19" t="n"/>
      <c r="M456" s="20" t="n"/>
      <c r="N456" s="21" t="n"/>
      <c r="O456" s="22" t="n"/>
      <c r="P456" s="24" t="n"/>
    </row>
    <row r="457" ht="33" customHeight="1">
      <c r="A457" s="14" t="inlineStr">
        <is>
          <t>55202Y</t>
        </is>
      </c>
      <c r="B457" s="15" t="inlineStr">
        <is>
          <t>55202Y</t>
        </is>
      </c>
      <c r="C457" s="15" t="inlineStr">
        <is>
          <t>Movex</t>
        </is>
      </c>
      <c r="D457" s="15" t="inlineStr">
        <is>
          <t>882 Split Idler Sprocket, 10 Tooth, 4.85" P.D., 1.25" Bore, Keyway and Setscrew, Machined Polyamide - Split Drive Sprocket - 05.31.22</t>
        </is>
      </c>
      <c r="E457" s="15" t="n"/>
      <c r="F457" s="17" t="n"/>
      <c r="G457" s="15" t="inlineStr">
        <is>
          <t>Belt Service</t>
        </is>
      </c>
      <c r="H457" s="15" t="inlineStr">
        <is>
          <t>55202Y</t>
        </is>
      </c>
      <c r="I457" s="15" t="inlineStr">
        <is>
          <t>NO</t>
        </is>
      </c>
      <c r="J457" s="18" t="n">
        <v>44.28</v>
      </c>
      <c r="K457" s="14" t="n"/>
      <c r="L457" s="19" t="n"/>
      <c r="M457" s="20" t="n"/>
      <c r="N457" s="21" t="n"/>
      <c r="O457" s="22" t="n"/>
      <c r="P457" s="24" t="n"/>
    </row>
    <row r="458" ht="33" customHeight="1">
      <c r="A458" s="14" t="inlineStr">
        <is>
          <t>55252Y</t>
        </is>
      </c>
      <c r="B458" s="15" t="inlineStr">
        <is>
          <t>55252Y</t>
        </is>
      </c>
      <c r="C458" s="15" t="inlineStr">
        <is>
          <t>Movex</t>
        </is>
      </c>
      <c r="D458" s="15" t="inlineStr">
        <is>
          <t>882 Split Idler Sprocket, 10 Tooth, 4.85" P.D., 1.25" Bore, Setscrew, Machined Polyamide - Split Idler Sprocket - 05.31.22</t>
        </is>
      </c>
      <c r="E458" s="15" t="n"/>
      <c r="F458" s="17" t="n"/>
      <c r="G458" s="15" t="inlineStr">
        <is>
          <t>Belt Service</t>
        </is>
      </c>
      <c r="H458" s="15" t="inlineStr">
        <is>
          <t>55252Y</t>
        </is>
      </c>
      <c r="I458" s="15" t="inlineStr">
        <is>
          <t>NO</t>
        </is>
      </c>
      <c r="J458" s="18" t="n">
        <v>42.34</v>
      </c>
      <c r="K458" s="14" t="n"/>
      <c r="L458" s="19" t="n"/>
      <c r="M458" s="20" t="n"/>
      <c r="N458" s="21" t="n"/>
      <c r="O458" s="22" t="n"/>
      <c r="P458" s="24" t="n"/>
    </row>
    <row r="459" ht="33" customHeight="1">
      <c r="A459" s="14" t="inlineStr">
        <is>
          <t>6280K442</t>
        </is>
      </c>
      <c r="B459" s="15" t="inlineStr">
        <is>
          <t>6280K442</t>
        </is>
      </c>
      <c r="C459" s="15" t="inlineStr">
        <is>
          <t>McMaster-Carr</t>
        </is>
      </c>
      <c r="D459" s="15" t="inlineStr">
        <is>
          <t>Roller Chain Sprocket for ANSI 35 Chain, 22 Teeth, for 3/4" Shaft Diameter - 06.14.22</t>
        </is>
      </c>
      <c r="E459" s="15" t="n"/>
      <c r="F459" s="17" t="inlineStr">
        <is>
          <t>Each</t>
        </is>
      </c>
      <c r="G459" s="15" t="inlineStr">
        <is>
          <t>McMaster-Carr</t>
        </is>
      </c>
      <c r="H459" s="15" t="inlineStr">
        <is>
          <t>6280K442</t>
        </is>
      </c>
      <c r="I459" s="15" t="inlineStr">
        <is>
          <t>NO</t>
        </is>
      </c>
      <c r="J459" s="18" t="n">
        <v>32.12</v>
      </c>
      <c r="K459" s="21" t="n">
        <v>45348</v>
      </c>
      <c r="L459" s="19" t="n">
        <v>0</v>
      </c>
      <c r="M459" s="20" t="n">
        <v>32.12</v>
      </c>
      <c r="N459" s="21" t="n">
        <v>45336</v>
      </c>
      <c r="O459" s="22" t="inlineStr">
        <is>
          <t>, 2/15/2024, 32.12</t>
        </is>
      </c>
      <c r="P459" s="24" t="n"/>
    </row>
    <row r="460" ht="33" customHeight="1">
      <c r="A460" s="14" t="inlineStr">
        <is>
          <t>92240A636</t>
        </is>
      </c>
      <c r="B460" s="15" t="inlineStr">
        <is>
          <t>92240A636</t>
        </is>
      </c>
      <c r="C460" s="15" t="inlineStr">
        <is>
          <t>McMaster-Carr</t>
        </is>
      </c>
      <c r="D460" s="15" t="inlineStr">
        <is>
          <t>18-8 Stainless Steel Hex Head Screw 3/8"-16 Thread Size, 3" Long, Fully Threaded - PACK OF 5 - 06.14.22</t>
        </is>
      </c>
      <c r="E460" s="15" t="n">
        <v>5</v>
      </c>
      <c r="F460" s="17" t="inlineStr">
        <is>
          <t>pack</t>
        </is>
      </c>
      <c r="G460" s="15" t="inlineStr">
        <is>
          <t>McMaster-Carr</t>
        </is>
      </c>
      <c r="H460" s="15" t="inlineStr">
        <is>
          <t>92240A636</t>
        </is>
      </c>
      <c r="I460" s="15" t="inlineStr">
        <is>
          <t>NO</t>
        </is>
      </c>
      <c r="J460" s="18" t="n">
        <v>4.48</v>
      </c>
      <c r="K460" s="21" t="n">
        <v>45348</v>
      </c>
      <c r="L460" s="19" t="n">
        <v>0</v>
      </c>
      <c r="M460" s="20" t="n">
        <v>4.48</v>
      </c>
      <c r="N460" s="21" t="n">
        <v>45336</v>
      </c>
      <c r="O460" s="22" t="inlineStr">
        <is>
          <t>, 2/15/2024, 4.48</t>
        </is>
      </c>
      <c r="P460" s="24" t="n"/>
    </row>
    <row r="461" ht="33" customHeight="1">
      <c r="A461" s="14" t="inlineStr">
        <is>
          <t>92311A628</t>
        </is>
      </c>
      <c r="B461" s="15" t="inlineStr">
        <is>
          <t>92311A628</t>
        </is>
      </c>
      <c r="C461" s="15" t="inlineStr">
        <is>
          <t>McMaster-Carr</t>
        </is>
      </c>
      <c r="D461" s="15" t="inlineStr">
        <is>
          <t>18-8 Stainless Steel Cup-Point Set Screw 3/8"-16 Thread, 1-1/2" Long - PACK OF 10 - 06.14.22</t>
        </is>
      </c>
      <c r="E461" s="15" t="n">
        <v>10</v>
      </c>
      <c r="F461" s="17" t="inlineStr">
        <is>
          <t>pack</t>
        </is>
      </c>
      <c r="G461" s="15" t="inlineStr">
        <is>
          <t>McMaster-Carr</t>
        </is>
      </c>
      <c r="H461" s="15" t="inlineStr">
        <is>
          <t>92311A628</t>
        </is>
      </c>
      <c r="I461" s="15" t="inlineStr">
        <is>
          <t>NO</t>
        </is>
      </c>
      <c r="J461" s="18" t="n">
        <v>11.22</v>
      </c>
      <c r="K461" s="21" t="n">
        <v>45348</v>
      </c>
      <c r="L461" s="19" t="n">
        <v>0</v>
      </c>
      <c r="M461" s="20" t="n">
        <v>11.22</v>
      </c>
      <c r="N461" s="21" t="n"/>
      <c r="O461" s="22" t="inlineStr">
        <is>
          <t>, 2/15/2024, 11.22</t>
        </is>
      </c>
      <c r="P461" s="24" t="n"/>
    </row>
    <row r="462" ht="33" customHeight="1">
      <c r="A462" s="14" t="inlineStr">
        <is>
          <t>95066A214</t>
        </is>
      </c>
      <c r="B462" s="15" t="inlineStr">
        <is>
          <t>95066A214</t>
        </is>
      </c>
      <c r="C462" s="15" t="inlineStr">
        <is>
          <t>McMaster-Carr</t>
        </is>
      </c>
      <c r="D462" s="15" t="inlineStr">
        <is>
          <t>18-8 Stainless Steel Acme Hex Nut Right Hand, 3/4"-5 Thread Size - PACK OF 1 - 06.14.22</t>
        </is>
      </c>
      <c r="E462" s="15" t="n"/>
      <c r="F462" s="17" t="inlineStr">
        <is>
          <t>Each</t>
        </is>
      </c>
      <c r="G462" s="15" t="inlineStr">
        <is>
          <t>McMaster-Carr</t>
        </is>
      </c>
      <c r="H462" s="15" t="inlineStr">
        <is>
          <t>95066A214</t>
        </is>
      </c>
      <c r="I462" s="15" t="inlineStr">
        <is>
          <t>NO</t>
        </is>
      </c>
      <c r="J462" s="18" t="n">
        <v>23.74</v>
      </c>
      <c r="K462" s="21" t="n">
        <v>45348</v>
      </c>
      <c r="L462" s="19" t="n">
        <v>0</v>
      </c>
      <c r="M462" s="20" t="n">
        <v>23.74</v>
      </c>
      <c r="N462" s="21" t="n">
        <v>45336</v>
      </c>
      <c r="O462" s="22" t="inlineStr">
        <is>
          <t>, 2/15/2024, 23.74</t>
        </is>
      </c>
      <c r="P462" s="24" t="n"/>
    </row>
    <row r="463" ht="33" customHeight="1">
      <c r="A463" s="14" t="inlineStr">
        <is>
          <t>97832A142</t>
        </is>
      </c>
      <c r="B463" s="15" t="inlineStr">
        <is>
          <t>97832A142</t>
        </is>
      </c>
      <c r="C463" s="15" t="inlineStr">
        <is>
          <t>McMaster-Carr</t>
        </is>
      </c>
      <c r="D463" s="15" t="inlineStr">
        <is>
          <t>18-8 Stainless Steel Shoulder Screw 1/2" Shoulder Diameter, 1/4" Shoulder Length, 5/16"-18 Thread Size - PACK OF 1 - 06.14.22</t>
        </is>
      </c>
      <c r="E463" s="15" t="n"/>
      <c r="F463" s="17" t="inlineStr">
        <is>
          <t>Each</t>
        </is>
      </c>
      <c r="G463" s="15" t="inlineStr">
        <is>
          <t>McMaster-Carr</t>
        </is>
      </c>
      <c r="H463" s="15" t="inlineStr">
        <is>
          <t>97832A142</t>
        </is>
      </c>
      <c r="I463" s="15" t="inlineStr">
        <is>
          <t>NO</t>
        </is>
      </c>
      <c r="J463" s="18" t="n">
        <v>6.06</v>
      </c>
      <c r="K463" s="21" t="n">
        <v>45348</v>
      </c>
      <c r="L463" s="19" t="n">
        <v>0</v>
      </c>
      <c r="M463" s="20" t="n">
        <v>6.06</v>
      </c>
      <c r="N463" s="21" t="n"/>
      <c r="O463" s="22" t="inlineStr">
        <is>
          <t>, 2/19/2024, 6.06</t>
        </is>
      </c>
      <c r="P463" s="24" t="n"/>
    </row>
    <row r="464" ht="33" customHeight="1">
      <c r="A464" s="43" t="inlineStr">
        <is>
          <t>4384K4</t>
        </is>
      </c>
      <c r="B464" s="15" t="inlineStr">
        <is>
          <t>4384K4</t>
        </is>
      </c>
      <c r="C464" s="15" t="inlineStr">
        <is>
          <t>McMaster-Carr</t>
        </is>
      </c>
      <c r="D464" s="44" t="inlineStr">
        <is>
          <t>Stainless Steel Four Arm Knob, 1/2"-13 Threaded Through Hole - 6/30/22</t>
        </is>
      </c>
      <c r="E464" s="44" t="n"/>
      <c r="F464" s="17" t="inlineStr">
        <is>
          <t>Each</t>
        </is>
      </c>
      <c r="G464" s="15" t="inlineStr">
        <is>
          <t>McMaster-Carr</t>
        </is>
      </c>
      <c r="H464" s="15" t="inlineStr">
        <is>
          <t>4384K4</t>
        </is>
      </c>
      <c r="I464" s="15" t="inlineStr">
        <is>
          <t>NO</t>
        </is>
      </c>
      <c r="J464" s="18" t="n">
        <v>31.89</v>
      </c>
      <c r="K464" s="21" t="n">
        <v>45348</v>
      </c>
      <c r="L464" s="19" t="n">
        <v>0</v>
      </c>
      <c r="M464" s="20" t="n">
        <v>31.89</v>
      </c>
      <c r="N464" s="21" t="n">
        <v>45341</v>
      </c>
      <c r="O464" s="22" t="inlineStr">
        <is>
          <t>, 2/19/2024, 24.8</t>
        </is>
      </c>
      <c r="P464" s="24" t="n"/>
    </row>
    <row r="465" ht="33" customHeight="1">
      <c r="A465" s="14" t="inlineStr">
        <is>
          <t>90145A911</t>
        </is>
      </c>
      <c r="B465" s="15" t="inlineStr">
        <is>
          <t>90145A911</t>
        </is>
      </c>
      <c r="C465" s="15" t="inlineStr">
        <is>
          <t>McMaster-Carr</t>
        </is>
      </c>
      <c r="D465" s="15" t="inlineStr">
        <is>
          <t>18-8 Stainless Steel Dowel Pin 3/8" Diameter, 3/8" Long - Pack of 1 - 6/30/22</t>
        </is>
      </c>
      <c r="E465" s="15" t="n">
        <v>1</v>
      </c>
      <c r="F465" s="17" t="inlineStr">
        <is>
          <t>pack</t>
        </is>
      </c>
      <c r="G465" s="15" t="inlineStr">
        <is>
          <t>McMaster-Carr</t>
        </is>
      </c>
      <c r="H465" s="15" t="inlineStr">
        <is>
          <t>90145A911</t>
        </is>
      </c>
      <c r="I465" s="15" t="inlineStr">
        <is>
          <t>NO</t>
        </is>
      </c>
      <c r="J465" s="18" t="n">
        <v>1.86</v>
      </c>
      <c r="K465" s="21" t="n">
        <v>45348</v>
      </c>
      <c r="L465" s="19" t="n">
        <v>0</v>
      </c>
      <c r="M465" s="20" t="n">
        <v>1.86</v>
      </c>
      <c r="N465" s="21" t="n">
        <v>45336</v>
      </c>
      <c r="O465" s="22" t="inlineStr">
        <is>
          <t>, 2/15/2024, 1.86</t>
        </is>
      </c>
      <c r="P465" s="24" t="n"/>
    </row>
    <row r="466" ht="33" customHeight="1">
      <c r="A466" s="14" t="inlineStr">
        <is>
          <t>AZ15/16-B1</t>
        </is>
      </c>
      <c r="B466" s="15" t="inlineStr">
        <is>
          <t>AZ15/16-B1</t>
        </is>
      </c>
      <c r="C466" s="15" t="inlineStr">
        <is>
          <t>Allied Electronics</t>
        </is>
      </c>
      <c r="D466" s="15" t="inlineStr">
        <is>
          <t>Schmersal Actuator Key, Straight, for AZ 15 &amp; AZ 16 Interlocks- 6/30/22</t>
        </is>
      </c>
      <c r="E466" s="15" t="n"/>
      <c r="F466" s="17" t="n"/>
      <c r="G466" s="15" t="inlineStr">
        <is>
          <t>Allied Electronics</t>
        </is>
      </c>
      <c r="H466" s="15" t="n">
        <v>71931379</v>
      </c>
      <c r="I466" s="15" t="inlineStr">
        <is>
          <t>NO</t>
        </is>
      </c>
      <c r="J466" s="18" t="n">
        <v>11.02</v>
      </c>
      <c r="K466" s="14" t="n"/>
      <c r="L466" s="19" t="n"/>
      <c r="M466" s="20" t="n"/>
      <c r="N466" s="21" t="n"/>
      <c r="O466" s="22" t="n"/>
      <c r="P466" s="24" t="n"/>
    </row>
    <row r="467" ht="33" customHeight="1">
      <c r="A467" s="14" t="inlineStr">
        <is>
          <t>AZ16-12ZVRK-M20</t>
        </is>
      </c>
      <c r="B467" s="15" t="inlineStr">
        <is>
          <t>AZ16-12ZVRK-M20</t>
        </is>
      </c>
      <c r="C467" s="15" t="inlineStr">
        <is>
          <t>Allied Electronics</t>
        </is>
      </c>
      <c r="D467" s="15" t="inlineStr">
        <is>
          <t>Schmersal Safety Switch, 1NO/2NC, Screw Connection- 6/30/22</t>
        </is>
      </c>
      <c r="E467" s="15" t="n"/>
      <c r="F467" s="17" t="n"/>
      <c r="G467" s="15" t="inlineStr">
        <is>
          <t>Allied Electronics</t>
        </is>
      </c>
      <c r="H467" s="15" t="n">
        <v>72334230</v>
      </c>
      <c r="I467" s="15" t="inlineStr">
        <is>
          <t>NO</t>
        </is>
      </c>
      <c r="J467" s="18" t="n">
        <v>123.15</v>
      </c>
      <c r="K467" s="14" t="n"/>
      <c r="L467" s="19" t="n"/>
      <c r="M467" s="20" t="n"/>
      <c r="N467" s="21" t="n"/>
      <c r="O467" s="22" t="n"/>
      <c r="P467" s="24" t="n"/>
    </row>
    <row r="468" ht="181.5" customHeight="1">
      <c r="A468" s="14" t="inlineStr">
        <is>
          <t>BAF-18</t>
        </is>
      </c>
      <c r="B468" s="15" t="inlineStr">
        <is>
          <t>BAF-18</t>
        </is>
      </c>
      <c r="C468" s="15" t="inlineStr">
        <is>
          <t>Cincinnati Fan</t>
        </is>
      </c>
      <c r="D468" s="15" t="inlineStr">
        <is>
          <t>Cincinnati Fan BAF-18, (Reference CFV 2105390)
ACFM=3,520, SP=0.56in.wg, Temp.=70'F, Altitude=0ft.ASL, Density=0.075lb/ft3, Fan RPM=2041, BHP=0.73
18/6-12/35 Prop, Standard Steel Housing &amp; Aluminum Propeller
Steel parts provided w/ Epoxy Powdercoat; Aluminum Prop is NOT coated
MOTOR: 1 HP, 1750 RPM, 3PH/60Hz/230/460V, TEFC, Prem Eff, FM, 143T, 1.15 SF, F Insul.,40C Amb.
VFD Capable 20:1 VT (VFD is NOT included)
Motor &amp; Drive mounting included.
Belt Guard Only, Standard Steel painted Safety Yellow
Fixed Drives,1.3 Service Factor
Discharge Guard Included
PRICING CONFIRMED - 7/12/22</t>
        </is>
      </c>
      <c r="E468" s="15" t="n"/>
      <c r="F468" s="17" t="n"/>
      <c r="G468" s="15" t="inlineStr">
        <is>
          <t>Todd Air Solutions</t>
        </is>
      </c>
      <c r="H468" s="15" t="inlineStr">
        <is>
          <t>BAF-18</t>
        </is>
      </c>
      <c r="I468" s="15" t="inlineStr">
        <is>
          <t>NO</t>
        </is>
      </c>
      <c r="J468" s="18" t="n">
        <v>2047</v>
      </c>
      <c r="K468" s="14" t="n"/>
      <c r="L468" s="19" t="n"/>
      <c r="M468" s="20" t="n"/>
      <c r="N468" s="21" t="n"/>
      <c r="O468" s="22" t="n"/>
      <c r="P468" s="24" t="n"/>
    </row>
    <row r="469" ht="33" customHeight="1">
      <c r="A469" s="14" t="inlineStr">
        <is>
          <t>1213T12</t>
        </is>
      </c>
      <c r="B469" s="15" t="inlineStr">
        <is>
          <t>1213T12</t>
        </is>
      </c>
      <c r="C469" s="15" t="inlineStr">
        <is>
          <t>McMaster-Carr</t>
        </is>
      </c>
      <c r="D469" s="15" t="inlineStr">
        <is>
          <t>High-Noise-Reducing Muffler with Polypropylene Plastic Fitting, 3/8 Pipe Connection - 7/20/22</t>
        </is>
      </c>
      <c r="E469" s="15" t="n"/>
      <c r="F469" s="17" t="inlineStr">
        <is>
          <t>Each</t>
        </is>
      </c>
      <c r="G469" s="15" t="inlineStr">
        <is>
          <t>McMaster-Carr</t>
        </is>
      </c>
      <c r="H469" s="15" t="inlineStr">
        <is>
          <t>1213T12</t>
        </is>
      </c>
      <c r="I469" s="15" t="inlineStr">
        <is>
          <t>NO</t>
        </is>
      </c>
      <c r="J469" s="18" t="n">
        <v>4.6</v>
      </c>
      <c r="K469" s="21" t="n">
        <v>45348</v>
      </c>
      <c r="L469" s="19" t="n">
        <v>0</v>
      </c>
      <c r="M469" s="20" t="n">
        <v>4.6</v>
      </c>
      <c r="N469" s="21" t="n"/>
      <c r="O469" s="22" t="inlineStr">
        <is>
          <t>, 2/15/2024, 4.6</t>
        </is>
      </c>
      <c r="P469" s="24" t="n"/>
    </row>
    <row r="470" ht="33" customHeight="1">
      <c r="A470" s="43" t="inlineStr">
        <is>
          <t>2500T587</t>
        </is>
      </c>
      <c r="B470" s="15" t="inlineStr">
        <is>
          <t>2500T587</t>
        </is>
      </c>
      <c r="C470" s="15" t="inlineStr">
        <is>
          <t>McMaster-Carr</t>
        </is>
      </c>
      <c r="D470" s="15" t="inlineStr">
        <is>
          <t>Wear-Resistant Sprocket for ANSI 40 Chain, 25 Teeth, for 3/4" Shaft Diameter - 7/20/22</t>
        </is>
      </c>
      <c r="E470" s="15" t="n"/>
      <c r="F470" s="17" t="inlineStr">
        <is>
          <t>Each</t>
        </is>
      </c>
      <c r="G470" s="15" t="inlineStr">
        <is>
          <t>McMaster-Carr</t>
        </is>
      </c>
      <c r="H470" s="15" t="inlineStr">
        <is>
          <t>2500T587</t>
        </is>
      </c>
      <c r="I470" s="15" t="inlineStr">
        <is>
          <t>NO</t>
        </is>
      </c>
      <c r="J470" s="18" t="n">
        <v>65.92</v>
      </c>
      <c r="K470" s="21" t="n">
        <v>45348</v>
      </c>
      <c r="L470" s="19" t="n">
        <v>0</v>
      </c>
      <c r="M470" s="20" t="n">
        <v>65.92</v>
      </c>
      <c r="N470" s="21" t="n">
        <v>45336</v>
      </c>
      <c r="O470" s="22" t="inlineStr">
        <is>
          <t>, 2/15/2024, 65.92</t>
        </is>
      </c>
      <c r="P470" s="24" t="n"/>
    </row>
    <row r="471" ht="33" customHeight="1">
      <c r="A471" s="43" t="inlineStr">
        <is>
          <t>9307K14</t>
        </is>
      </c>
      <c r="B471" s="15" t="inlineStr">
        <is>
          <t>9307K14</t>
        </is>
      </c>
      <c r="C471" s="15" t="inlineStr">
        <is>
          <t>McMaster-Carr</t>
        </is>
      </c>
      <c r="D471" s="15" t="inlineStr">
        <is>
          <t>Buna-N Rubber Grommets for 7/16" Hole Diameter and 1/8" Material Thickness, 1/4" ID - 7/20/22</t>
        </is>
      </c>
      <c r="E471" s="15" t="n">
        <v>50</v>
      </c>
      <c r="F471" s="17" t="inlineStr">
        <is>
          <t>pack</t>
        </is>
      </c>
      <c r="G471" s="15" t="inlineStr">
        <is>
          <t>McMaster-Carr</t>
        </is>
      </c>
      <c r="H471" s="15" t="inlineStr">
        <is>
          <t>9307K14</t>
        </is>
      </c>
      <c r="I471" s="15" t="inlineStr">
        <is>
          <t>NO</t>
        </is>
      </c>
      <c r="J471" s="18" t="n">
        <v>5.46</v>
      </c>
      <c r="K471" s="21" t="n">
        <v>45348</v>
      </c>
      <c r="L471" s="19" t="n">
        <v>0</v>
      </c>
      <c r="M471" s="20" t="n">
        <v>5.46</v>
      </c>
      <c r="N471" s="21" t="n"/>
      <c r="O471" s="22" t="inlineStr">
        <is>
          <t>, 2/15/2024, 5.46</t>
        </is>
      </c>
      <c r="P471" s="24" t="n"/>
    </row>
    <row r="472" ht="33" customHeight="1">
      <c r="A472" s="43" t="inlineStr">
        <is>
          <t>93750A497</t>
        </is>
      </c>
      <c r="B472" s="15" t="inlineStr">
        <is>
          <t>93750A497</t>
        </is>
      </c>
      <c r="C472" s="15" t="inlineStr">
        <is>
          <t>McMaster-Carr</t>
        </is>
      </c>
      <c r="D472" s="15" t="inlineStr">
        <is>
          <t>T-Handle Locking Quick-Release Pin with Lanyard, 3/8" Diameter, 1-1/4" Usable Length - 7/20/22</t>
        </is>
      </c>
      <c r="E472" s="15" t="n"/>
      <c r="F472" s="17" t="inlineStr">
        <is>
          <t>Each</t>
        </is>
      </c>
      <c r="G472" s="15" t="inlineStr">
        <is>
          <t>McMaster-Carr</t>
        </is>
      </c>
      <c r="H472" s="15" t="inlineStr">
        <is>
          <t>93750A497</t>
        </is>
      </c>
      <c r="I472" s="15" t="inlineStr">
        <is>
          <t>NO</t>
        </is>
      </c>
      <c r="J472" s="18" t="n">
        <v>34.78</v>
      </c>
      <c r="K472" s="21" t="n">
        <v>45348</v>
      </c>
      <c r="L472" s="19" t="n">
        <v>0</v>
      </c>
      <c r="M472" s="20" t="n">
        <v>34.78</v>
      </c>
      <c r="N472" s="21" t="n">
        <v>45336</v>
      </c>
      <c r="O472" s="22" t="inlineStr">
        <is>
          <t>, 2/15/2024, 34.78</t>
        </is>
      </c>
      <c r="P472" s="24" t="n"/>
    </row>
    <row r="473" ht="33" customHeight="1">
      <c r="A473" s="43" t="inlineStr">
        <is>
          <t>90298A707</t>
        </is>
      </c>
      <c r="B473" s="15" t="inlineStr">
        <is>
          <t>90298A707</t>
        </is>
      </c>
      <c r="C473" s="15" t="inlineStr">
        <is>
          <t>McMaster-Carr</t>
        </is>
      </c>
      <c r="D473" s="15" t="inlineStr">
        <is>
          <t>18-8 Stainless Steel Shoulder Screw with Passivated Finish, 1/2" Shoulder Diameter, 1/2" Shoulder Length</t>
        </is>
      </c>
      <c r="E473" s="15" t="n">
        <v>1</v>
      </c>
      <c r="F473" s="17" t="inlineStr">
        <is>
          <t>Each</t>
        </is>
      </c>
      <c r="G473" s="15" t="inlineStr">
        <is>
          <t>McMaster-Carr</t>
        </is>
      </c>
      <c r="H473" s="15" t="inlineStr">
        <is>
          <t>90298A707</t>
        </is>
      </c>
      <c r="I473" s="15" t="inlineStr">
        <is>
          <t>NO</t>
        </is>
      </c>
      <c r="J473" s="18" t="n">
        <v>8.699999999999999</v>
      </c>
      <c r="K473" s="21" t="n">
        <v>45456</v>
      </c>
      <c r="L473" s="19" t="n">
        <v>0</v>
      </c>
      <c r="M473" s="20" t="n">
        <v>8.699999999999999</v>
      </c>
      <c r="N473" s="21" t="n">
        <v>45341</v>
      </c>
      <c r="O473" s="22" t="inlineStr">
        <is>
          <t>, 2/19/2024, 7.2, 2/26/2024, 8.7</t>
        </is>
      </c>
      <c r="P473" s="24" t="n"/>
    </row>
    <row r="474" ht="33" customHeight="1">
      <c r="A474" s="43" t="inlineStr">
        <is>
          <t>92125A296</t>
        </is>
      </c>
      <c r="B474" s="15" t="inlineStr">
        <is>
          <t>92125A296</t>
        </is>
      </c>
      <c r="C474" s="15" t="inlineStr">
        <is>
          <t>McMaster-Carr</t>
        </is>
      </c>
      <c r="D474" s="15" t="inlineStr">
        <is>
          <t>18-8 Stainless Steel Hex Drive Flat Head Screw M8 x 1.25 mm Thread, 45 mm Long - Pack of 10 - 7/20/22</t>
        </is>
      </c>
      <c r="E474" s="15" t="n">
        <v>10</v>
      </c>
      <c r="F474" s="17" t="inlineStr">
        <is>
          <t>pack</t>
        </is>
      </c>
      <c r="G474" s="15" t="inlineStr">
        <is>
          <t>McMaster-Carr</t>
        </is>
      </c>
      <c r="H474" s="15" t="inlineStr">
        <is>
          <t>92125A296</t>
        </is>
      </c>
      <c r="I474" s="15" t="inlineStr">
        <is>
          <t>NO</t>
        </is>
      </c>
      <c r="J474" s="18" t="n">
        <v>9.9</v>
      </c>
      <c r="K474" s="21" t="n">
        <v>45456</v>
      </c>
      <c r="L474" s="19" t="n">
        <v>0</v>
      </c>
      <c r="M474" s="20" t="n">
        <v>9.9</v>
      </c>
      <c r="N474" s="21" t="n"/>
      <c r="O474" s="22" t="inlineStr">
        <is>
          <t>, 2/15/2024, 9.9, 2/26/2024, 9.9</t>
        </is>
      </c>
      <c r="P474" s="24" t="n"/>
    </row>
    <row r="475" ht="33" customHeight="1">
      <c r="A475" s="43" t="inlineStr">
        <is>
          <t>92210A203</t>
        </is>
      </c>
      <c r="B475" s="15" t="inlineStr">
        <is>
          <t>92210A203</t>
        </is>
      </c>
      <c r="C475" s="15" t="inlineStr">
        <is>
          <t>McMaster-Carr</t>
        </is>
      </c>
      <c r="D475" s="15" t="inlineStr">
        <is>
          <t>18-8 Stainless Steel Hex Drive Flat Head Screw 82 Degree Countersink Angle, 8-32 Thread Size, 1-1/2" Long - Pack of 50 - 7/20/22</t>
        </is>
      </c>
      <c r="E475" s="15" t="n">
        <v>50</v>
      </c>
      <c r="F475" s="17" t="inlineStr">
        <is>
          <t>pack</t>
        </is>
      </c>
      <c r="G475" s="15" t="inlineStr">
        <is>
          <t>McMaster-Carr</t>
        </is>
      </c>
      <c r="H475" s="15" t="inlineStr">
        <is>
          <t>92210A203</t>
        </is>
      </c>
      <c r="I475" s="15" t="inlineStr">
        <is>
          <t>NO</t>
        </is>
      </c>
      <c r="J475" s="18" t="n">
        <v>9.050000000000001</v>
      </c>
      <c r="K475" s="21" t="n">
        <v>45348</v>
      </c>
      <c r="L475" s="19" t="n">
        <v>0</v>
      </c>
      <c r="M475" s="20" t="n">
        <v>9.050000000000001</v>
      </c>
      <c r="N475" s="21" t="n">
        <v>45336</v>
      </c>
      <c r="O475" s="22" t="inlineStr">
        <is>
          <t>, 2/15/2024, 9.05</t>
        </is>
      </c>
      <c r="P475" s="24" t="n"/>
    </row>
    <row r="476" ht="33" customHeight="1">
      <c r="A476" s="43" t="inlineStr">
        <is>
          <t>92320A732</t>
        </is>
      </c>
      <c r="B476" s="15" t="inlineStr">
        <is>
          <t>92320A732</t>
        </is>
      </c>
      <c r="C476" s="15" t="inlineStr">
        <is>
          <t>McMaster-Carr</t>
        </is>
      </c>
      <c r="D476" s="15" t="inlineStr">
        <is>
          <t>18-8 Stainless Steel Unthreaded Spacer 3/4" OD, 3/4" Long, for 3/8" Screw Size - 7/20/22</t>
        </is>
      </c>
      <c r="E476" s="15" t="n"/>
      <c r="F476" s="17" t="inlineStr">
        <is>
          <t>Each</t>
        </is>
      </c>
      <c r="G476" s="15" t="inlineStr">
        <is>
          <t>McMaster-Carr</t>
        </is>
      </c>
      <c r="H476" s="15" t="inlineStr">
        <is>
          <t>92320A732</t>
        </is>
      </c>
      <c r="I476" s="15" t="inlineStr">
        <is>
          <t>NO</t>
        </is>
      </c>
      <c r="J476" s="18" t="n">
        <v>13.29</v>
      </c>
      <c r="K476" s="21" t="n">
        <v>45348</v>
      </c>
      <c r="L476" s="19" t="n">
        <v>0</v>
      </c>
      <c r="M476" s="20" t="n">
        <v>13.29</v>
      </c>
      <c r="N476" s="21" t="n"/>
      <c r="O476" s="22" t="inlineStr">
        <is>
          <t>, 2/19/2024, 13.29</t>
        </is>
      </c>
      <c r="P476" s="24" t="n"/>
    </row>
    <row r="477" ht="33" customHeight="1">
      <c r="A477" s="43" t="inlineStr">
        <is>
          <t>6236K323</t>
        </is>
      </c>
      <c r="B477" s="15" t="inlineStr">
        <is>
          <t>6236K323</t>
        </is>
      </c>
      <c r="C477" s="15" t="inlineStr">
        <is>
          <t>McMaster-Carr</t>
        </is>
      </c>
      <c r="D477" s="15" t="inlineStr">
        <is>
          <t>Roller Chain Sprocket for ANSI 40 Chain, 25 Teeth, for 1" Shaft Diameter - 7/21/22</t>
        </is>
      </c>
      <c r="E477" s="15" t="n"/>
      <c r="F477" s="17" t="inlineStr">
        <is>
          <t>Each</t>
        </is>
      </c>
      <c r="G477" s="15" t="inlineStr">
        <is>
          <t>McMaster-Carr</t>
        </is>
      </c>
      <c r="H477" s="15" t="inlineStr">
        <is>
          <t>6236K323</t>
        </is>
      </c>
      <c r="I477" s="15" t="inlineStr">
        <is>
          <t>NO</t>
        </is>
      </c>
      <c r="J477" s="18" t="n">
        <v>57.33</v>
      </c>
      <c r="K477" s="21" t="n">
        <v>45348</v>
      </c>
      <c r="L477" s="19" t="n">
        <v>0</v>
      </c>
      <c r="M477" s="20" t="n">
        <v>57.33</v>
      </c>
      <c r="N477" s="21" t="n">
        <v>45336</v>
      </c>
      <c r="O477" s="22" t="inlineStr">
        <is>
          <t>, 2/15/2024, 57.33</t>
        </is>
      </c>
      <c r="P477" s="24" t="n"/>
    </row>
    <row r="478" ht="33" customHeight="1">
      <c r="A478" s="43" t="inlineStr">
        <is>
          <t>6663K201</t>
        </is>
      </c>
      <c r="B478" s="15" t="inlineStr">
        <is>
          <t>6663K201</t>
        </is>
      </c>
      <c r="C478" s="15" t="inlineStr">
        <is>
          <t>McMaster-Carr</t>
        </is>
      </c>
      <c r="D478" s="15" t="inlineStr">
        <is>
          <t>ANSI Roller Chain Idler Sprocket Wear-Resistant, for #40 Chain, 25 Teeth, for 5/8" Shaft Diameter - 7/21/22</t>
        </is>
      </c>
      <c r="E478" s="15" t="n"/>
      <c r="F478" s="17" t="inlineStr">
        <is>
          <t>Each</t>
        </is>
      </c>
      <c r="G478" s="15" t="inlineStr">
        <is>
          <t>McMaster-Carr</t>
        </is>
      </c>
      <c r="H478" s="15" t="inlineStr">
        <is>
          <t>6663K201</t>
        </is>
      </c>
      <c r="I478" s="15" t="inlineStr">
        <is>
          <t>NO</t>
        </is>
      </c>
      <c r="J478" s="18" t="n">
        <v>64.78</v>
      </c>
      <c r="K478" s="21" t="n">
        <v>45348</v>
      </c>
      <c r="L478" s="19" t="n">
        <v>0</v>
      </c>
      <c r="M478" s="20" t="n">
        <v>64.78</v>
      </c>
      <c r="N478" s="21" t="n">
        <v>45336</v>
      </c>
      <c r="O478" s="22" t="inlineStr">
        <is>
          <t>, 2/15/2024, 64.78</t>
        </is>
      </c>
      <c r="P478" s="24" t="n"/>
    </row>
    <row r="479" ht="33" customHeight="1">
      <c r="A479" s="43" t="inlineStr">
        <is>
          <t>24125T44</t>
        </is>
      </c>
      <c r="B479" s="15" t="inlineStr">
        <is>
          <t>24125T44</t>
        </is>
      </c>
      <c r="C479" s="15" t="inlineStr">
        <is>
          <t>McMaster-Carr</t>
        </is>
      </c>
      <c r="D479" s="15" t="inlineStr">
        <is>
          <t>Leveling Caster with Nonmarking Black Nylon Wheel
2-1/2" Diameter, Ratchet Adjustment, Black Aluminum Frame - 7/21/22</t>
        </is>
      </c>
      <c r="E479" s="15" t="n"/>
      <c r="F479" s="17" t="inlineStr">
        <is>
          <t>Each</t>
        </is>
      </c>
      <c r="G479" s="15" t="inlineStr">
        <is>
          <t>McMaster-Carr</t>
        </is>
      </c>
      <c r="H479" s="15" t="inlineStr">
        <is>
          <t>24125T44</t>
        </is>
      </c>
      <c r="I479" s="15" t="inlineStr">
        <is>
          <t>NO</t>
        </is>
      </c>
      <c r="J479" s="18" t="n">
        <v>91.26000000000001</v>
      </c>
      <c r="K479" s="21" t="n">
        <v>45348</v>
      </c>
      <c r="L479" s="19" t="n">
        <v>0</v>
      </c>
      <c r="M479" s="20" t="n">
        <v>91.26000000000001</v>
      </c>
      <c r="N479" s="21" t="n"/>
      <c r="O479" s="22" t="inlineStr">
        <is>
          <t>, 2/15/2024, 91.26</t>
        </is>
      </c>
      <c r="P479" s="24" t="n"/>
    </row>
    <row r="480" ht="33" customHeight="1">
      <c r="A480" s="43" t="inlineStr">
        <is>
          <t>99607A167</t>
        </is>
      </c>
      <c r="B480" s="15" t="inlineStr">
        <is>
          <t>99607A167</t>
        </is>
      </c>
      <c r="C480" s="15" t="inlineStr">
        <is>
          <t>McMaster-Carr</t>
        </is>
      </c>
      <c r="D480" s="15" t="inlineStr">
        <is>
          <t>Stainless Steel Flared-Collar Knurled-Head Thumb Screw 10-32 Thread Size, 1/2" Long (PACK OF 5) - 7/21/22</t>
        </is>
      </c>
      <c r="E480" s="15" t="n">
        <v>5</v>
      </c>
      <c r="F480" s="17" t="inlineStr">
        <is>
          <t>pack</t>
        </is>
      </c>
      <c r="G480" s="15" t="inlineStr">
        <is>
          <t>McMaster-Carr</t>
        </is>
      </c>
      <c r="H480" s="15" t="inlineStr">
        <is>
          <t>99607A167</t>
        </is>
      </c>
      <c r="I480" s="15" t="inlineStr">
        <is>
          <t>NO</t>
        </is>
      </c>
      <c r="J480" s="18" t="n">
        <v>14.78</v>
      </c>
      <c r="K480" s="21" t="n">
        <v>45348</v>
      </c>
      <c r="L480" s="19" t="n">
        <v>0</v>
      </c>
      <c r="M480" s="20" t="n">
        <v>14.78</v>
      </c>
      <c r="N480" s="21" t="n">
        <v>45336</v>
      </c>
      <c r="O480" s="22" t="inlineStr">
        <is>
          <t>, 2/15/2024, 14.78</t>
        </is>
      </c>
      <c r="P480" s="24" t="n"/>
    </row>
    <row r="481" ht="33" customHeight="1">
      <c r="A481" s="43" t="inlineStr">
        <is>
          <t>90318A680</t>
        </is>
      </c>
      <c r="B481" s="15" t="inlineStr">
        <is>
          <t>90318A680</t>
        </is>
      </c>
      <c r="C481" s="15" t="inlineStr">
        <is>
          <t>McMaster-Carr</t>
        </is>
      </c>
      <c r="D481" s="15" t="inlineStr">
        <is>
          <t>Ultra-Low-Profile Precision Shoulder Screw 3/16" Shoulder Diameter, 3/16" Shoulder Length, 8-32 Thread Size - 7/21/22</t>
        </is>
      </c>
      <c r="E481" s="15" t="n"/>
      <c r="F481" s="17" t="inlineStr">
        <is>
          <t>Each</t>
        </is>
      </c>
      <c r="G481" s="15" t="inlineStr">
        <is>
          <t>McMaster-Carr</t>
        </is>
      </c>
      <c r="H481" s="15" t="inlineStr">
        <is>
          <t>90318A680</t>
        </is>
      </c>
      <c r="I481" s="15" t="inlineStr">
        <is>
          <t>NO</t>
        </is>
      </c>
      <c r="J481" s="18" t="n">
        <v>4.76</v>
      </c>
      <c r="K481" s="21" t="n">
        <v>45348</v>
      </c>
      <c r="L481" s="19" t="n">
        <v>0</v>
      </c>
      <c r="M481" s="20" t="n">
        <v>4.76</v>
      </c>
      <c r="N481" s="21" t="n">
        <v>45341</v>
      </c>
      <c r="O481" s="22" t="inlineStr">
        <is>
          <t>, 2/19/2024, 4.05</t>
        </is>
      </c>
      <c r="P481" s="24" t="n"/>
    </row>
    <row r="482" ht="24.75" customHeight="1">
      <c r="A482" s="43" t="inlineStr">
        <is>
          <t>0219-SS‎</t>
        </is>
      </c>
      <c r="B482" s="15" t="inlineStr">
        <is>
          <t>0219-SS‎</t>
        </is>
      </c>
      <c r="C482" s="44" t="inlineStr">
        <is>
          <t>Digi-Key</t>
        </is>
      </c>
      <c r="D482" s="44" t="inlineStr">
        <is>
          <t>9/16HD X 1 3/8 X 1/4-20 THD
1/4"-20 Knob Panel Screw Slotted Drive Stainless Steel - 7/21/22</t>
        </is>
      </c>
      <c r="E482" s="44" t="n"/>
      <c r="F482" s="17" t="n"/>
      <c r="G482" s="44" t="inlineStr">
        <is>
          <t>Digi-Key</t>
        </is>
      </c>
      <c r="H482" s="15" t="inlineStr">
        <is>
          <t>0219-SS‎</t>
        </is>
      </c>
      <c r="I482" s="15" t="inlineStr">
        <is>
          <t>NO</t>
        </is>
      </c>
      <c r="J482" s="18" t="n">
        <v>7.78</v>
      </c>
      <c r="K482" s="14" t="n"/>
      <c r="L482" s="19" t="n"/>
      <c r="M482" s="20" t="n"/>
      <c r="N482" s="21" t="n"/>
      <c r="O482" s="22" t="n"/>
      <c r="P482" s="24" t="n"/>
    </row>
    <row r="483" ht="33" customHeight="1">
      <c r="A483" s="43" t="inlineStr">
        <is>
          <t>1063-SS</t>
        </is>
      </c>
      <c r="B483" s="15" t="inlineStr">
        <is>
          <t>1063-SS</t>
        </is>
      </c>
      <c r="C483" s="44" t="inlineStr">
        <is>
          <t>Digi-Key</t>
        </is>
      </c>
      <c r="D483" s="44" t="inlineStr">
        <is>
          <t>.312OD X .012 THICK X .204ID
SS Washer - 7/21/22</t>
        </is>
      </c>
      <c r="E483" s="44" t="n"/>
      <c r="F483" s="17" t="n"/>
      <c r="G483" s="44" t="inlineStr">
        <is>
          <t>Digi-Key</t>
        </is>
      </c>
      <c r="H483" s="15" t="inlineStr">
        <is>
          <t>1063-SS</t>
        </is>
      </c>
      <c r="I483" s="15" t="inlineStr">
        <is>
          <t>NO</t>
        </is>
      </c>
      <c r="J483" s="18" t="n">
        <v>0.28</v>
      </c>
      <c r="K483" s="14" t="n"/>
      <c r="L483" s="19" t="n"/>
      <c r="M483" s="20" t="n"/>
      <c r="N483" s="21" t="n"/>
      <c r="O483" s="22" t="n"/>
      <c r="P483" s="24" t="n"/>
    </row>
    <row r="484" ht="33" customHeight="1">
      <c r="A484" s="14" t="inlineStr">
        <is>
          <t>6436K47</t>
        </is>
      </c>
      <c r="B484" s="15" t="inlineStr">
        <is>
          <t>6436K47</t>
        </is>
      </c>
      <c r="C484" s="15" t="inlineStr">
        <is>
          <t>McMaster-Carr</t>
        </is>
      </c>
      <c r="D484" s="15" t="inlineStr">
        <is>
          <t>Clamping Two-Piece Shaft Collar for 2" Diameter, 303 Stainless Steel - 7/12/23</t>
        </is>
      </c>
      <c r="E484" s="15" t="n"/>
      <c r="F484" s="17" t="inlineStr">
        <is>
          <t>Each</t>
        </is>
      </c>
      <c r="G484" s="15" t="inlineStr">
        <is>
          <t>McMaster-Carr</t>
        </is>
      </c>
      <c r="H484" s="15" t="inlineStr">
        <is>
          <t>6436K47</t>
        </is>
      </c>
      <c r="I484" s="15" t="inlineStr">
        <is>
          <t>NO</t>
        </is>
      </c>
      <c r="J484" s="18" t="n">
        <v>57.04</v>
      </c>
      <c r="K484" s="21" t="n">
        <v>45348</v>
      </c>
      <c r="L484" s="19" t="n">
        <v>0</v>
      </c>
      <c r="M484" s="20" t="n">
        <v>57.04</v>
      </c>
      <c r="N484" s="21" t="n">
        <v>45336</v>
      </c>
      <c r="O484" s="22" t="inlineStr">
        <is>
          <t>, 2/15/2024, 57.04</t>
        </is>
      </c>
      <c r="P484" s="24" t="n"/>
    </row>
    <row r="485" ht="33" customHeight="1">
      <c r="A485" s="14" t="inlineStr">
        <is>
          <t>K2003-3-SS</t>
        </is>
      </c>
      <c r="B485" s="15" t="inlineStr">
        <is>
          <t>K2003-3-SS</t>
        </is>
      </c>
      <c r="C485" s="15" t="inlineStr">
        <is>
          <t>Ken Forging</t>
        </is>
      </c>
      <c r="D485" s="15" t="inlineStr">
        <is>
          <t>Eyebolt, 3/8-16, 1In, Lift without Shoulder - 7/28/22</t>
        </is>
      </c>
      <c r="E485" s="15" t="n">
        <v>1</v>
      </c>
      <c r="F485" s="17" t="inlineStr">
        <is>
          <t>each</t>
        </is>
      </c>
      <c r="G485" s="15" t="inlineStr">
        <is>
          <t>Zoro</t>
        </is>
      </c>
      <c r="H485" s="15" t="inlineStr">
        <is>
          <t>G4443031</t>
        </is>
      </c>
      <c r="I485" s="15" t="inlineStr">
        <is>
          <t>NO</t>
        </is>
      </c>
      <c r="J485" s="18" t="n">
        <v>28.09</v>
      </c>
      <c r="K485" s="21" t="n">
        <v>45348</v>
      </c>
      <c r="L485" s="19" t="n">
        <v>-0.0506928016221697</v>
      </c>
      <c r="M485" s="20" t="n">
        <v>30.49</v>
      </c>
      <c r="N485" s="21" t="n">
        <v>45341</v>
      </c>
      <c r="O485" s="22" t="inlineStr">
        <is>
          <t>, 2/14/2024, 26.59</t>
        </is>
      </c>
      <c r="P485" s="24" t="n"/>
    </row>
    <row r="486" ht="33" customHeight="1">
      <c r="A486" s="14" t="inlineStr">
        <is>
          <t>AN100-C6</t>
        </is>
      </c>
      <c r="B486" s="15" t="inlineStr">
        <is>
          <t>AN100-C6</t>
        </is>
      </c>
      <c r="C486" s="15" t="inlineStr">
        <is>
          <t>Loos</t>
        </is>
      </c>
      <c r="D486" s="15" t="inlineStr">
        <is>
          <t>Wire Rope Thimble, 3/16 In, 302/304 SS - 7/28/22</t>
        </is>
      </c>
      <c r="E486" s="15" t="n">
        <v>1</v>
      </c>
      <c r="F486" s="17" t="inlineStr">
        <is>
          <t>each</t>
        </is>
      </c>
      <c r="G486" s="15" t="inlineStr">
        <is>
          <t>Zoro</t>
        </is>
      </c>
      <c r="H486" s="15" t="inlineStr">
        <is>
          <t>G4369041</t>
        </is>
      </c>
      <c r="I486" s="15" t="inlineStr">
        <is>
          <t>NO</t>
        </is>
      </c>
      <c r="J486" s="18" t="n">
        <v>1.18</v>
      </c>
      <c r="K486" s="21" t="n">
        <v>45348</v>
      </c>
      <c r="L486" s="19" t="n">
        <v>0.254237288135593</v>
      </c>
      <c r="M486" s="20" t="n">
        <v>0.88</v>
      </c>
      <c r="N486" s="21" t="n"/>
      <c r="O486" s="22" t="inlineStr">
        <is>
          <t>, 2/14/2024, 0.88</t>
        </is>
      </c>
      <c r="P486" s="24" t="n"/>
    </row>
    <row r="487" ht="33" customHeight="1">
      <c r="A487" s="14" t="inlineStr">
        <is>
          <t>2VKH1</t>
        </is>
      </c>
      <c r="B487" s="15" t="inlineStr">
        <is>
          <t>2VKH1</t>
        </is>
      </c>
      <c r="C487" s="15" t="inlineStr">
        <is>
          <t>Dayton</t>
        </is>
      </c>
      <c r="D487" s="15" t="inlineStr">
        <is>
          <t>Wire Rope Clip, U-Bolt, 3/16 In, 304 SS - 7/28/22</t>
        </is>
      </c>
      <c r="E487" s="15" t="n">
        <v>1</v>
      </c>
      <c r="F487" s="17" t="inlineStr">
        <is>
          <t>each</t>
        </is>
      </c>
      <c r="G487" s="15" t="inlineStr">
        <is>
          <t>Zoro</t>
        </is>
      </c>
      <c r="H487" s="15" t="inlineStr">
        <is>
          <t>G0950783</t>
        </is>
      </c>
      <c r="I487" s="15" t="inlineStr">
        <is>
          <t>NO</t>
        </is>
      </c>
      <c r="J487" s="18" t="n">
        <v>4.69</v>
      </c>
      <c r="K487" s="21" t="n">
        <v>45348</v>
      </c>
      <c r="L487" s="19" t="n">
        <v>0.0217864923747278</v>
      </c>
      <c r="M487" s="20" t="n">
        <v>4.89</v>
      </c>
      <c r="N487" s="21" t="n">
        <v>45341</v>
      </c>
      <c r="O487" s="22" t="inlineStr">
        <is>
          <t>, 2/14/2024, 4.59</t>
        </is>
      </c>
      <c r="P487" s="24" t="n"/>
    </row>
    <row r="488" ht="42" customHeight="1">
      <c r="A488" s="14" t="inlineStr">
        <is>
          <t>8912T71</t>
        </is>
      </c>
      <c r="B488" s="15" t="inlineStr">
        <is>
          <t>8912T71</t>
        </is>
      </c>
      <c r="C488" s="15" t="inlineStr">
        <is>
          <t>McMaster-Carr</t>
        </is>
      </c>
      <c r="D488" s="15" t="inlineStr">
        <is>
          <t>Weather-Resistant Coated Wire Rope-Not for Lifting
18-8 Stainless Steel, 7 x 19, 1/8" Diameter, 3/16" Diameter with Coating - RED COLOR - PRICED PER FOOT - 25, 50, 100, &amp; 250 FT SPOOLS AVAILABLE - 7/12/23</t>
        </is>
      </c>
      <c r="E488" s="15" t="n"/>
      <c r="F488" s="17" t="inlineStr">
        <is>
          <t>ft.</t>
        </is>
      </c>
      <c r="G488" s="15" t="inlineStr">
        <is>
          <t>McMaster-Carr</t>
        </is>
      </c>
      <c r="H488" s="15" t="inlineStr">
        <is>
          <t>8912T71</t>
        </is>
      </c>
      <c r="I488" s="15" t="inlineStr">
        <is>
          <t>NO</t>
        </is>
      </c>
      <c r="J488" s="18" t="n">
        <v>1.88</v>
      </c>
      <c r="K488" s="21" t="n">
        <v>45348</v>
      </c>
      <c r="L488" s="19" t="n">
        <v>0</v>
      </c>
      <c r="M488" s="20" t="n">
        <v>1.88</v>
      </c>
      <c r="N488" s="21" t="n"/>
      <c r="O488" s="22" t="inlineStr">
        <is>
          <t>, 2/15/2024, 1.88</t>
        </is>
      </c>
      <c r="P488" s="24" t="n"/>
    </row>
    <row r="489" ht="33" customHeight="1">
      <c r="A489" s="14" t="inlineStr">
        <is>
          <t>3369K23</t>
        </is>
      </c>
      <c r="B489" s="15" t="inlineStr">
        <is>
          <t>3369K23</t>
        </is>
      </c>
      <c r="C489" s="15" t="inlineStr">
        <is>
          <t>McMaster-Carr</t>
        </is>
      </c>
      <c r="D489" s="15" t="inlineStr">
        <is>
          <t>Clamping Two-Piece Shaft Collar for 20 mm Diameter, 303 Stainless Steel</t>
        </is>
      </c>
      <c r="E489" s="15" t="n"/>
      <c r="F489" s="17" t="inlineStr">
        <is>
          <t>Each</t>
        </is>
      </c>
      <c r="G489" s="15" t="inlineStr">
        <is>
          <t>McMaster-Carr</t>
        </is>
      </c>
      <c r="H489" s="15" t="inlineStr">
        <is>
          <t>3369K23</t>
        </is>
      </c>
      <c r="I489" s="15" t="inlineStr">
        <is>
          <t>NO</t>
        </is>
      </c>
      <c r="J489" s="18" t="n">
        <v>36.39</v>
      </c>
      <c r="K489" s="21" t="n">
        <v>45348</v>
      </c>
      <c r="L489" s="19" t="n">
        <v>0</v>
      </c>
      <c r="M489" s="20" t="n">
        <v>36.39</v>
      </c>
      <c r="N489" s="21" t="n">
        <v>45336</v>
      </c>
      <c r="O489" s="22" t="inlineStr">
        <is>
          <t>, 2/15/2024, 36.39</t>
        </is>
      </c>
      <c r="P489" s="24" t="n"/>
    </row>
    <row r="490" ht="33" customHeight="1">
      <c r="A490" s="14" t="inlineStr">
        <is>
          <t>7807K33</t>
        </is>
      </c>
      <c r="B490" s="15" t="inlineStr">
        <is>
          <t>7807K33</t>
        </is>
      </c>
      <c r="C490" s="15" t="inlineStr">
        <is>
          <t>McMaster-Carr</t>
        </is>
      </c>
      <c r="D490" s="15" t="inlineStr">
        <is>
          <t>Multi-Cord Grip Wet-Location, Black Nylon, for Two 0.16"-0.2" OD Cords - 7/28/22</t>
        </is>
      </c>
      <c r="E490" s="15" t="n"/>
      <c r="F490" s="17" t="inlineStr">
        <is>
          <t>Each</t>
        </is>
      </c>
      <c r="G490" s="15" t="inlineStr">
        <is>
          <t>McMaster-Carr</t>
        </is>
      </c>
      <c r="H490" s="15" t="inlineStr">
        <is>
          <t>7807K33</t>
        </is>
      </c>
      <c r="I490" s="15" t="inlineStr">
        <is>
          <t>NO</t>
        </is>
      </c>
      <c r="J490" s="18" t="n">
        <v>6.93</v>
      </c>
      <c r="K490" s="21" t="n">
        <v>45348</v>
      </c>
      <c r="L490" s="19" t="n">
        <v>0</v>
      </c>
      <c r="M490" s="20" t="n">
        <v>6.93</v>
      </c>
      <c r="N490" s="21" t="n">
        <v>45336</v>
      </c>
      <c r="O490" s="22" t="inlineStr">
        <is>
          <t>, 2/15/2024, 6.93</t>
        </is>
      </c>
      <c r="P490" s="24" t="n"/>
    </row>
    <row r="491" ht="33" customHeight="1">
      <c r="A491" s="14" t="inlineStr">
        <is>
          <t>9151K38</t>
        </is>
      </c>
      <c r="B491" s="15" t="inlineStr">
        <is>
          <t>9151K38</t>
        </is>
      </c>
      <c r="C491" s="15" t="inlineStr">
        <is>
          <t>McMaster-Carr</t>
        </is>
      </c>
      <c r="D491" s="15" t="inlineStr">
        <is>
          <t>High-Pressure Nickel-Plated Brass Pipe Fitting Straight Reducer, 3/8 x 1/4 NPTF Male - 7/28/22</t>
        </is>
      </c>
      <c r="E491" s="15" t="n"/>
      <c r="F491" s="17" t="inlineStr">
        <is>
          <t>Each</t>
        </is>
      </c>
      <c r="G491" s="15" t="inlineStr">
        <is>
          <t>McMaster-Carr</t>
        </is>
      </c>
      <c r="H491" s="15" t="inlineStr">
        <is>
          <t>9151K38</t>
        </is>
      </c>
      <c r="I491" s="15" t="inlineStr">
        <is>
          <t>NO</t>
        </is>
      </c>
      <c r="J491" s="18" t="n">
        <v>2.99</v>
      </c>
      <c r="K491" s="21" t="n">
        <v>45348</v>
      </c>
      <c r="L491" s="19" t="n">
        <v>0</v>
      </c>
      <c r="M491" s="20" t="n">
        <v>2.99</v>
      </c>
      <c r="N491" s="21" t="n"/>
      <c r="O491" s="22" t="inlineStr">
        <is>
          <t>, 2/15/2024, 2.99</t>
        </is>
      </c>
      <c r="P491" s="24" t="n"/>
    </row>
    <row r="492" ht="33" customHeight="1">
      <c r="A492" s="14" t="inlineStr">
        <is>
          <t>9473T174</t>
        </is>
      </c>
      <c r="B492" s="15" t="inlineStr">
        <is>
          <t>9473T174</t>
        </is>
      </c>
      <c r="C492" s="15" t="inlineStr">
        <is>
          <t>McMaster-Carr</t>
        </is>
      </c>
      <c r="D492" s="15" t="inlineStr">
        <is>
          <t>Quick and Secure Modular DIN-Rail Terminal Block 1 Circuit with 2 Terminals, 4.2mm Wide, Gray - 7/28/22</t>
        </is>
      </c>
      <c r="E492" s="15" t="n"/>
      <c r="F492" s="17" t="inlineStr">
        <is>
          <t>Each</t>
        </is>
      </c>
      <c r="G492" s="15" t="inlineStr">
        <is>
          <t>McMaster-Carr</t>
        </is>
      </c>
      <c r="H492" s="15" t="inlineStr">
        <is>
          <t>9473T174</t>
        </is>
      </c>
      <c r="I492" s="15" t="inlineStr">
        <is>
          <t>NO</t>
        </is>
      </c>
      <c r="J492" s="18" t="n">
        <v>1.95</v>
      </c>
      <c r="K492" s="21" t="n">
        <v>45348</v>
      </c>
      <c r="L492" s="19" t="n">
        <v>0</v>
      </c>
      <c r="M492" s="20" t="n">
        <v>1.95</v>
      </c>
      <c r="N492" s="21" t="n">
        <v>45341</v>
      </c>
      <c r="O492" s="22" t="inlineStr">
        <is>
          <t>, 2/19/2024, 1.77</t>
        </is>
      </c>
      <c r="P492" s="24" t="n"/>
    </row>
    <row r="493" ht="33" customHeight="1">
      <c r="A493" s="43" t="inlineStr">
        <is>
          <t>9151K88</t>
        </is>
      </c>
      <c r="B493" s="15" t="inlineStr">
        <is>
          <t>9151K88</t>
        </is>
      </c>
      <c r="C493" s="15" t="inlineStr">
        <is>
          <t>McMaster-Carr</t>
        </is>
      </c>
      <c r="D493" s="15" t="inlineStr">
        <is>
          <t>High-Pressure Nickel-Plated Brass Pipe Fitting Straight Connector, 3/8 NPTF Male - 8/16/22</t>
        </is>
      </c>
      <c r="E493" s="15" t="n"/>
      <c r="F493" s="17" t="inlineStr">
        <is>
          <t>Each</t>
        </is>
      </c>
      <c r="G493" s="15" t="inlineStr">
        <is>
          <t>McMaster-Carr</t>
        </is>
      </c>
      <c r="H493" s="15" t="inlineStr">
        <is>
          <t>9151K88</t>
        </is>
      </c>
      <c r="I493" s="15" t="inlineStr">
        <is>
          <t>NO</t>
        </is>
      </c>
      <c r="J493" s="18" t="n">
        <v>3.31</v>
      </c>
      <c r="K493" s="21" t="n">
        <v>45348</v>
      </c>
      <c r="L493" s="19" t="n">
        <v>0</v>
      </c>
      <c r="M493" s="20" t="n">
        <v>3.31</v>
      </c>
      <c r="N493" s="21" t="n">
        <v>45336</v>
      </c>
      <c r="O493" s="22" t="inlineStr">
        <is>
          <t>, 2/15/2024, 3.31</t>
        </is>
      </c>
      <c r="P493" s="24" t="n"/>
    </row>
    <row r="494" ht="33" customHeight="1">
      <c r="A494" s="43" t="inlineStr">
        <is>
          <t>52065K276</t>
        </is>
      </c>
      <c r="B494" s="15" t="inlineStr">
        <is>
          <t>52065K276</t>
        </is>
      </c>
      <c r="C494" s="15" t="inlineStr">
        <is>
          <t>McMaster-Carr</t>
        </is>
      </c>
      <c r="D494" s="15" t="inlineStr">
        <is>
          <t>Push-to-Connect Tube Fitting for Air and Water 90 Degree Elbow, 1/4" Tube x 3/8 NPT Male, Nickel-Plated - 8/16/22</t>
        </is>
      </c>
      <c r="E494" s="15" t="n"/>
      <c r="F494" s="17" t="inlineStr">
        <is>
          <t>Each</t>
        </is>
      </c>
      <c r="G494" s="15" t="inlineStr">
        <is>
          <t>McMaster-Carr</t>
        </is>
      </c>
      <c r="H494" s="15" t="inlineStr">
        <is>
          <t>52065K276</t>
        </is>
      </c>
      <c r="I494" s="15" t="inlineStr">
        <is>
          <t>NO</t>
        </is>
      </c>
      <c r="J494" s="18" t="n">
        <v>3.51</v>
      </c>
      <c r="K494" s="21" t="n">
        <v>45348</v>
      </c>
      <c r="L494" s="19" t="n">
        <v>0</v>
      </c>
      <c r="M494" s="20" t="n">
        <v>3.51</v>
      </c>
      <c r="N494" s="21" t="n"/>
      <c r="O494" s="22" t="inlineStr">
        <is>
          <t>, 2/15/2024, 3.51</t>
        </is>
      </c>
      <c r="P494" s="24" t="n"/>
    </row>
    <row r="495" ht="33" customHeight="1">
      <c r="A495" s="14" t="inlineStr">
        <is>
          <t>6436K35</t>
        </is>
      </c>
      <c r="B495" s="15" t="inlineStr">
        <is>
          <t>6436K35</t>
        </is>
      </c>
      <c r="C495" s="15" t="inlineStr">
        <is>
          <t>McMaster-Carr</t>
        </is>
      </c>
      <c r="D495" s="15" t="inlineStr">
        <is>
          <t>Clamping Two-Piece Shaft Collar for 5/8" Diameter, 303 Stainless Steel - 6/14/23</t>
        </is>
      </c>
      <c r="E495" s="15" t="n"/>
      <c r="F495" s="17" t="inlineStr">
        <is>
          <t>Each</t>
        </is>
      </c>
      <c r="G495" s="15" t="inlineStr">
        <is>
          <t>McMaster-Carr</t>
        </is>
      </c>
      <c r="H495" s="15" t="inlineStr">
        <is>
          <t>6436K35</t>
        </is>
      </c>
      <c r="I495" s="15" t="inlineStr">
        <is>
          <t>NO</t>
        </is>
      </c>
      <c r="J495" s="18" t="n">
        <v>21.07</v>
      </c>
      <c r="K495" s="21" t="n">
        <v>45348</v>
      </c>
      <c r="L495" s="19" t="n">
        <v>0</v>
      </c>
      <c r="M495" s="20" t="n">
        <v>21.07</v>
      </c>
      <c r="N495" s="21" t="n">
        <v>45336</v>
      </c>
      <c r="O495" s="22" t="inlineStr">
        <is>
          <t>, 2/15/2024, 21.07</t>
        </is>
      </c>
      <c r="P495" s="24" t="n"/>
    </row>
    <row r="496" ht="33" customHeight="1">
      <c r="A496" s="14" t="inlineStr">
        <is>
          <t>4464K731</t>
        </is>
      </c>
      <c r="B496" s="15" t="inlineStr">
        <is>
          <t>4464K731</t>
        </is>
      </c>
      <c r="C496" s="15" t="inlineStr">
        <is>
          <t>McMaster-Carr</t>
        </is>
      </c>
      <c r="D496" s="15" t="inlineStr">
        <is>
          <t>304 Stainless Steel Threaded Pipe Fitting Low Pressure, Straight Connector, 3/8 NPT Male - 6/14/23</t>
        </is>
      </c>
      <c r="E496" s="15" t="n"/>
      <c r="F496" s="17" t="inlineStr">
        <is>
          <t>Each</t>
        </is>
      </c>
      <c r="G496" s="15" t="inlineStr">
        <is>
          <t>McMaster-Carr</t>
        </is>
      </c>
      <c r="H496" s="15" t="inlineStr">
        <is>
          <t>4464K731</t>
        </is>
      </c>
      <c r="I496" s="15" t="inlineStr">
        <is>
          <t>NO</t>
        </is>
      </c>
      <c r="J496" s="18" t="n">
        <v>7.51</v>
      </c>
      <c r="K496" s="21" t="n">
        <v>45348</v>
      </c>
      <c r="L496" s="19" t="n">
        <v>0</v>
      </c>
      <c r="M496" s="20" t="n">
        <v>7.51</v>
      </c>
      <c r="N496" s="21" t="n"/>
      <c r="O496" s="22" t="inlineStr">
        <is>
          <t>, 2/15/2024, 7.51</t>
        </is>
      </c>
      <c r="P496" s="24" t="n"/>
    </row>
    <row r="497" ht="33" customHeight="1">
      <c r="A497" s="14" t="inlineStr">
        <is>
          <t>4464K736</t>
        </is>
      </c>
      <c r="B497" s="15" t="inlineStr">
        <is>
          <t>4464K736</t>
        </is>
      </c>
      <c r="C497" s="15" t="inlineStr">
        <is>
          <t>McMaster-Carr</t>
        </is>
      </c>
      <c r="D497" s="15" t="inlineStr">
        <is>
          <t>304 Stainless Steel Threaded Pipe Fitting Low-Pressure, Wye Connector, 3/8 NPT Female - 6/14/23</t>
        </is>
      </c>
      <c r="E497" s="15" t="n"/>
      <c r="F497" s="17" t="inlineStr">
        <is>
          <t>Each</t>
        </is>
      </c>
      <c r="G497" s="15" t="inlineStr">
        <is>
          <t>McMaster-Carr</t>
        </is>
      </c>
      <c r="H497" s="15" t="inlineStr">
        <is>
          <t>4464K736</t>
        </is>
      </c>
      <c r="I497" s="15" t="inlineStr">
        <is>
          <t>NO</t>
        </is>
      </c>
      <c r="J497" s="18" t="n">
        <v>8.51</v>
      </c>
      <c r="K497" s="21" t="n">
        <v>45348</v>
      </c>
      <c r="L497" s="19" t="n">
        <v>0</v>
      </c>
      <c r="M497" s="20" t="n">
        <v>8.51</v>
      </c>
      <c r="N497" s="21" t="n"/>
      <c r="O497" s="22" t="inlineStr">
        <is>
          <t>, 2/15/2024, 8.51</t>
        </is>
      </c>
      <c r="P497" s="24" t="n"/>
    </row>
    <row r="498" ht="33" customHeight="1">
      <c r="A498" s="14" t="inlineStr">
        <is>
          <t>8210G001</t>
        </is>
      </c>
      <c r="B498" s="15" t="inlineStr">
        <is>
          <t>8210G001</t>
        </is>
      </c>
      <c r="C498" s="15" t="inlineStr">
        <is>
          <t>ASCO</t>
        </is>
      </c>
      <c r="D498" s="15" t="inlineStr">
        <is>
          <t>24V DC Brass Solenoid Valve, Normally Closed, 3/8 in Pipe Size - 6/14/23</t>
        </is>
      </c>
      <c r="E498" s="15" t="n">
        <v>1</v>
      </c>
      <c r="F498" s="17" t="inlineStr">
        <is>
          <t>each</t>
        </is>
      </c>
      <c r="G498" s="15" t="inlineStr">
        <is>
          <t>Zoro</t>
        </is>
      </c>
      <c r="H498" s="15" t="inlineStr">
        <is>
          <t>G0481031</t>
        </is>
      </c>
      <c r="I498" s="15" t="inlineStr">
        <is>
          <t>NO</t>
        </is>
      </c>
      <c r="J498" s="18" t="n">
        <v>197.39</v>
      </c>
      <c r="K498" s="21" t="n">
        <v>45420</v>
      </c>
      <c r="L498" s="19" t="n">
        <v>0.045189725923299</v>
      </c>
      <c r="M498" s="20" t="n">
        <v>188.47</v>
      </c>
      <c r="N498" s="21" t="n"/>
      <c r="O498" s="22" t="inlineStr">
        <is>
          <t>, 2/14/2024, 188.47, 2/26/2024, 197.39</t>
        </is>
      </c>
      <c r="P498" s="24" t="n"/>
    </row>
    <row r="499" ht="33" customHeight="1">
      <c r="A499" s="14" t="inlineStr">
        <is>
          <t>HP882TAB-3.25IN</t>
        </is>
      </c>
      <c r="B499" s="15" t="n">
        <v>10144626</v>
      </c>
      <c r="C499" s="15" t="inlineStr">
        <is>
          <t>Rexnord</t>
        </is>
      </c>
      <c r="D499" s="15" t="inlineStr">
        <is>
          <t>882TAB - 3.25in Width - HP Material - 12/21/22</t>
        </is>
      </c>
      <c r="E499" s="15" t="n"/>
      <c r="F499" s="17" t="n"/>
      <c r="G499" s="15" t="inlineStr">
        <is>
          <t>Rexnord</t>
        </is>
      </c>
      <c r="H499" s="15" t="inlineStr">
        <is>
          <t>HP882TAB-3.25IN</t>
        </is>
      </c>
      <c r="I499" s="15" t="inlineStr">
        <is>
          <t>NO</t>
        </is>
      </c>
      <c r="J499" s="18" t="n">
        <v>32.74</v>
      </c>
      <c r="K499" s="14" t="n"/>
      <c r="L499" s="19" t="n"/>
      <c r="M499" s="20" t="n"/>
      <c r="N499" s="21" t="n"/>
      <c r="O499" s="22" t="n"/>
      <c r="P499" s="24" t="n"/>
    </row>
    <row r="500" ht="33" customHeight="1">
      <c r="A500" s="14" t="inlineStr">
        <is>
          <t>SSR0518L6</t>
        </is>
      </c>
      <c r="B500" s="15" t="inlineStr">
        <is>
          <t>SSR0518L6</t>
        </is>
      </c>
      <c r="C500" s="15" t="inlineStr">
        <is>
          <t>POBCO, Inc.</t>
        </is>
      </c>
      <c r="D500" s="45" t="inlineStr">
        <is>
          <t>Adjusting Rod, Stainless Steel, 1/2" Dia. X 6", 5/16-18 Tap - Price Confirmed: UPDATE</t>
        </is>
      </c>
      <c r="E500" s="45" t="n"/>
      <c r="F500" s="17" t="n"/>
      <c r="G500" s="15" t="inlineStr">
        <is>
          <t>POBCO, Inc.</t>
        </is>
      </c>
      <c r="H500" s="15" t="inlineStr">
        <is>
          <t>SSR0518L6</t>
        </is>
      </c>
      <c r="I500" s="15" t="inlineStr">
        <is>
          <t>NO</t>
        </is>
      </c>
      <c r="J500" s="18" t="inlineStr">
        <is>
          <t>UPDATE MML</t>
        </is>
      </c>
      <c r="K500" s="14" t="n"/>
      <c r="L500" s="19" t="n"/>
      <c r="M500" s="20" t="n"/>
      <c r="N500" s="21" t="n"/>
      <c r="O500" s="22" t="n"/>
      <c r="P500" s="24" t="n"/>
    </row>
    <row r="501" ht="33" customHeight="1">
      <c r="A501" s="14" t="inlineStr">
        <is>
          <t>4450K17</t>
        </is>
      </c>
      <c r="B501" s="15" t="inlineStr">
        <is>
          <t>4450K17</t>
        </is>
      </c>
      <c r="C501" s="15" t="inlineStr">
        <is>
          <t>McMaster-Carr</t>
        </is>
      </c>
      <c r="D501" s="15" t="inlineStr">
        <is>
          <t>Muffler, 1/8 NPT Male, Copper, 18 scfm @ 100 PSI Flow Rate-12/13/2022</t>
        </is>
      </c>
      <c r="E501" s="15" t="n"/>
      <c r="F501" s="17" t="inlineStr">
        <is>
          <t>Each</t>
        </is>
      </c>
      <c r="G501" s="15" t="inlineStr">
        <is>
          <t>McMaster-Carr</t>
        </is>
      </c>
      <c r="H501" s="15" t="inlineStr">
        <is>
          <t>4450K17</t>
        </is>
      </c>
      <c r="I501" s="15" t="inlineStr">
        <is>
          <t>NO</t>
        </is>
      </c>
      <c r="J501" s="18" t="n">
        <v>3.47</v>
      </c>
      <c r="K501" s="21" t="n">
        <v>45348</v>
      </c>
      <c r="L501" s="19" t="n">
        <v>0</v>
      </c>
      <c r="M501" s="20" t="n">
        <v>3.47</v>
      </c>
      <c r="N501" s="21" t="n"/>
      <c r="O501" s="22" t="inlineStr">
        <is>
          <t>, 2/15/2024, 3.47</t>
        </is>
      </c>
      <c r="P501" s="24" t="n"/>
    </row>
    <row r="502" ht="33" customHeight="1">
      <c r="A502" s="52" t="inlineStr">
        <is>
          <t>9307K17</t>
        </is>
      </c>
      <c r="B502" s="15" t="inlineStr">
        <is>
          <t>9307K17</t>
        </is>
      </c>
      <c r="C502" s="15" t="inlineStr">
        <is>
          <t>McMaster-Carr</t>
        </is>
      </c>
      <c r="D502" s="15" t="inlineStr">
        <is>
          <t>Buna-N Rubber Grommets, for 9/16" Hole Diameter and 1/8" Material Thickness, 5/16" ID (Pack of 50) - 6/14/23</t>
        </is>
      </c>
      <c r="E502" s="15" t="n">
        <v>50</v>
      </c>
      <c r="F502" s="17" t="inlineStr">
        <is>
          <t>pack</t>
        </is>
      </c>
      <c r="G502" s="15" t="inlineStr">
        <is>
          <t>McMaster-Carr</t>
        </is>
      </c>
      <c r="H502" s="15" t="inlineStr">
        <is>
          <t>9307K17</t>
        </is>
      </c>
      <c r="I502" s="15" t="inlineStr">
        <is>
          <t>NO</t>
        </is>
      </c>
      <c r="J502" s="18" t="n">
        <v>8.09</v>
      </c>
      <c r="K502" s="21" t="n">
        <v>45348</v>
      </c>
      <c r="L502" s="19" t="n">
        <v>0</v>
      </c>
      <c r="M502" s="20" t="n">
        <v>8.09</v>
      </c>
      <c r="N502" s="21" t="n"/>
      <c r="O502" s="22" t="inlineStr">
        <is>
          <t>, 2/15/2024, 8.09</t>
        </is>
      </c>
      <c r="P502" s="24" t="n"/>
    </row>
    <row r="503" ht="33" customHeight="1">
      <c r="A503" s="52" t="inlineStr">
        <is>
          <t>9338T11</t>
        </is>
      </c>
      <c r="B503" s="15" t="inlineStr">
        <is>
          <t>9338T11</t>
        </is>
      </c>
      <c r="C503" s="15" t="inlineStr">
        <is>
          <t>McMaster-Carr</t>
        </is>
      </c>
      <c r="D503" s="15" t="inlineStr">
        <is>
          <t>Mounted Linear Ball Bearing, Fixed Alignment, for 1" Shaft Diameter -6/14/23</t>
        </is>
      </c>
      <c r="E503" s="15" t="n"/>
      <c r="F503" s="17" t="inlineStr">
        <is>
          <t>Each</t>
        </is>
      </c>
      <c r="G503" s="15" t="inlineStr">
        <is>
          <t>McMaster-Carr</t>
        </is>
      </c>
      <c r="H503" s="15" t="inlineStr">
        <is>
          <t>9338T11</t>
        </is>
      </c>
      <c r="I503" s="15" t="inlineStr">
        <is>
          <t>NO</t>
        </is>
      </c>
      <c r="J503" s="18" t="n">
        <v>193.1</v>
      </c>
      <c r="K503" s="21" t="n">
        <v>45348</v>
      </c>
      <c r="L503" s="19" t="n">
        <v>0</v>
      </c>
      <c r="M503" s="20" t="n">
        <v>193.1</v>
      </c>
      <c r="N503" s="21" t="n"/>
      <c r="O503" s="22" t="inlineStr">
        <is>
          <t>, 2/15/2024, 193.1</t>
        </is>
      </c>
      <c r="P503" s="24" t="n"/>
    </row>
    <row r="504" ht="33" customHeight="1">
      <c r="A504" s="52" t="inlineStr">
        <is>
          <t>8705K37</t>
        </is>
      </c>
      <c r="B504" s="15" t="inlineStr">
        <is>
          <t>8705K37</t>
        </is>
      </c>
      <c r="C504" s="15" t="inlineStr">
        <is>
          <t>McMaster-Carr</t>
        </is>
      </c>
      <c r="D504" s="15" t="inlineStr">
        <is>
          <t>Slippery Oversized UHMW Polyethylene Tube, 5/16" Wall Thickness, 1-3/8" nominal OD (actual OD of 1.475), 3/4" ID, price per foot sold in 1, 2, 3, 4, 5 ft increments -6/14/23</t>
        </is>
      </c>
      <c r="E504" s="15" t="n"/>
      <c r="F504" s="17" t="inlineStr">
        <is>
          <t>ft.</t>
        </is>
      </c>
      <c r="G504" s="15" t="inlineStr">
        <is>
          <t>McMaster-Carr</t>
        </is>
      </c>
      <c r="H504" s="15" t="inlineStr">
        <is>
          <t>8705K37</t>
        </is>
      </c>
      <c r="I504" s="15" t="inlineStr">
        <is>
          <t>NO</t>
        </is>
      </c>
      <c r="J504" s="18" t="n">
        <v>11.27</v>
      </c>
      <c r="K504" s="21" t="n">
        <v>45348</v>
      </c>
      <c r="L504" s="19" t="n">
        <v>0</v>
      </c>
      <c r="M504" s="20" t="n">
        <v>11.27</v>
      </c>
      <c r="N504" s="21" t="n"/>
      <c r="O504" s="22" t="inlineStr">
        <is>
          <t>, 2/15/2024, 11.27</t>
        </is>
      </c>
      <c r="P504" s="24" t="n"/>
    </row>
    <row r="505" ht="33" customHeight="1">
      <c r="A505" s="14" t="inlineStr">
        <is>
          <t>6261K175</t>
        </is>
      </c>
      <c r="B505" s="15" t="inlineStr">
        <is>
          <t>6261K175</t>
        </is>
      </c>
      <c r="C505" s="15" t="inlineStr">
        <is>
          <t>McMaster-Carr</t>
        </is>
      </c>
      <c r="D505" s="15" t="inlineStr">
        <is>
          <t>Roller Chain, Single Strand, ANSI Number 50, 5/8" Pitch, Sold Per Foot</t>
        </is>
      </c>
      <c r="E505" s="15" t="n"/>
      <c r="F505" s="17" t="n"/>
      <c r="G505" s="15" t="inlineStr">
        <is>
          <t>McMaster-Carr</t>
        </is>
      </c>
      <c r="H505" s="15" t="inlineStr">
        <is>
          <t>6261K175</t>
        </is>
      </c>
      <c r="I505" s="15" t="inlineStr">
        <is>
          <t>NO</t>
        </is>
      </c>
      <c r="J505" s="18" t="n">
        <v>0</v>
      </c>
      <c r="K505" s="21" t="n">
        <v>45348</v>
      </c>
      <c r="L505" s="19" t="n"/>
      <c r="M505" s="20" t="n">
        <v>6.68</v>
      </c>
      <c r="N505" s="21" t="n"/>
      <c r="O505" s="22" t="inlineStr">
        <is>
          <t>, 2/15/2024, 0</t>
        </is>
      </c>
      <c r="P505" s="24" t="n"/>
    </row>
    <row r="506" ht="33" customHeight="1">
      <c r="A506" s="14" t="inlineStr">
        <is>
          <t>2500T776</t>
        </is>
      </c>
      <c r="B506" s="15" t="inlineStr">
        <is>
          <t>2500T776</t>
        </is>
      </c>
      <c r="C506" s="15" t="inlineStr">
        <is>
          <t>McMaster-Carr</t>
        </is>
      </c>
      <c r="D506" s="15" t="inlineStr">
        <is>
          <t>50BS22HT 1.25IN - Wear-Resistant Sprocket for ANSI 50 Chain, 22 Teeth, for 1-1/4" Shaft Diameter</t>
        </is>
      </c>
      <c r="E506" s="15" t="n">
        <v>1</v>
      </c>
      <c r="F506" s="17" t="inlineStr">
        <is>
          <t>Each</t>
        </is>
      </c>
      <c r="G506" s="15" t="inlineStr">
        <is>
          <t>McMaster-Carr</t>
        </is>
      </c>
      <c r="H506" s="15" t="inlineStr">
        <is>
          <t>2500T776</t>
        </is>
      </c>
      <c r="I506" s="15" t="inlineStr">
        <is>
          <t>NO</t>
        </is>
      </c>
      <c r="J506" s="18" t="n">
        <v>76.75</v>
      </c>
      <c r="K506" s="21" t="n">
        <v>45414</v>
      </c>
      <c r="L506" s="19" t="n">
        <v>0</v>
      </c>
      <c r="M506" s="20" t="n">
        <v>76.75</v>
      </c>
      <c r="N506" s="21" t="n">
        <v>45348</v>
      </c>
      <c r="O506" s="22" t="inlineStr">
        <is>
          <t>, 2/15/2024, 76.75, 5/2/2024, 76.75</t>
        </is>
      </c>
      <c r="P506" s="24" t="n"/>
    </row>
    <row r="507" ht="33" customHeight="1">
      <c r="A507" s="14" t="inlineStr">
        <is>
          <t>A1E244DCB1LT</t>
        </is>
      </c>
      <c r="B507" s="15" t="inlineStr">
        <is>
          <t>A1E244DCB1LT</t>
        </is>
      </c>
      <c r="C507" s="15" t="inlineStr">
        <is>
          <t>Intralox</t>
        </is>
      </c>
      <c r="D507" s="15" t="inlineStr">
        <is>
          <t>SERIES 1400 4.5" MTW FLAT TOP BLUE ACETAL BELT WITHOUT TABS (10' BOXED BELT)</t>
        </is>
      </c>
      <c r="E507" s="15" t="n"/>
      <c r="F507" s="17" t="n"/>
      <c r="G507" s="15" t="inlineStr">
        <is>
          <t>Intralox</t>
        </is>
      </c>
      <c r="H507" s="15" t="inlineStr">
        <is>
          <t>A1E244DCB1LT</t>
        </is>
      </c>
      <c r="I507" s="15" t="inlineStr">
        <is>
          <t>NO</t>
        </is>
      </c>
      <c r="J507" s="18" t="inlineStr">
        <is>
          <t>CALL FOR QUOTE</t>
        </is>
      </c>
      <c r="K507" s="14" t="n"/>
      <c r="L507" s="19" t="n"/>
      <c r="M507" s="20" t="n"/>
      <c r="N507" s="21" t="n"/>
      <c r="O507" s="22" t="n"/>
      <c r="P507" s="24" t="n"/>
    </row>
    <row r="508" ht="33" customHeight="1">
      <c r="A508" s="14" t="inlineStr">
        <is>
          <t>6320K781</t>
        </is>
      </c>
      <c r="B508" s="15" t="inlineStr">
        <is>
          <t>6320K781</t>
        </is>
      </c>
      <c r="C508" s="15" t="inlineStr">
        <is>
          <t>McMaster-Carr</t>
        </is>
      </c>
      <c r="D508" s="15" t="inlineStr">
        <is>
          <t>Plastic Adjustable-Position Handle
with Corrosion-Resistant 5/16"-18 Threaded Hole, 2-3/16" Projection - 5/23/23</t>
        </is>
      </c>
      <c r="E508" s="15" t="n"/>
      <c r="F508" s="17" t="inlineStr">
        <is>
          <t>Each</t>
        </is>
      </c>
      <c r="G508" s="15" t="inlineStr">
        <is>
          <t>McMaster-Carr</t>
        </is>
      </c>
      <c r="H508" s="15" t="inlineStr">
        <is>
          <t>6320K781</t>
        </is>
      </c>
      <c r="I508" s="15" t="inlineStr">
        <is>
          <t>NO</t>
        </is>
      </c>
      <c r="J508" s="18" t="n">
        <v>14.11</v>
      </c>
      <c r="K508" s="21" t="n">
        <v>45348</v>
      </c>
      <c r="L508" s="19" t="n">
        <v>0</v>
      </c>
      <c r="M508" s="20" t="n">
        <v>14.11</v>
      </c>
      <c r="N508" s="21" t="n">
        <v>45336</v>
      </c>
      <c r="O508" s="22" t="inlineStr">
        <is>
          <t>, 2/15/2024, 14.11</t>
        </is>
      </c>
      <c r="P508" s="24" t="n"/>
    </row>
    <row r="509" ht="40.5" customHeight="1">
      <c r="A509" s="53" t="inlineStr">
        <is>
          <t>ELECT1</t>
        </is>
      </c>
      <c r="B509" s="54" t="inlineStr">
        <is>
          <t>6202-30-00</t>
        </is>
      </c>
      <c r="C509" s="54" t="inlineStr">
        <is>
          <t>ELECTRI-FLEX</t>
        </is>
      </c>
      <c r="D509" s="55" t="inlineStr">
        <is>
          <t>UL Listed Liquid Tight 1/2" Flexible Conduit x 100' Lg</t>
        </is>
      </c>
      <c r="E509" s="15" t="n">
        <v>100</v>
      </c>
      <c r="F509" s="17" t="inlineStr">
        <is>
          <t>Ft.</t>
        </is>
      </c>
      <c r="G509" s="54" t="inlineStr">
        <is>
          <t>Grainger</t>
        </is>
      </c>
      <c r="H509" s="54" t="inlineStr">
        <is>
          <t>5YH56</t>
        </is>
      </c>
      <c r="I509" s="15" t="inlineStr">
        <is>
          <t>NO</t>
        </is>
      </c>
      <c r="J509" s="56" t="n">
        <v>241</v>
      </c>
      <c r="K509" s="57" t="n">
        <v>45349</v>
      </c>
      <c r="L509" s="19" t="n">
        <v>0.0555601659751037</v>
      </c>
      <c r="M509" s="20" t="n">
        <v>227.61</v>
      </c>
      <c r="N509" s="21" t="n">
        <v>45288</v>
      </c>
      <c r="O509" s="22" t="inlineStr">
        <is>
          <t>, 12/28/2023, 227.61</t>
        </is>
      </c>
      <c r="P509" s="24" t="n"/>
    </row>
    <row r="510" ht="37.5" customHeight="1">
      <c r="A510" s="53" t="inlineStr">
        <is>
          <t>SUCTF-206-20</t>
        </is>
      </c>
      <c r="B510" s="54" t="inlineStr">
        <is>
          <t>SUCTF-206-20</t>
        </is>
      </c>
      <c r="C510" s="54" t="inlineStr">
        <is>
          <t>IPTCI</t>
        </is>
      </c>
      <c r="D510" s="58" t="inlineStr">
        <is>
          <t>Stainless Insert Thermoplastic Housing 4-Bolt Flange, Set Screw Lock, Bore Dia. 1 1/4"S</t>
        </is>
      </c>
      <c r="E510" s="15" t="n">
        <v>1</v>
      </c>
      <c r="F510" s="17" t="inlineStr">
        <is>
          <t>each</t>
        </is>
      </c>
      <c r="G510" s="54" t="inlineStr">
        <is>
          <t>IPTCI</t>
        </is>
      </c>
      <c r="H510" s="54" t="inlineStr">
        <is>
          <t>SUCTF-206-20</t>
        </is>
      </c>
      <c r="I510" s="15" t="inlineStr">
        <is>
          <t>NO</t>
        </is>
      </c>
      <c r="J510" s="56" t="n">
        <v>66.31999999999999</v>
      </c>
      <c r="K510" s="57" t="n">
        <v>45446</v>
      </c>
      <c r="L510" s="19" t="n"/>
      <c r="M510" s="20" t="n"/>
      <c r="N510" s="21" t="n"/>
      <c r="O510" s="22" t="n"/>
      <c r="P510" s="24" t="n"/>
    </row>
    <row r="511" ht="37.5" customHeight="1">
      <c r="A511" s="53" t="inlineStr">
        <is>
          <t>SUCTFB-205-16</t>
        </is>
      </c>
      <c r="B511" s="54" t="inlineStr">
        <is>
          <t>SUCTFB-205-16</t>
        </is>
      </c>
      <c r="C511" s="54" t="inlineStr">
        <is>
          <t>IPTCI</t>
        </is>
      </c>
      <c r="D511" s="58" t="inlineStr">
        <is>
          <t>Stainless Insert Thermoplastic Housing 3-Bolt Flange Bracket, Set Screw Lock, Bore Dia. 1"</t>
        </is>
      </c>
      <c r="E511" s="15" t="n">
        <v>1</v>
      </c>
      <c r="F511" s="17" t="inlineStr">
        <is>
          <t>each</t>
        </is>
      </c>
      <c r="G511" s="54" t="inlineStr">
        <is>
          <t>IPTCI</t>
        </is>
      </c>
      <c r="H511" s="54" t="inlineStr">
        <is>
          <t>SUCTFB-205-16</t>
        </is>
      </c>
      <c r="I511" s="15" t="inlineStr">
        <is>
          <t>NO</t>
        </is>
      </c>
      <c r="J511" s="56" t="n">
        <v>55.2</v>
      </c>
      <c r="K511" s="57" t="n">
        <v>45446</v>
      </c>
      <c r="L511" s="19" t="n"/>
      <c r="M511" s="20" t="n"/>
      <c r="N511" s="21" t="n"/>
      <c r="O511" s="22" t="n"/>
      <c r="P511" s="23" t="n"/>
    </row>
    <row r="512" ht="37.5" customHeight="1">
      <c r="A512" s="53" t="inlineStr">
        <is>
          <t>SUCTFB-206-20</t>
        </is>
      </c>
      <c r="B512" s="54" t="inlineStr">
        <is>
          <t>SUCTFB-206-20</t>
        </is>
      </c>
      <c r="C512" s="54" t="inlineStr">
        <is>
          <t>IPTCI</t>
        </is>
      </c>
      <c r="D512" s="58" t="inlineStr">
        <is>
          <t>Stainless Insert Thermoplastic Housing 3-Bolt Flange Bracket, Set Screw Lock, Bore Dia. 1 1/4"S</t>
        </is>
      </c>
      <c r="E512" s="15" t="n">
        <v>1</v>
      </c>
      <c r="F512" s="17" t="inlineStr">
        <is>
          <t>each</t>
        </is>
      </c>
      <c r="G512" s="54" t="inlineStr">
        <is>
          <t>IPTCI</t>
        </is>
      </c>
      <c r="H512" s="54" t="inlineStr">
        <is>
          <t>SUCTFB-206-20</t>
        </is>
      </c>
      <c r="I512" s="15" t="inlineStr">
        <is>
          <t>NO</t>
        </is>
      </c>
      <c r="J512" s="56" t="n">
        <v>66.31999999999999</v>
      </c>
      <c r="K512" s="57" t="n">
        <v>45446</v>
      </c>
      <c r="L512" s="19" t="n"/>
      <c r="M512" s="20" t="n"/>
      <c r="N512" s="21" t="n"/>
      <c r="O512" s="22" t="n"/>
      <c r="P512" s="24" t="n"/>
    </row>
    <row r="513" ht="37.5" customHeight="1">
      <c r="A513" s="53" t="inlineStr">
        <is>
          <t>SUCTFL-205-16</t>
        </is>
      </c>
      <c r="B513" s="54" t="inlineStr">
        <is>
          <t>SUCTFL-205-16</t>
        </is>
      </c>
      <c r="C513" s="54" t="inlineStr">
        <is>
          <t>IPTCI</t>
        </is>
      </c>
      <c r="D513" s="58" t="inlineStr">
        <is>
          <t>Stainless Insert Thermoplastic Housing 2-Bolt Flange, Set Screw Lock, Bore Dia. 1"</t>
        </is>
      </c>
      <c r="E513" s="15" t="n">
        <v>1</v>
      </c>
      <c r="F513" s="17" t="inlineStr">
        <is>
          <t>each</t>
        </is>
      </c>
      <c r="G513" s="54" t="inlineStr">
        <is>
          <t>IPTCI</t>
        </is>
      </c>
      <c r="H513" s="54" t="inlineStr">
        <is>
          <t>SUCTFL-205-16</t>
        </is>
      </c>
      <c r="I513" s="15" t="inlineStr">
        <is>
          <t>NO</t>
        </is>
      </c>
      <c r="J513" s="56" t="n">
        <v>55.2</v>
      </c>
      <c r="K513" s="57" t="n">
        <v>45446</v>
      </c>
      <c r="L513" s="19" t="n"/>
      <c r="M513" s="20" t="n"/>
      <c r="N513" s="21" t="n"/>
      <c r="O513" s="22" t="n"/>
      <c r="P513" s="24" t="n"/>
    </row>
    <row r="514" ht="37.5" customHeight="1">
      <c r="A514" s="53" t="inlineStr">
        <is>
          <t>SUCTFL-206-20</t>
        </is>
      </c>
      <c r="B514" s="54" t="inlineStr">
        <is>
          <t>SUCTFL-206-20</t>
        </is>
      </c>
      <c r="C514" s="54" t="inlineStr">
        <is>
          <t>IPTCI</t>
        </is>
      </c>
      <c r="D514" s="58" t="inlineStr">
        <is>
          <t>Stainless Insert Thermoplastic Housing 2-Bolt Flange, Set Screw Lock, Bore Dia. 1 1/4"S</t>
        </is>
      </c>
      <c r="E514" s="15" t="n">
        <v>1</v>
      </c>
      <c r="F514" s="17" t="inlineStr">
        <is>
          <t>each</t>
        </is>
      </c>
      <c r="G514" s="54" t="inlineStr">
        <is>
          <t>IPTCI</t>
        </is>
      </c>
      <c r="H514" s="54" t="inlineStr">
        <is>
          <t>SUCTFL-206-20</t>
        </is>
      </c>
      <c r="I514" s="15" t="inlineStr">
        <is>
          <t>NO</t>
        </is>
      </c>
      <c r="J514" s="56" t="n">
        <v>66.31999999999999</v>
      </c>
      <c r="K514" s="57" t="n">
        <v>45446</v>
      </c>
      <c r="L514" s="19" t="n"/>
      <c r="M514" s="20" t="n"/>
      <c r="N514" s="21" t="n"/>
      <c r="O514" s="22" t="n"/>
      <c r="P514" s="24" t="n"/>
    </row>
    <row r="515" ht="37.5" customHeight="1">
      <c r="A515" s="53" t="inlineStr">
        <is>
          <t>SUCTFL-208-24</t>
        </is>
      </c>
      <c r="B515" s="54" t="inlineStr">
        <is>
          <t>SUCTFL-208-24</t>
        </is>
      </c>
      <c r="C515" s="54" t="inlineStr">
        <is>
          <t>IPTCI</t>
        </is>
      </c>
      <c r="D515" s="58" t="inlineStr">
        <is>
          <t>Stainless Insert Thermoplastic Housing 2-Bolt Flange, Set Screw Lock, Bore Dia. 1 1/2"</t>
        </is>
      </c>
      <c r="E515" s="15" t="n">
        <v>1</v>
      </c>
      <c r="F515" s="17" t="inlineStr">
        <is>
          <t>each</t>
        </is>
      </c>
      <c r="G515" s="54" t="inlineStr">
        <is>
          <t>IPTCI</t>
        </is>
      </c>
      <c r="H515" s="54" t="inlineStr">
        <is>
          <t>SUCTFL-208-24</t>
        </is>
      </c>
      <c r="I515" s="15" t="inlineStr">
        <is>
          <t>NO</t>
        </is>
      </c>
      <c r="J515" s="56" t="n">
        <v>76.95999999999999</v>
      </c>
      <c r="K515" s="57" t="n">
        <v>45446</v>
      </c>
      <c r="L515" s="19" t="n"/>
      <c r="M515" s="20" t="n"/>
      <c r="N515" s="21" t="n"/>
      <c r="O515" s="22" t="n"/>
      <c r="P515" s="23" t="n"/>
    </row>
    <row r="516" ht="33" customHeight="1">
      <c r="A516" s="53" t="inlineStr">
        <is>
          <t>SUCTPA-205-16</t>
        </is>
      </c>
      <c r="B516" s="54" t="inlineStr">
        <is>
          <t>SUCTPA-205-16</t>
        </is>
      </c>
      <c r="C516" s="54" t="inlineStr">
        <is>
          <t>IPTCI</t>
        </is>
      </c>
      <c r="D516" s="58" t="inlineStr">
        <is>
          <t>Stainless Insert Thermoplastic Housing Tapped Base Pillow Block, Set Screw Lock, Bore Dia. 1"</t>
        </is>
      </c>
      <c r="E516" s="15" t="n">
        <v>1</v>
      </c>
      <c r="F516" s="17" t="inlineStr">
        <is>
          <t>each</t>
        </is>
      </c>
      <c r="G516" s="54" t="inlineStr">
        <is>
          <t>IPTCI</t>
        </is>
      </c>
      <c r="H516" s="54" t="inlineStr">
        <is>
          <t>SUCTPA-205-16</t>
        </is>
      </c>
      <c r="I516" s="15" t="inlineStr">
        <is>
          <t>NO</t>
        </is>
      </c>
      <c r="J516" s="56" t="n">
        <v>55.2</v>
      </c>
      <c r="K516" s="57" t="n">
        <v>45446</v>
      </c>
      <c r="L516" s="19" t="n"/>
      <c r="M516" s="20" t="n"/>
      <c r="N516" s="21" t="n"/>
      <c r="O516" s="22" t="n"/>
      <c r="P516" s="24" t="n"/>
    </row>
    <row r="517" ht="33" customHeight="1">
      <c r="A517" s="53" t="inlineStr">
        <is>
          <t>SUCTPA-206-20</t>
        </is>
      </c>
      <c r="B517" s="54" t="inlineStr">
        <is>
          <t>SUCTPA-206-20</t>
        </is>
      </c>
      <c r="C517" s="54" t="inlineStr">
        <is>
          <t>IPTCI</t>
        </is>
      </c>
      <c r="D517" s="58" t="inlineStr">
        <is>
          <t>Stainless Insert Thermoplastic Housing Tapped Base Pillow Block, Set Screw Lock, Bore Dia. 1 1/4"S</t>
        </is>
      </c>
      <c r="E517" s="15" t="n">
        <v>1</v>
      </c>
      <c r="F517" s="17" t="inlineStr">
        <is>
          <t>each</t>
        </is>
      </c>
      <c r="G517" s="54" t="inlineStr">
        <is>
          <t>IPTCI</t>
        </is>
      </c>
      <c r="H517" s="54" t="inlineStr">
        <is>
          <t>SUCTPA-206-20</t>
        </is>
      </c>
      <c r="I517" s="15" t="inlineStr">
        <is>
          <t>NO</t>
        </is>
      </c>
      <c r="J517" s="56" t="n">
        <v>66.31999999999999</v>
      </c>
      <c r="K517" s="57" t="n">
        <v>45446</v>
      </c>
      <c r="L517" s="19" t="n"/>
      <c r="M517" s="20" t="n"/>
      <c r="N517" s="21" t="n"/>
      <c r="O517" s="22" t="n"/>
      <c r="P517" s="24" t="n"/>
    </row>
    <row r="518" ht="33" customHeight="1">
      <c r="A518" s="53" t="inlineStr">
        <is>
          <t>13RS100013</t>
        </is>
      </c>
      <c r="B518" s="54" t="inlineStr">
        <is>
          <t>13RS100013</t>
        </is>
      </c>
      <c r="C518" s="54" t="inlineStr">
        <is>
          <t>Microplastics</t>
        </is>
      </c>
      <c r="D518" s="55" t="inlineStr">
        <is>
          <t>Microplastics Nylon Spacer x 1" Dia. x .312 Lg. with .344 Thru Hole (BAG OF 500)</t>
        </is>
      </c>
      <c r="E518" s="15" t="n">
        <v>500</v>
      </c>
      <c r="F518" s="17" t="inlineStr">
        <is>
          <t>pcs</t>
        </is>
      </c>
      <c r="G518" s="54" t="inlineStr">
        <is>
          <t>Microplastics</t>
        </is>
      </c>
      <c r="H518" s="54" t="inlineStr">
        <is>
          <t>13RS100013</t>
        </is>
      </c>
      <c r="I518" s="15" t="inlineStr">
        <is>
          <t>NO</t>
        </is>
      </c>
      <c r="J518" s="56" t="n">
        <v>166.2</v>
      </c>
      <c r="K518" s="57" t="n">
        <v>45209</v>
      </c>
      <c r="L518" s="19" t="n"/>
      <c r="M518" s="20" t="n"/>
      <c r="N518" s="21" t="n"/>
      <c r="O518" s="22" t="n"/>
      <c r="P518" s="24" t="n"/>
    </row>
    <row r="519" ht="33" customHeight="1">
      <c r="A519" s="53" t="inlineStr">
        <is>
          <t>13RS100037</t>
        </is>
      </c>
      <c r="B519" s="54" t="inlineStr">
        <is>
          <t>13RS100037</t>
        </is>
      </c>
      <c r="C519" s="54" t="inlineStr">
        <is>
          <t>Microplastics</t>
        </is>
      </c>
      <c r="D519" s="55" t="inlineStr">
        <is>
          <t>Microplastics Nylon Spacer x 1" Dia. x .375" Lg. with .385 Thru Hole (BAG OF 500)</t>
        </is>
      </c>
      <c r="E519" s="15" t="n">
        <v>500</v>
      </c>
      <c r="F519" s="17" t="inlineStr">
        <is>
          <t>pcs</t>
        </is>
      </c>
      <c r="G519" s="54" t="inlineStr">
        <is>
          <t>Microplastics</t>
        </is>
      </c>
      <c r="H519" s="54" t="inlineStr">
        <is>
          <t>13RS100037</t>
        </is>
      </c>
      <c r="I519" s="15" t="inlineStr">
        <is>
          <t>NO</t>
        </is>
      </c>
      <c r="J519" s="56" t="n">
        <v>180.2</v>
      </c>
      <c r="K519" s="57" t="n">
        <v>45209</v>
      </c>
      <c r="L519" s="19" t="n"/>
      <c r="M519" s="20" t="n"/>
      <c r="N519" s="21" t="n"/>
      <c r="O519" s="22" t="n"/>
      <c r="P519" s="24" t="n"/>
    </row>
    <row r="520" ht="33" customHeight="1">
      <c r="A520" s="53" t="inlineStr">
        <is>
          <t>13RS100054</t>
        </is>
      </c>
      <c r="B520" s="54" t="inlineStr">
        <is>
          <t>13RS100054</t>
        </is>
      </c>
      <c r="C520" s="54" t="inlineStr">
        <is>
          <t>Microplastics</t>
        </is>
      </c>
      <c r="D520" s="55" t="inlineStr">
        <is>
          <t xml:space="preserve">Microplastics Nylon Spacer x 1" Dia. x .500 Lg. with ..375 Thru Hole (BAG OF 250) </t>
        </is>
      </c>
      <c r="E520" s="15" t="n">
        <v>250</v>
      </c>
      <c r="F520" s="17" t="inlineStr">
        <is>
          <t>pcs</t>
        </is>
      </c>
      <c r="G520" s="54" t="inlineStr">
        <is>
          <t>Microplastics</t>
        </is>
      </c>
      <c r="H520" s="54" t="inlineStr">
        <is>
          <t>13RS100054</t>
        </is>
      </c>
      <c r="I520" s="15" t="inlineStr">
        <is>
          <t>NO</t>
        </is>
      </c>
      <c r="J520" s="56" t="n">
        <v>72.53</v>
      </c>
      <c r="K520" s="57" t="n">
        <v>45209</v>
      </c>
      <c r="L520" s="19" t="n"/>
      <c r="M520" s="20" t="n"/>
      <c r="N520" s="21" t="n"/>
      <c r="O520" s="22" t="n"/>
      <c r="P520" s="24" t="n"/>
    </row>
    <row r="521" ht="33" customHeight="1">
      <c r="A521" s="59" t="inlineStr">
        <is>
          <t>ELECT6</t>
        </is>
      </c>
      <c r="B521" s="54" t="inlineStr">
        <is>
          <t>LT50</t>
        </is>
      </c>
      <c r="C521" s="54" t="inlineStr">
        <is>
          <t>EATON</t>
        </is>
      </c>
      <c r="D521" s="55" t="inlineStr">
        <is>
          <t>Liquid Tight Conduit Straight Connector, 1/2", EMT</t>
        </is>
      </c>
      <c r="E521" s="15" t="n">
        <v>1</v>
      </c>
      <c r="F521" s="17" t="inlineStr">
        <is>
          <t>each</t>
        </is>
      </c>
      <c r="G521" s="54" t="inlineStr">
        <is>
          <t>Capital Electric Supply</t>
        </is>
      </c>
      <c r="H521" s="54" t="inlineStr">
        <is>
          <t>LT50</t>
        </is>
      </c>
      <c r="I521" s="15" t="inlineStr">
        <is>
          <t>NO</t>
        </is>
      </c>
      <c r="J521" s="56" t="n">
        <v>2.71</v>
      </c>
      <c r="K521" s="57" t="n">
        <v>45293</v>
      </c>
      <c r="L521" s="19" t="n"/>
      <c r="M521" s="20" t="n"/>
      <c r="N521" s="21" t="n"/>
      <c r="O521" s="22" t="n"/>
      <c r="P521" s="24" t="n"/>
    </row>
    <row r="522" ht="33" customHeight="1">
      <c r="A522" s="53" t="inlineStr">
        <is>
          <t>ELECT3</t>
        </is>
      </c>
      <c r="B522" s="54" t="inlineStr">
        <is>
          <t>LT5090</t>
        </is>
      </c>
      <c r="C522" s="54" t="inlineStr">
        <is>
          <t>EATON</t>
        </is>
      </c>
      <c r="D522" s="55" t="inlineStr">
        <is>
          <t>Liquid Tight Conduit 90 Connector, 1/2", EMT</t>
        </is>
      </c>
      <c r="E522" s="15" t="n">
        <v>1</v>
      </c>
      <c r="F522" s="17" t="inlineStr">
        <is>
          <t>each</t>
        </is>
      </c>
      <c r="G522" s="54" t="inlineStr">
        <is>
          <t>Capital Electric Supply</t>
        </is>
      </c>
      <c r="H522" s="54" t="inlineStr">
        <is>
          <t>LT5090</t>
        </is>
      </c>
      <c r="I522" s="15" t="inlineStr">
        <is>
          <t>NO</t>
        </is>
      </c>
      <c r="J522" s="56" t="n">
        <v>4.24</v>
      </c>
      <c r="K522" s="57" t="n">
        <v>45293</v>
      </c>
      <c r="L522" s="19" t="n"/>
      <c r="M522" s="20" t="n"/>
      <c r="N522" s="21" t="n"/>
      <c r="O522" s="22" t="n"/>
      <c r="P522" s="24" t="n"/>
    </row>
    <row r="523" ht="33" customHeight="1">
      <c r="A523" s="53" t="inlineStr">
        <is>
          <t>CRP-0812SS</t>
        </is>
      </c>
      <c r="B523" s="54" t="inlineStr">
        <is>
          <t>CRP-0812SS</t>
        </is>
      </c>
      <c r="C523" s="54" t="inlineStr">
        <is>
          <t>Emerson</t>
        </is>
      </c>
      <c r="D523" s="55" t="inlineStr">
        <is>
          <t>Conveyor Roller Pin, 3/4", Stainless Steel - 20Pcs/bag</t>
        </is>
      </c>
      <c r="E523" s="15" t="n">
        <v>20</v>
      </c>
      <c r="F523" s="17" t="inlineStr">
        <is>
          <t>pcs</t>
        </is>
      </c>
      <c r="G523" s="54" t="inlineStr">
        <is>
          <t>Emerson</t>
        </is>
      </c>
      <c r="H523" s="54" t="inlineStr">
        <is>
          <t>CRP-0812SS</t>
        </is>
      </c>
      <c r="I523" s="15" t="inlineStr">
        <is>
          <t>NO</t>
        </is>
      </c>
      <c r="J523" s="56" t="n">
        <v>39.4</v>
      </c>
      <c r="K523" s="57" t="n">
        <v>45289</v>
      </c>
      <c r="L523" s="19" t="n"/>
      <c r="M523" s="20" t="n"/>
      <c r="N523" s="21" t="n"/>
      <c r="O523" s="22" t="n"/>
      <c r="P523" s="24" t="n"/>
    </row>
    <row r="524" ht="33" customHeight="1">
      <c r="A524" s="53" t="inlineStr">
        <is>
          <t>NRB-220/8B</t>
        </is>
      </c>
      <c r="B524" s="54" t="inlineStr">
        <is>
          <t>NRB-220/8B</t>
        </is>
      </c>
      <c r="C524" s="54" t="inlineStr">
        <is>
          <t>Emerson</t>
        </is>
      </c>
      <c r="D524" s="55" t="inlineStr">
        <is>
          <t>Acetal End Bearing, Blind Bore for 1/2" Shaft and 1.62 ID Tube - 20PCS</t>
        </is>
      </c>
      <c r="E524" s="15" t="n">
        <v>20</v>
      </c>
      <c r="F524" s="17" t="inlineStr">
        <is>
          <t>pcs</t>
        </is>
      </c>
      <c r="G524" s="54" t="inlineStr">
        <is>
          <t>Emerson</t>
        </is>
      </c>
      <c r="H524" s="54" t="inlineStr">
        <is>
          <t>NRB-220/8B</t>
        </is>
      </c>
      <c r="I524" s="15" t="inlineStr">
        <is>
          <t>NO</t>
        </is>
      </c>
      <c r="J524" s="56" t="n">
        <v>54.8</v>
      </c>
      <c r="K524" s="57" t="n">
        <v>45289</v>
      </c>
      <c r="L524" s="19" t="n"/>
      <c r="M524" s="20" t="n"/>
      <c r="N524" s="21" t="n"/>
      <c r="O524" s="22" t="n"/>
      <c r="P524" s="24" t="n"/>
    </row>
    <row r="525" ht="33" customHeight="1">
      <c r="A525" s="53" t="inlineStr">
        <is>
          <t>NRB-270/8B</t>
        </is>
      </c>
      <c r="B525" s="54" t="inlineStr">
        <is>
          <t>NRB-270/8B</t>
        </is>
      </c>
      <c r="C525" s="54" t="inlineStr">
        <is>
          <t>Emerson</t>
        </is>
      </c>
      <c r="D525" s="55" t="inlineStr">
        <is>
          <t>Acetal End Bearing, Blind Bore for 1/2" Shaft and 2.09 ID Tube - 20PCS</t>
        </is>
      </c>
      <c r="E525" s="15" t="n">
        <v>20</v>
      </c>
      <c r="F525" s="17" t="inlineStr">
        <is>
          <t>pcs</t>
        </is>
      </c>
      <c r="G525" s="54" t="inlineStr">
        <is>
          <t>Emerson</t>
        </is>
      </c>
      <c r="H525" s="54" t="inlineStr">
        <is>
          <t>NRB-270/8B</t>
        </is>
      </c>
      <c r="I525" s="15" t="inlineStr">
        <is>
          <t>NO</t>
        </is>
      </c>
      <c r="J525" s="56" t="n">
        <v>58.6</v>
      </c>
      <c r="K525" s="57" t="n">
        <v>45289</v>
      </c>
      <c r="L525" s="19" t="n"/>
      <c r="M525" s="20" t="n"/>
      <c r="N525" s="21" t="n"/>
      <c r="O525" s="22" t="n"/>
      <c r="P525" s="24" t="n"/>
    </row>
    <row r="526" ht="33" customHeight="1">
      <c r="A526" s="53" t="inlineStr">
        <is>
          <t>VG-011-SH</t>
        </is>
      </c>
      <c r="B526" s="54" t="inlineStr">
        <is>
          <t>VG-011-SH</t>
        </is>
      </c>
      <c r="C526" s="54" t="inlineStr">
        <is>
          <t>Emerson</t>
        </is>
      </c>
      <c r="D526" s="55" t="inlineStr">
        <is>
          <t>Double Rail Clamp, Stainless Steel, Square Hole, 2.5" Rail Centers - 6PCS per bag</t>
        </is>
      </c>
      <c r="E526" s="15" t="n">
        <v>6</v>
      </c>
      <c r="F526" s="17" t="inlineStr">
        <is>
          <t>pcs</t>
        </is>
      </c>
      <c r="G526" s="54" t="inlineStr">
        <is>
          <t>Emerson</t>
        </is>
      </c>
      <c r="H526" s="54" t="inlineStr">
        <is>
          <t>VG-011-SH</t>
        </is>
      </c>
      <c r="I526" s="15" t="inlineStr">
        <is>
          <t>NO</t>
        </is>
      </c>
      <c r="J526" s="56" t="n">
        <v>37.02</v>
      </c>
      <c r="K526" s="57" t="n">
        <v>45289</v>
      </c>
      <c r="L526" s="19" t="n"/>
      <c r="M526" s="20" t="n"/>
      <c r="N526" s="21" t="n"/>
      <c r="O526" s="22" t="n"/>
      <c r="P526" s="24" t="n"/>
    </row>
    <row r="527" ht="33" customHeight="1">
      <c r="A527" s="53" t="inlineStr">
        <is>
          <t>VG-013-01</t>
        </is>
      </c>
      <c r="B527" s="54" t="inlineStr">
        <is>
          <t>VG-013-01</t>
        </is>
      </c>
      <c r="C527" s="54" t="inlineStr">
        <is>
          <t>Emerson</t>
        </is>
      </c>
      <c r="D527" s="55" t="inlineStr">
        <is>
          <t>Splice Sleeve, Stainless Steel, 2"</t>
        </is>
      </c>
      <c r="E527" s="15" t="n">
        <v>10</v>
      </c>
      <c r="F527" s="17" t="inlineStr">
        <is>
          <t>pcs</t>
        </is>
      </c>
      <c r="G527" s="54" t="inlineStr">
        <is>
          <t>Emerson</t>
        </is>
      </c>
      <c r="H527" s="54" t="inlineStr">
        <is>
          <t>VG-013-01</t>
        </is>
      </c>
      <c r="I527" s="15" t="inlineStr">
        <is>
          <t>NO</t>
        </is>
      </c>
      <c r="J527" s="56" t="n">
        <v>14.1</v>
      </c>
      <c r="K527" s="57" t="n">
        <v>45289</v>
      </c>
      <c r="L527" s="19" t="n"/>
      <c r="M527" s="20" t="n"/>
      <c r="N527" s="21" t="n"/>
      <c r="O527" s="22" t="n"/>
      <c r="P527" s="24" t="n"/>
    </row>
    <row r="528" ht="33" customHeight="1">
      <c r="A528" s="53" t="inlineStr">
        <is>
          <t>VG-203TC-12</t>
        </is>
      </c>
      <c r="B528" s="54" t="inlineStr">
        <is>
          <t>VG-203TC-12</t>
        </is>
      </c>
      <c r="C528" s="54" t="inlineStr">
        <is>
          <t>Emerson</t>
        </is>
      </c>
      <c r="D528" s="60" t="inlineStr">
        <is>
          <t>Transition Cap Assembly, Polyamide, 1/2" Rod
THIS IS A LEGACY PART - UPDATED P/N: KA08</t>
        </is>
      </c>
      <c r="E528" s="15" t="n">
        <v>1</v>
      </c>
      <c r="F528" s="17" t="inlineStr">
        <is>
          <t>each</t>
        </is>
      </c>
      <c r="G528" s="54" t="inlineStr">
        <is>
          <t>Emerson</t>
        </is>
      </c>
      <c r="H528" s="54" t="inlineStr">
        <is>
          <t>VG-203TC-12</t>
        </is>
      </c>
      <c r="I528" s="15" t="inlineStr">
        <is>
          <t>KA08</t>
        </is>
      </c>
      <c r="J528" s="56" t="inlineStr">
        <is>
          <t>LEGACY</t>
        </is>
      </c>
      <c r="K528" s="57" t="n">
        <v>45289</v>
      </c>
      <c r="L528" s="19" t="n"/>
      <c r="M528" s="20" t="n">
        <v>13.71</v>
      </c>
      <c r="N528" s="57" t="n">
        <v>45289</v>
      </c>
      <c r="O528" s="22" t="n"/>
      <c r="P528" s="24" t="n"/>
    </row>
    <row r="529" ht="33" customHeight="1">
      <c r="A529" s="53" t="inlineStr">
        <is>
          <t>VG-282-38F</t>
        </is>
      </c>
      <c r="B529" s="54" t="inlineStr">
        <is>
          <t>VG-282-38F</t>
        </is>
      </c>
      <c r="C529" s="54" t="inlineStr">
        <is>
          <t>Emerson</t>
        </is>
      </c>
      <c r="D529" s="55" t="inlineStr">
        <is>
          <t>Heavy Duty Knob, Polyamide, 3/8-16 Female - 10PCS</t>
        </is>
      </c>
      <c r="E529" s="15" t="n">
        <v>10</v>
      </c>
      <c r="F529" s="17" t="inlineStr">
        <is>
          <t>pcs</t>
        </is>
      </c>
      <c r="G529" s="54" t="inlineStr">
        <is>
          <t>Emerson</t>
        </is>
      </c>
      <c r="H529" s="54" t="inlineStr">
        <is>
          <t>VG-282-38F</t>
        </is>
      </c>
      <c r="I529" s="15" t="inlineStr">
        <is>
          <t>NO</t>
        </is>
      </c>
      <c r="J529" s="56" t="n">
        <v>75.5</v>
      </c>
      <c r="K529" s="57" t="n">
        <v>45306</v>
      </c>
      <c r="L529" s="19" t="n"/>
      <c r="M529" s="20" t="n"/>
      <c r="N529" s="21" t="n"/>
      <c r="O529" s="22" t="n"/>
      <c r="P529" s="24" t="n"/>
    </row>
    <row r="530" ht="33" customHeight="1">
      <c r="A530" s="53" t="inlineStr">
        <is>
          <t>VG-P18BC-NS-250</t>
        </is>
      </c>
      <c r="B530" s="54" t="inlineStr">
        <is>
          <t>VG-P18BC-NS-250</t>
        </is>
      </c>
      <c r="C530" s="54" t="inlineStr">
        <is>
          <t>Emerson</t>
        </is>
      </c>
      <c r="D530" s="54" t="inlineStr">
        <is>
          <t>Nolu-S Bar Cap, 1/8", Nolu-S, 250 ft. Roll</t>
        </is>
      </c>
      <c r="E530" s="15" t="n">
        <v>250</v>
      </c>
      <c r="F530" s="17" t="inlineStr">
        <is>
          <t>ft</t>
        </is>
      </c>
      <c r="G530" s="54" t="inlineStr">
        <is>
          <t>Emerson</t>
        </is>
      </c>
      <c r="H530" s="54" t="inlineStr">
        <is>
          <t>VG-P18BC-NS-250</t>
        </is>
      </c>
      <c r="I530" s="15" t="inlineStr">
        <is>
          <t>NO</t>
        </is>
      </c>
      <c r="J530" s="56" t="n">
        <v>377.5</v>
      </c>
      <c r="K530" s="57" t="n">
        <v>45289</v>
      </c>
      <c r="L530" s="19" t="n"/>
      <c r="M530" s="20" t="n"/>
      <c r="N530" s="21" t="n"/>
      <c r="O530" s="22" t="n"/>
      <c r="P530" s="24" t="n"/>
    </row>
    <row r="531" ht="33" customHeight="1">
      <c r="A531" s="53" t="inlineStr">
        <is>
          <t>VG-SC-34</t>
        </is>
      </c>
      <c r="B531" s="54" t="inlineStr">
        <is>
          <t>VG-SC-34</t>
        </is>
      </c>
      <c r="C531" s="54" t="inlineStr">
        <is>
          <t>Emerson</t>
        </is>
      </c>
      <c r="D531" s="60" t="inlineStr">
        <is>
          <t>Locking Shaft Collar, PA, 3/4" - 6PCS</t>
        </is>
      </c>
      <c r="E531" s="15" t="n">
        <v>6</v>
      </c>
      <c r="F531" s="17" t="inlineStr">
        <is>
          <t>pcs</t>
        </is>
      </c>
      <c r="G531" s="54" t="inlineStr">
        <is>
          <t>Emerson</t>
        </is>
      </c>
      <c r="H531" s="54" t="inlineStr">
        <is>
          <t>VG-SC-34</t>
        </is>
      </c>
      <c r="I531" s="15" t="inlineStr">
        <is>
          <t>NO</t>
        </is>
      </c>
      <c r="J531" s="56" t="n">
        <v>24.54</v>
      </c>
      <c r="K531" s="57" t="n">
        <v>45447</v>
      </c>
      <c r="L531" s="19" t="n">
        <v>-0.241187384044527</v>
      </c>
      <c r="M531" s="31" t="n">
        <v>32.34</v>
      </c>
      <c r="N531" s="21" t="n">
        <v>45447</v>
      </c>
      <c r="O531" s="22" t="inlineStr">
        <is>
          <t>, 10/10/2023, 32.34, 6/4/2024, 32.34</t>
        </is>
      </c>
      <c r="P531" s="24" t="n"/>
    </row>
    <row r="532" ht="33" customHeight="1">
      <c r="A532" s="53" t="inlineStr">
        <is>
          <t>VG-SC-12</t>
        </is>
      </c>
      <c r="B532" s="54" t="inlineStr">
        <is>
          <t>VG-SC-12</t>
        </is>
      </c>
      <c r="C532" s="54" t="inlineStr">
        <is>
          <t>Emerson</t>
        </is>
      </c>
      <c r="D532" s="60" t="inlineStr">
        <is>
          <t>Locking Shaft Collar, PA, 1/2" - 6PCS</t>
        </is>
      </c>
      <c r="E532" s="15" t="n">
        <v>6</v>
      </c>
      <c r="F532" s="17" t="inlineStr">
        <is>
          <t>pcs</t>
        </is>
      </c>
      <c r="G532" s="54" t="inlineStr">
        <is>
          <t>Emerson</t>
        </is>
      </c>
      <c r="H532" s="54" t="inlineStr">
        <is>
          <t>VG-SC-12</t>
        </is>
      </c>
      <c r="I532" s="15" t="inlineStr">
        <is>
          <t>NO</t>
        </is>
      </c>
      <c r="J532" s="56" t="n">
        <v>29.04</v>
      </c>
      <c r="K532" s="57" t="n">
        <v>45447</v>
      </c>
      <c r="L532" s="19" t="n">
        <v>-0.102040816326531</v>
      </c>
      <c r="M532" s="31" t="n">
        <v>32.34</v>
      </c>
      <c r="N532" s="21" t="n">
        <v>45447</v>
      </c>
      <c r="O532" s="22" t="inlineStr">
        <is>
          <t>, 10/10/2023, 32.34, 6/4/2024, 32.34</t>
        </is>
      </c>
      <c r="P532" s="24" t="n"/>
    </row>
    <row r="533" ht="33" customHeight="1">
      <c r="A533" s="53" t="inlineStr">
        <is>
          <t>VG-SCK-100</t>
        </is>
      </c>
      <c r="B533" s="54" t="inlineStr">
        <is>
          <t>VG-SCK-100</t>
        </is>
      </c>
      <c r="C533" s="54" t="inlineStr">
        <is>
          <t>Emerson</t>
        </is>
      </c>
      <c r="D533" s="55" t="inlineStr">
        <is>
          <t>Locking Shaft Collar, Key Hole, PA, 1" - 6PCS PER BAG</t>
        </is>
      </c>
      <c r="E533" s="15" t="n">
        <v>6</v>
      </c>
      <c r="F533" s="17" t="inlineStr">
        <is>
          <t>pcs</t>
        </is>
      </c>
      <c r="G533" s="54" t="inlineStr">
        <is>
          <t>Emerson</t>
        </is>
      </c>
      <c r="H533" s="54" t="inlineStr">
        <is>
          <t>VG-SCK-100</t>
        </is>
      </c>
      <c r="I533" s="15" t="inlineStr">
        <is>
          <t>NO</t>
        </is>
      </c>
      <c r="J533" s="56" t="n">
        <v>35.04</v>
      </c>
      <c r="K533" s="57" t="n">
        <v>45289</v>
      </c>
      <c r="L533" s="19" t="n"/>
      <c r="M533" s="20" t="n"/>
      <c r="N533" s="21" t="n"/>
      <c r="O533" s="22" t="n"/>
      <c r="P533" s="24" t="n"/>
    </row>
    <row r="534" ht="33" customHeight="1">
      <c r="A534" s="53" t="inlineStr">
        <is>
          <t>LEGCAP</t>
        </is>
      </c>
      <c r="B534" s="54" t="inlineStr">
        <is>
          <t>LEGCAP</t>
        </is>
      </c>
      <c r="C534" s="54" t="inlineStr">
        <is>
          <t>Advantage Conveyor, Inc.</t>
        </is>
      </c>
      <c r="D534" s="55" t="inlineStr">
        <is>
          <t xml:space="preserve"> 1-3/8" x 1-3/8" 11 Ga. T304 SS Leg Cap - 1EA</t>
        </is>
      </c>
      <c r="E534" s="15" t="n">
        <v>1</v>
      </c>
      <c r="F534" s="17" t="inlineStr">
        <is>
          <t>each</t>
        </is>
      </c>
      <c r="G534" s="54" t="inlineStr">
        <is>
          <t>Stainless Steel Specialties</t>
        </is>
      </c>
      <c r="H534" s="54" t="inlineStr">
        <is>
          <t>N/A</t>
        </is>
      </c>
      <c r="I534" s="15" t="inlineStr">
        <is>
          <t>NO</t>
        </is>
      </c>
      <c r="J534" s="56" t="n">
        <v>12</v>
      </c>
      <c r="K534" s="57" t="n">
        <v>45446</v>
      </c>
      <c r="L534" s="19" t="n"/>
      <c r="M534" s="20" t="n"/>
      <c r="N534" s="21" t="n"/>
      <c r="O534" s="22" t="n"/>
      <c r="P534" s="24" t="n"/>
    </row>
    <row r="535" ht="33" customHeight="1">
      <c r="A535" s="53" t="inlineStr">
        <is>
          <t>5/8-11 THREADED ROD</t>
        </is>
      </c>
      <c r="B535" s="54" t="inlineStr">
        <is>
          <t>STHR304NC/62511</t>
        </is>
      </c>
      <c r="C535" s="54" t="inlineStr">
        <is>
          <t>Metal Supermarkets</t>
        </is>
      </c>
      <c r="D535" s="55" t="inlineStr">
        <is>
          <t>5/8-11 x 72" 304 Stainless Steel Threaded Rod</t>
        </is>
      </c>
      <c r="E535" s="15" t="n">
        <v>1</v>
      </c>
      <c r="F535" s="17" t="inlineStr">
        <is>
          <t>each</t>
        </is>
      </c>
      <c r="G535" s="54" t="inlineStr">
        <is>
          <t>Metal Supermarkets</t>
        </is>
      </c>
      <c r="H535" s="54" t="inlineStr">
        <is>
          <t>STHR304NC/62511</t>
        </is>
      </c>
      <c r="I535" s="15" t="inlineStr">
        <is>
          <t>NO</t>
        </is>
      </c>
      <c r="J535" s="56" t="n">
        <v>39.25</v>
      </c>
      <c r="K535" s="57" t="n">
        <v>45289</v>
      </c>
      <c r="L535" s="19" t="n"/>
      <c r="M535" s="20" t="n"/>
      <c r="N535" s="21" t="n"/>
      <c r="O535" s="22" t="n"/>
      <c r="P535" s="24" t="n"/>
    </row>
    <row r="536" ht="33" customHeight="1">
      <c r="A536" s="53" t="inlineStr">
        <is>
          <t>3/4-10 THREADED ROD</t>
        </is>
      </c>
      <c r="B536" s="54" t="inlineStr">
        <is>
          <t>STHR304NC/75010</t>
        </is>
      </c>
      <c r="C536" s="54" t="inlineStr">
        <is>
          <t>Advantage Conveyor, Inc.</t>
        </is>
      </c>
      <c r="D536" s="55" t="inlineStr">
        <is>
          <t>3/4-10 x 72" 304 Stainless Steel Threaded Rod</t>
        </is>
      </c>
      <c r="E536" s="15" t="n">
        <v>1</v>
      </c>
      <c r="F536" s="17" t="inlineStr">
        <is>
          <t>each</t>
        </is>
      </c>
      <c r="G536" s="54" t="inlineStr">
        <is>
          <t>Metal Supermarkets</t>
        </is>
      </c>
      <c r="H536" s="54" t="inlineStr">
        <is>
          <t>STHR304NC/75010</t>
        </is>
      </c>
      <c r="I536" s="15" t="inlineStr">
        <is>
          <t>NO</t>
        </is>
      </c>
      <c r="J536" s="56" t="n">
        <v>51.8</v>
      </c>
      <c r="K536" s="57" t="n">
        <v>45289</v>
      </c>
      <c r="L536" s="19" t="n"/>
      <c r="M536" s="20" t="n"/>
      <c r="N536" s="21" t="n"/>
      <c r="O536" s="22" t="n"/>
      <c r="P536" s="24" t="n"/>
    </row>
    <row r="537" ht="33" customHeight="1">
      <c r="A537" s="53" t="inlineStr">
        <is>
          <t>VG-SCK-125</t>
        </is>
      </c>
      <c r="B537" s="54" t="inlineStr">
        <is>
          <t>VG-SCK-125</t>
        </is>
      </c>
      <c r="C537" s="54" t="inlineStr">
        <is>
          <t>Emerson</t>
        </is>
      </c>
      <c r="D537" s="55" t="inlineStr">
        <is>
          <t>Locking Shaft Collar, Key Hole, PA, 1-1/4" -  6 PCS PER BAG</t>
        </is>
      </c>
      <c r="E537" s="15" t="n">
        <v>6</v>
      </c>
      <c r="F537" s="17" t="inlineStr">
        <is>
          <t>pcs</t>
        </is>
      </c>
      <c r="G537" s="54" t="inlineStr">
        <is>
          <t>Emerson</t>
        </is>
      </c>
      <c r="H537" s="54" t="inlineStr">
        <is>
          <t>VG-SCK-125</t>
        </is>
      </c>
      <c r="I537" s="15" t="inlineStr">
        <is>
          <t>NO</t>
        </is>
      </c>
      <c r="J537" s="56" t="n">
        <v>37.62</v>
      </c>
      <c r="K537" s="57" t="n">
        <v>45446</v>
      </c>
      <c r="L537" s="19" t="n">
        <v>0</v>
      </c>
      <c r="M537" s="31" t="n">
        <v>37.62</v>
      </c>
      <c r="N537" s="21" t="n">
        <v>45289</v>
      </c>
      <c r="O537" s="22" t="inlineStr">
        <is>
          <t>, 6/3/2024, 37.62</t>
        </is>
      </c>
      <c r="P537" s="24" t="n"/>
    </row>
    <row r="538" ht="33" customHeight="1">
      <c r="A538" s="53" t="inlineStr">
        <is>
          <t>90145A508</t>
        </is>
      </c>
      <c r="B538" s="54" t="inlineStr">
        <is>
          <t>90145A508</t>
        </is>
      </c>
      <c r="C538" s="54" t="inlineStr">
        <is>
          <t>McMaster-Carr</t>
        </is>
      </c>
      <c r="D538" s="55" t="inlineStr">
        <is>
          <t>18-8 Stainless Steel Standard Dowel Pin 3/16" Diameter, 3/4" Length, Packs of 20</t>
        </is>
      </c>
      <c r="E538" s="15" t="n">
        <v>20</v>
      </c>
      <c r="F538" s="17" t="inlineStr">
        <is>
          <t>pack</t>
        </is>
      </c>
      <c r="G538" s="54" t="inlineStr">
        <is>
          <t>McMaster-Carr</t>
        </is>
      </c>
      <c r="H538" s="54" t="inlineStr">
        <is>
          <t>90145A508</t>
        </is>
      </c>
      <c r="I538" s="15" t="inlineStr">
        <is>
          <t>NO</t>
        </is>
      </c>
      <c r="J538" s="56" t="n">
        <v>8.31</v>
      </c>
      <c r="K538" s="57" t="n">
        <v>45463</v>
      </c>
      <c r="L538" s="19" t="n">
        <v>0</v>
      </c>
      <c r="M538" s="31" t="n">
        <v>8.51</v>
      </c>
      <c r="N538" s="21" t="n">
        <v>45463</v>
      </c>
      <c r="O538" s="22" t="inlineStr">
        <is>
          <t>, 1/15/2024, 8.31, 2/15/2024, 8.31, 6/20/2024, 8.51</t>
        </is>
      </c>
      <c r="P538" s="24" t="n"/>
    </row>
    <row r="539" ht="33" customHeight="1">
      <c r="A539" s="53" t="inlineStr">
        <is>
          <t>3404K78</t>
        </is>
      </c>
      <c r="B539" s="54" t="inlineStr">
        <is>
          <t>3404K78</t>
        </is>
      </c>
      <c r="C539" s="54" t="inlineStr">
        <is>
          <t>McMaster-Carr</t>
        </is>
      </c>
      <c r="D539" s="55" t="inlineStr">
        <is>
          <t>80 Degree Angle Stainless Steel Flat Spray Nozzle with 1/8" NPT Male End</t>
        </is>
      </c>
      <c r="E539" s="15" t="n">
        <v>1</v>
      </c>
      <c r="F539" s="17" t="inlineStr">
        <is>
          <t>Each</t>
        </is>
      </c>
      <c r="G539" s="54" t="inlineStr">
        <is>
          <t>McMaster-Carr</t>
        </is>
      </c>
      <c r="H539" s="54" t="inlineStr">
        <is>
          <t>3404K78</t>
        </is>
      </c>
      <c r="I539" s="15" t="inlineStr">
        <is>
          <t>NO</t>
        </is>
      </c>
      <c r="J539" s="56" t="n">
        <v>16.34</v>
      </c>
      <c r="K539" s="57" t="n">
        <v>45348</v>
      </c>
      <c r="L539" s="19" t="n">
        <v>0</v>
      </c>
      <c r="M539" s="20" t="n">
        <v>16.34</v>
      </c>
      <c r="N539" s="21" t="n">
        <v>45306</v>
      </c>
      <c r="O539" s="22" t="inlineStr">
        <is>
          <t>, 1/15/2024, 16.34, 2/19/2024, 16.34</t>
        </is>
      </c>
      <c r="P539" s="24" t="n"/>
    </row>
    <row r="540" ht="33" customHeight="1">
      <c r="A540" s="53" t="inlineStr">
        <is>
          <t>13RS100043</t>
        </is>
      </c>
      <c r="B540" s="54" t="inlineStr">
        <is>
          <t>13RS100043</t>
        </is>
      </c>
      <c r="C540" s="54" t="inlineStr">
        <is>
          <t>Microplastics</t>
        </is>
      </c>
      <c r="D540" s="55" t="inlineStr">
        <is>
          <t>Microplastics Nylon Spacer x 1" Dia. x .4375 Lg. with .406 Thru Hole (BAG OF 500)</t>
        </is>
      </c>
      <c r="E540" s="15" t="n">
        <v>500</v>
      </c>
      <c r="F540" s="17" t="inlineStr">
        <is>
          <t>pcs</t>
        </is>
      </c>
      <c r="G540" s="54" t="inlineStr">
        <is>
          <t>Microplastics</t>
        </is>
      </c>
      <c r="H540" s="54" t="inlineStr">
        <is>
          <t>N/A</t>
        </is>
      </c>
      <c r="I540" s="15" t="inlineStr">
        <is>
          <t>NO</t>
        </is>
      </c>
      <c r="J540" s="56" t="n">
        <v>187.3</v>
      </c>
      <c r="K540" s="57" t="n">
        <v>45209</v>
      </c>
      <c r="L540" s="19" t="n"/>
      <c r="M540" s="20" t="n"/>
      <c r="N540" s="21" t="n"/>
      <c r="O540" s="22" t="n"/>
      <c r="P540" s="24" t="n"/>
    </row>
    <row r="541" ht="33" customHeight="1">
      <c r="A541" s="53" t="inlineStr">
        <is>
          <t>13RS087550</t>
        </is>
      </c>
      <c r="B541" s="54" t="inlineStr">
        <is>
          <t>13RS087550</t>
        </is>
      </c>
      <c r="C541" s="54" t="inlineStr">
        <is>
          <t>Microplastics</t>
        </is>
      </c>
      <c r="D541" s="55" t="inlineStr">
        <is>
          <t>Microplastics Nylon Spacer x .875" Dia. x .625Lg. with .251 Thru Hole (BAG OF 250)</t>
        </is>
      </c>
      <c r="E541" s="15" t="n">
        <v>250</v>
      </c>
      <c r="F541" s="17" t="inlineStr">
        <is>
          <t>pcs</t>
        </is>
      </c>
      <c r="G541" s="54" t="inlineStr">
        <is>
          <t>Microplastics</t>
        </is>
      </c>
      <c r="H541" s="54" t="inlineStr">
        <is>
          <t>N/A</t>
        </is>
      </c>
      <c r="I541" s="15" t="inlineStr">
        <is>
          <t>NO</t>
        </is>
      </c>
      <c r="J541" s="56" t="n">
        <v>72.63</v>
      </c>
      <c r="K541" s="57" t="n">
        <v>45209</v>
      </c>
      <c r="L541" s="19" t="n"/>
      <c r="M541" s="20" t="n"/>
      <c r="N541" s="21" t="n"/>
      <c r="O541" s="22" t="n"/>
      <c r="P541" s="24" t="n"/>
    </row>
    <row r="542" ht="33" customHeight="1">
      <c r="A542" s="53" t="inlineStr">
        <is>
          <t>13RS075081</t>
        </is>
      </c>
      <c r="B542" s="54" t="inlineStr">
        <is>
          <t>13RS075081</t>
        </is>
      </c>
      <c r="C542" s="54" t="inlineStr">
        <is>
          <t>Microplastics</t>
        </is>
      </c>
      <c r="D542" s="55" t="inlineStr">
        <is>
          <t>Microplastics Nylon Spacer x .75" Dia. x .375 Lg. with .375 Thru Hole (BAG OF 1000)</t>
        </is>
      </c>
      <c r="E542" s="15" t="n">
        <v>1000</v>
      </c>
      <c r="F542" s="17" t="inlineStr">
        <is>
          <t>pcs</t>
        </is>
      </c>
      <c r="G542" s="54" t="inlineStr">
        <is>
          <t>Microplastics</t>
        </is>
      </c>
      <c r="H542" s="54" t="inlineStr">
        <is>
          <t>N/A</t>
        </is>
      </c>
      <c r="I542" s="15" t="inlineStr">
        <is>
          <t>NO</t>
        </is>
      </c>
      <c r="J542" s="56" t="n">
        <v>94.2</v>
      </c>
      <c r="K542" s="57" t="n">
        <v>45209</v>
      </c>
      <c r="L542" s="19" t="n"/>
      <c r="M542" s="20" t="n"/>
      <c r="N542" s="21" t="n"/>
      <c r="O542" s="22" t="n"/>
      <c r="P542" s="24" t="n"/>
    </row>
    <row r="543" ht="33" customHeight="1">
      <c r="A543" s="53" t="inlineStr">
        <is>
          <t>13RS100555</t>
        </is>
      </c>
      <c r="B543" s="54" t="inlineStr">
        <is>
          <t>13RS100555</t>
        </is>
      </c>
      <c r="C543" s="54" t="inlineStr">
        <is>
          <t>Microplastics</t>
        </is>
      </c>
      <c r="D543" s="55" t="inlineStr">
        <is>
          <t>Microplastics Nylon Spacer x 1" Dia. x .250 Lg. with .375 Thru Hole (BAG OF 500)</t>
        </is>
      </c>
      <c r="E543" s="15" t="n">
        <v>500</v>
      </c>
      <c r="F543" s="17" t="inlineStr">
        <is>
          <t>pcs</t>
        </is>
      </c>
      <c r="G543" s="54" t="inlineStr">
        <is>
          <t>Microplastics</t>
        </is>
      </c>
      <c r="H543" s="54" t="inlineStr">
        <is>
          <t>N/A</t>
        </is>
      </c>
      <c r="I543" s="15" t="inlineStr">
        <is>
          <t>NO</t>
        </is>
      </c>
      <c r="J543" s="56" t="n">
        <v>110.7</v>
      </c>
      <c r="K543" s="57" t="n">
        <v>45209</v>
      </c>
      <c r="L543" s="19" t="n"/>
      <c r="M543" s="20" t="n"/>
      <c r="N543" s="21" t="n"/>
      <c r="O543" s="22" t="n"/>
      <c r="P543" s="24" t="n"/>
    </row>
    <row r="544" ht="33" customHeight="1">
      <c r="A544" s="53" t="inlineStr">
        <is>
          <t>13RS100022</t>
        </is>
      </c>
      <c r="B544" s="54" t="inlineStr">
        <is>
          <t>13RS100022</t>
        </is>
      </c>
      <c r="C544" s="54" t="inlineStr">
        <is>
          <t>Microplastics</t>
        </is>
      </c>
      <c r="D544" s="55" t="inlineStr">
        <is>
          <t>Microplastics Nylon Spacer x 1" Dia. x .813 Lg. with .375 Thru Hole (BAG OF 500)</t>
        </is>
      </c>
      <c r="E544" s="15" t="n">
        <v>500</v>
      </c>
      <c r="F544" s="17" t="inlineStr">
        <is>
          <t>pcs</t>
        </is>
      </c>
      <c r="G544" s="54" t="inlineStr">
        <is>
          <t>Microplastics</t>
        </is>
      </c>
      <c r="H544" s="54" t="inlineStr">
        <is>
          <t>N/A</t>
        </is>
      </c>
      <c r="I544" s="15" t="inlineStr">
        <is>
          <t>NO</t>
        </is>
      </c>
      <c r="J544" s="56" t="n">
        <v>250.1</v>
      </c>
      <c r="K544" s="57" t="n">
        <v>45209</v>
      </c>
      <c r="L544" s="19" t="n"/>
      <c r="M544" s="20" t="n"/>
      <c r="N544" s="21" t="n"/>
      <c r="O544" s="22" t="n"/>
      <c r="P544" s="24" t="n"/>
    </row>
    <row r="545" ht="33" customHeight="1">
      <c r="A545" s="53" t="inlineStr">
        <is>
          <t>SSCASTER</t>
        </is>
      </c>
      <c r="B545" s="54" t="inlineStr">
        <is>
          <t>SCC-SS316TTL30S420-PHR</t>
        </is>
      </c>
      <c r="C545" s="54" t="inlineStr">
        <is>
          <t>Service Caster Coporation</t>
        </is>
      </c>
      <c r="D545" s="54" t="inlineStr">
        <is>
          <t>Allied Caster - 4" Stainless Steel Grade 316 - Swivel Caster - Phenolic Wheel</t>
        </is>
      </c>
      <c r="E545" s="15" t="n">
        <v>1</v>
      </c>
      <c r="F545" s="17" t="inlineStr">
        <is>
          <t>each</t>
        </is>
      </c>
      <c r="G545" s="54" t="inlineStr">
        <is>
          <t>Service Caster Coporation</t>
        </is>
      </c>
      <c r="H545" s="54" t="inlineStr">
        <is>
          <t>SCC-SS316TTL30S420-PHR</t>
        </is>
      </c>
      <c r="I545" s="15" t="inlineStr">
        <is>
          <t>NO</t>
        </is>
      </c>
      <c r="J545" s="56" t="n">
        <v>102.56</v>
      </c>
      <c r="K545" s="57" t="n">
        <v>45293</v>
      </c>
      <c r="L545" s="19" t="n"/>
      <c r="M545" s="20" t="n"/>
      <c r="N545" s="21" t="n"/>
      <c r="O545" s="22" t="n"/>
      <c r="P545" s="24" t="n"/>
    </row>
    <row r="546" ht="33" customHeight="1">
      <c r="A546" s="53" t="inlineStr">
        <is>
          <t>ELECT4</t>
        </is>
      </c>
      <c r="B546" s="54" t="inlineStr">
        <is>
          <t>5965B</t>
        </is>
      </c>
      <c r="C546" s="54" t="inlineStr">
        <is>
          <t>Bryant</t>
        </is>
      </c>
      <c r="D546" s="55" t="inlineStr">
        <is>
          <t xml:space="preserve">Bryant 5965B TECHSPEC® Straight Blade Plug, 15A, 125V, Black </t>
        </is>
      </c>
      <c r="E546" s="15" t="n">
        <v>1</v>
      </c>
      <c r="F546" s="17" t="inlineStr">
        <is>
          <t>each</t>
        </is>
      </c>
      <c r="G546" s="54" t="inlineStr">
        <is>
          <t>Zoro</t>
        </is>
      </c>
      <c r="H546" s="54" t="inlineStr">
        <is>
          <t>G602712001</t>
        </is>
      </c>
      <c r="I546" s="15" t="inlineStr">
        <is>
          <t>NO</t>
        </is>
      </c>
      <c r="J546" s="56" t="n">
        <v>23.19</v>
      </c>
      <c r="K546" s="57" t="n">
        <v>45420</v>
      </c>
      <c r="L546" s="19" t="n">
        <v>-0.294063926940639</v>
      </c>
      <c r="M546" s="20" t="n">
        <v>32.85</v>
      </c>
      <c r="N546" s="21" t="n">
        <v>45349</v>
      </c>
      <c r="O546" s="22" t="inlineStr">
        <is>
          <t>, 2/27/2024, 32.85</t>
        </is>
      </c>
      <c r="P546" s="24" t="n"/>
    </row>
    <row r="547" ht="33" customHeight="1">
      <c r="A547" s="53" t="inlineStr">
        <is>
          <t>ELECT2</t>
        </is>
      </c>
      <c r="B547" s="54" t="inlineStr">
        <is>
          <t>01360.35T.01</t>
        </is>
      </c>
      <c r="C547" s="54" t="inlineStr">
        <is>
          <t>CAROL</t>
        </is>
      </c>
      <c r="D547" s="54" t="inlineStr">
        <is>
          <t>Portable Cord, Number of Conductors 3, 14 AWG, SJOOW, 250 ft, Black</t>
        </is>
      </c>
      <c r="E547" s="15" t="n">
        <v>250</v>
      </c>
      <c r="F547" s="17" t="inlineStr">
        <is>
          <t>Ft.</t>
        </is>
      </c>
      <c r="G547" s="54" t="inlineStr">
        <is>
          <t>Grainger</t>
        </is>
      </c>
      <c r="H547" s="54" t="inlineStr">
        <is>
          <t>1W926</t>
        </is>
      </c>
      <c r="I547" s="15" t="inlineStr">
        <is>
          <t>NO</t>
        </is>
      </c>
      <c r="J547" s="56" t="n">
        <v>595.73</v>
      </c>
      <c r="K547" s="57" t="n">
        <v>45420</v>
      </c>
      <c r="L547" s="19" t="n">
        <v>0.489325</v>
      </c>
      <c r="M547" s="20" t="n">
        <v>444.44</v>
      </c>
      <c r="N547" s="21" t="n">
        <v>45414</v>
      </c>
      <c r="O547" s="22" t="inlineStr">
        <is>
          <t>, 12/28/2023, 400, 2/27/2024, 444.44, 5/2/2024, 444.44</t>
        </is>
      </c>
      <c r="P547" s="24" t="n"/>
    </row>
    <row r="548" ht="33" customHeight="1">
      <c r="A548" s="53" t="inlineStr">
        <is>
          <t>ELECT5</t>
        </is>
      </c>
      <c r="B548" s="54" t="n">
        <v>22955901</v>
      </c>
      <c r="C548" s="54" t="inlineStr">
        <is>
          <t>SOUTHWIRE</t>
        </is>
      </c>
      <c r="D548" s="54" t="inlineStr">
        <is>
          <t>Wire, Stranded, THHN, 14 AWG, Black, 500 ft</t>
        </is>
      </c>
      <c r="E548" s="15" t="n">
        <v>500</v>
      </c>
      <c r="F548" s="17" t="inlineStr">
        <is>
          <t>Ft.</t>
        </is>
      </c>
      <c r="G548" s="54" t="inlineStr">
        <is>
          <t>Grainger</t>
        </is>
      </c>
      <c r="H548" s="54" t="inlineStr">
        <is>
          <t>6X794</t>
        </is>
      </c>
      <c r="I548" s="15" t="inlineStr">
        <is>
          <t>NO</t>
        </is>
      </c>
      <c r="J548" s="56" t="n">
        <v>171.6</v>
      </c>
      <c r="K548" s="57" t="n">
        <v>45420</v>
      </c>
      <c r="L548" s="19" t="n">
        <v>0.670886075949367</v>
      </c>
      <c r="M548" s="20" t="n">
        <v>100.7</v>
      </c>
      <c r="N548" s="21" t="n">
        <v>45414</v>
      </c>
      <c r="O548" s="22" t="inlineStr">
        <is>
          <t>, 12/28/2023, 87.3, 2/27/2024, 102.7, 5/2/2024, 100.7</t>
        </is>
      </c>
      <c r="P548" s="24" t="n"/>
    </row>
    <row r="549" ht="33" customHeight="1">
      <c r="A549" s="53" t="n">
        <v>170681</v>
      </c>
      <c r="B549" s="54" t="inlineStr">
        <is>
          <t>HE-D-MINI</t>
        </is>
      </c>
      <c r="C549" s="54" t="inlineStr">
        <is>
          <t>Festo</t>
        </is>
      </c>
      <c r="D549" s="54" t="inlineStr">
        <is>
          <t>Manual Lockout Valve</t>
        </is>
      </c>
      <c r="E549" s="15" t="n">
        <v>1</v>
      </c>
      <c r="F549" s="17" t="inlineStr">
        <is>
          <t>each</t>
        </is>
      </c>
      <c r="G549" s="54" t="inlineStr">
        <is>
          <t>Festo</t>
        </is>
      </c>
      <c r="H549" s="54" t="n">
        <v>170681</v>
      </c>
      <c r="I549" s="15" t="inlineStr">
        <is>
          <t>NO</t>
        </is>
      </c>
      <c r="J549" s="56" t="n">
        <v>65.06999999999999</v>
      </c>
      <c r="K549" s="57" t="n">
        <v>45449</v>
      </c>
      <c r="L549" s="19" t="n">
        <v>0</v>
      </c>
      <c r="M549" s="20" t="n">
        <v>65.06999999999999</v>
      </c>
      <c r="N549" s="21" t="n">
        <v>45348</v>
      </c>
      <c r="O549" s="22" t="inlineStr">
        <is>
          <t>, 12/29/2023, 65.07, 2/15/2024, 65.07, 5/2/2024, 65.07, 5/2/2024, 65.07</t>
        </is>
      </c>
      <c r="P549" s="24" t="n"/>
    </row>
    <row r="550" ht="33" customHeight="1">
      <c r="A550" s="53" t="n">
        <v>6841</v>
      </c>
      <c r="B550" s="54" t="inlineStr">
        <is>
          <t>U-1/8-B</t>
        </is>
      </c>
      <c r="C550" s="54" t="inlineStr">
        <is>
          <t>Festo</t>
        </is>
      </c>
      <c r="D550" s="54" t="inlineStr">
        <is>
          <t>G-1/8" Silencer</t>
        </is>
      </c>
      <c r="E550" s="15" t="n">
        <v>1</v>
      </c>
      <c r="F550" s="17" t="inlineStr">
        <is>
          <t>each</t>
        </is>
      </c>
      <c r="G550" s="54" t="inlineStr">
        <is>
          <t>Festo</t>
        </is>
      </c>
      <c r="H550" s="54" t="n">
        <v>6841</v>
      </c>
      <c r="I550" s="15" t="inlineStr">
        <is>
          <t>NO</t>
        </is>
      </c>
      <c r="J550" s="56" t="n">
        <v>13.62</v>
      </c>
      <c r="K550" s="57" t="n">
        <v>45456</v>
      </c>
      <c r="L550" s="19" t="n">
        <v>0</v>
      </c>
      <c r="M550" s="20" t="n">
        <v>13.62</v>
      </c>
      <c r="N550" s="21" t="n">
        <v>45289</v>
      </c>
      <c r="O550" s="22" t="inlineStr">
        <is>
          <t>, 12/29/2023, 13.62, 2/15/2024, 13.62, 2/26/2024, 13.62, 5/2/2024, 13.62</t>
        </is>
      </c>
      <c r="P550" s="24" t="n"/>
    </row>
    <row r="551" ht="33" customHeight="1">
      <c r="A551" s="53" t="inlineStr">
        <is>
          <t>S71121</t>
        </is>
      </c>
      <c r="B551" s="54" t="inlineStr">
        <is>
          <t>1249-311</t>
        </is>
      </c>
      <c r="C551" s="54" t="inlineStr">
        <is>
          <t>Advantage Conveyor, Inc.</t>
        </is>
      </c>
      <c r="D551" s="54" t="inlineStr">
        <is>
          <t>10" Dia. X .075" x 1 1/2" Square Bore x 3/4" Double Bevel Slitter Blade with RHC of 54 to 56
per Advantage Drawing 1667-311</t>
        </is>
      </c>
      <c r="E551" s="15" t="n">
        <v>1</v>
      </c>
      <c r="F551" s="17" t="inlineStr">
        <is>
          <t>each</t>
        </is>
      </c>
      <c r="G551" s="54" t="inlineStr">
        <is>
          <t>Hyde Industrial Blade Solutions</t>
        </is>
      </c>
      <c r="H551" s="54" t="inlineStr">
        <is>
          <t>N/A</t>
        </is>
      </c>
      <c r="I551" s="15" t="inlineStr">
        <is>
          <t>NO</t>
        </is>
      </c>
      <c r="J551" s="56" t="n">
        <v>88.34999999999999</v>
      </c>
      <c r="K551" s="57" t="n">
        <v>45306</v>
      </c>
      <c r="L551" s="19" t="n"/>
      <c r="M551" s="20" t="n"/>
      <c r="N551" s="21" t="n"/>
      <c r="O551" s="22" t="n"/>
      <c r="P551" s="24" t="n"/>
    </row>
    <row r="552" ht="33" customHeight="1">
      <c r="A552" s="53" t="inlineStr">
        <is>
          <t>4464K472</t>
        </is>
      </c>
      <c r="B552" s="54" t="inlineStr">
        <is>
          <t>4464K472</t>
        </is>
      </c>
      <c r="C552" s="54" t="inlineStr">
        <is>
          <t>McMaster-Carr</t>
        </is>
      </c>
      <c r="D552" s="54" t="inlineStr">
        <is>
          <t>TYPE 304 STAINLESS STEEL HALF COUPLING - 3/8 NPT PIPE SIZE, 18 THREADS PER INCH</t>
        </is>
      </c>
      <c r="E552" s="15" t="n"/>
      <c r="F552" s="17" t="inlineStr">
        <is>
          <t>Each</t>
        </is>
      </c>
      <c r="G552" s="54" t="inlineStr">
        <is>
          <t>McMaster-Carr</t>
        </is>
      </c>
      <c r="H552" s="54" t="inlineStr">
        <is>
          <t>4464K472</t>
        </is>
      </c>
      <c r="I552" s="15" t="inlineStr">
        <is>
          <t>NO</t>
        </is>
      </c>
      <c r="J552" s="56" t="n">
        <v>2.99</v>
      </c>
      <c r="K552" s="57" t="n">
        <v>45348</v>
      </c>
      <c r="L552" s="19" t="n">
        <v>0</v>
      </c>
      <c r="M552" s="20" t="n">
        <v>2.99</v>
      </c>
      <c r="N552" s="21" t="n">
        <v>45306</v>
      </c>
      <c r="O552" s="22" t="inlineStr">
        <is>
          <t>, 1/15/2024, 2.99, 2/15/2024, 2.99</t>
        </is>
      </c>
      <c r="P552" s="24" t="n"/>
    </row>
    <row r="553" ht="33" customHeight="1">
      <c r="A553" s="53" t="inlineStr">
        <is>
          <t>HBLDS3ACNK</t>
        </is>
      </c>
      <c r="B553" s="54" t="inlineStr">
        <is>
          <t>HBLDS3ACNK</t>
        </is>
      </c>
      <c r="C553" s="54" t="inlineStr">
        <is>
          <t>Hubbell</t>
        </is>
      </c>
      <c r="D553" s="54" t="inlineStr">
        <is>
          <t>208-240V AC, 4.5 AMPS, 3 PHASE, 1 HP, .75W, FRAME SIZE A, FLANGE MOUNTED (No Hole)</t>
        </is>
      </c>
      <c r="E553" s="15" t="n">
        <v>1</v>
      </c>
      <c r="F553" s="17" t="inlineStr">
        <is>
          <t>each</t>
        </is>
      </c>
      <c r="G553" s="54" t="inlineStr">
        <is>
          <t>Graybar</t>
        </is>
      </c>
      <c r="H553" s="54" t="inlineStr">
        <is>
          <t>HBLDS3ACNK</t>
        </is>
      </c>
      <c r="I553" s="15" t="inlineStr">
        <is>
          <t>NO</t>
        </is>
      </c>
      <c r="J553" s="56" t="n">
        <v>311.49</v>
      </c>
      <c r="K553" s="57" t="n">
        <v>45288</v>
      </c>
      <c r="L553" s="19" t="n"/>
      <c r="M553" s="20" t="n"/>
      <c r="N553" s="21" t="n"/>
      <c r="O553" s="22" t="n"/>
      <c r="P553" s="24" t="n"/>
    </row>
    <row r="554" ht="33" customHeight="1">
      <c r="A554" s="53" t="n">
        <v>173766</v>
      </c>
      <c r="B554" s="54" t="inlineStr">
        <is>
          <t>LFR-1/4-D-O-MINI-NPT</t>
        </is>
      </c>
      <c r="C554" s="54" t="inlineStr">
        <is>
          <t>Festo</t>
        </is>
      </c>
      <c r="D554" s="54" t="inlineStr">
        <is>
          <t>Filter / Regulator Combination - MINI - WITHOUT Gauge - femal thread 1/4 NPT; pressure regulation range - 0.5 - 12 bar; grade of filtration - 40 um</t>
        </is>
      </c>
      <c r="E554" s="15" t="n">
        <v>1</v>
      </c>
      <c r="F554" s="17" t="inlineStr">
        <is>
          <t>each</t>
        </is>
      </c>
      <c r="G554" s="54" t="inlineStr">
        <is>
          <t>Festo</t>
        </is>
      </c>
      <c r="H554" s="54" t="n">
        <v>173766</v>
      </c>
      <c r="I554" s="15" t="inlineStr">
        <is>
          <t>NO</t>
        </is>
      </c>
      <c r="J554" s="56" t="n">
        <v>75.92</v>
      </c>
      <c r="K554" s="57" t="n">
        <v>45414</v>
      </c>
      <c r="L554" s="19" t="n">
        <v>0</v>
      </c>
      <c r="M554" s="20" t="n">
        <v>75.92</v>
      </c>
      <c r="N554" s="21" t="n">
        <v>45289</v>
      </c>
      <c r="O554" s="22" t="inlineStr">
        <is>
          <t>, 12/29/2023, 75.92, 2/15/2024, 75.92, 2/26/2024, 75.92</t>
        </is>
      </c>
      <c r="P554" s="24" t="n"/>
    </row>
    <row r="555" ht="33" customHeight="1">
      <c r="A555" s="53" t="n">
        <v>151688</v>
      </c>
      <c r="B555" s="54" t="inlineStr">
        <is>
          <t>KMEB-1-24-2,5-LED</t>
        </is>
      </c>
      <c r="C555" s="54" t="inlineStr">
        <is>
          <t>Festo</t>
        </is>
      </c>
      <c r="D555" s="54" t="inlineStr">
        <is>
          <t>Solenoid Connector Cable, 24VDC, Plug socket, LED Indicator, Angled Connector, Cable length = 2.5 m</t>
        </is>
      </c>
      <c r="E555" s="15" t="n">
        <v>1</v>
      </c>
      <c r="F555" s="17" t="inlineStr">
        <is>
          <t>each</t>
        </is>
      </c>
      <c r="G555" s="54" t="inlineStr">
        <is>
          <t>Festo</t>
        </is>
      </c>
      <c r="H555" s="54" t="n">
        <v>151688</v>
      </c>
      <c r="I555" s="15" t="inlineStr">
        <is>
          <t>NO</t>
        </is>
      </c>
      <c r="J555" s="56" t="n">
        <v>24.84</v>
      </c>
      <c r="K555" s="57" t="n">
        <v>45456</v>
      </c>
      <c r="L555" s="19" t="n">
        <v>0</v>
      </c>
      <c r="M555" s="20" t="n">
        <v>24.84</v>
      </c>
      <c r="N555" s="21" t="n">
        <v>45348</v>
      </c>
      <c r="O555" s="22" t="inlineStr">
        <is>
          <t>, 1/15/2024, 24.84, 2/15/2024, 24.84, 5/2/2024, 24.84, 5/2/2024, 24.84, 6/6/2024, 24.84</t>
        </is>
      </c>
      <c r="P555" s="24" t="n"/>
    </row>
    <row r="556" ht="33" customHeight="1">
      <c r="A556" s="53" t="n">
        <v>193457</v>
      </c>
      <c r="B556" s="54" t="inlineStr">
        <is>
          <t>KMEB-1-24-10-LED</t>
        </is>
      </c>
      <c r="C556" s="54" t="inlineStr">
        <is>
          <t>Festo</t>
        </is>
      </c>
      <c r="D556" s="54" t="inlineStr">
        <is>
          <t>Solenoid Connector Cable, 24VDC, Plug socket, LED Indicator, Angled Connector, Cable length = 10 m</t>
        </is>
      </c>
      <c r="E556" s="15" t="n">
        <v>1</v>
      </c>
      <c r="F556" s="17" t="inlineStr">
        <is>
          <t>each</t>
        </is>
      </c>
      <c r="G556" s="54" t="inlineStr">
        <is>
          <t>Festo</t>
        </is>
      </c>
      <c r="H556" s="54" t="n">
        <v>193457</v>
      </c>
      <c r="I556" s="15" t="inlineStr">
        <is>
          <t>NO</t>
        </is>
      </c>
      <c r="J556" s="56" t="n">
        <v>36.57</v>
      </c>
      <c r="K556" s="57" t="n">
        <v>45348</v>
      </c>
      <c r="L556" s="19" t="n">
        <v>0</v>
      </c>
      <c r="M556" s="20" t="n">
        <v>36.57</v>
      </c>
      <c r="N556" s="21" t="n">
        <v>45209</v>
      </c>
      <c r="O556" s="22" t="inlineStr">
        <is>
          <t>, 10/10/2023, 36.57, 2/15/2024, 36.57</t>
        </is>
      </c>
      <c r="P556" s="24" t="n"/>
    </row>
    <row r="557" ht="33" customHeight="1">
      <c r="A557" s="53" t="n">
        <v>151689</v>
      </c>
      <c r="B557" s="54" t="inlineStr">
        <is>
          <t>KMEB-1-24-5-LED</t>
        </is>
      </c>
      <c r="C557" s="54" t="inlineStr">
        <is>
          <t>Festo</t>
        </is>
      </c>
      <c r="D557" s="54" t="inlineStr">
        <is>
          <t>Solenoid Connector Cable for C1 Coils, 24VDC, Plug socket, LED Indicator, Angled Connector, Cable length = 5 m</t>
        </is>
      </c>
      <c r="E557" s="15" t="n">
        <v>1</v>
      </c>
      <c r="F557" s="17" t="inlineStr">
        <is>
          <t>each</t>
        </is>
      </c>
      <c r="G557" s="54" t="inlineStr">
        <is>
          <t>Festo</t>
        </is>
      </c>
      <c r="H557" s="54" t="n">
        <v>151689</v>
      </c>
      <c r="I557" s="15" t="inlineStr">
        <is>
          <t>NO</t>
        </is>
      </c>
      <c r="J557" s="56" t="n">
        <v>28.74</v>
      </c>
      <c r="K557" s="57" t="n">
        <v>45414</v>
      </c>
      <c r="L557" s="19" t="n">
        <v>0</v>
      </c>
      <c r="M557" s="20" t="n">
        <v>28.74</v>
      </c>
      <c r="N557" s="21" t="n">
        <v>45289</v>
      </c>
      <c r="O557" s="22" t="inlineStr">
        <is>
          <t>, 12/29/2023, 28.74, 2/15/2024, 28.74, 2/26/2024, 28.74</t>
        </is>
      </c>
      <c r="P557" s="24" t="n"/>
    </row>
    <row r="558" ht="33" customHeight="1">
      <c r="A558" s="53" t="inlineStr">
        <is>
          <t>4464K473</t>
        </is>
      </c>
      <c r="B558" s="54" t="inlineStr">
        <is>
          <t>4464K473</t>
        </is>
      </c>
      <c r="C558" s="54" t="inlineStr">
        <is>
          <t>McMaster-Carr</t>
        </is>
      </c>
      <c r="D558" s="54" t="inlineStr">
        <is>
          <t>Type 304 Stainless STL Threaded Pipe Fitting 1/2 Pipe Size, Half Coupling, 150 PSI</t>
        </is>
      </c>
      <c r="E558" s="15" t="n"/>
      <c r="F558" s="17" t="inlineStr">
        <is>
          <t>Each</t>
        </is>
      </c>
      <c r="G558" s="54" t="inlineStr">
        <is>
          <t>McMaster-Carr</t>
        </is>
      </c>
      <c r="H558" s="54" t="inlineStr">
        <is>
          <t>4464K473</t>
        </is>
      </c>
      <c r="I558" s="15" t="inlineStr">
        <is>
          <t>NO</t>
        </is>
      </c>
      <c r="J558" s="56" t="n">
        <v>4.74</v>
      </c>
      <c r="K558" s="57" t="n">
        <v>45348</v>
      </c>
      <c r="L558" s="19" t="n">
        <v>0</v>
      </c>
      <c r="M558" s="20" t="n">
        <v>4.74</v>
      </c>
      <c r="N558" s="21" t="n">
        <v>45306</v>
      </c>
      <c r="O558" s="22" t="inlineStr">
        <is>
          <t>, 1/15/2024, 4.74, 2/15/2024, 4.74</t>
        </is>
      </c>
      <c r="P558" s="24" t="n"/>
    </row>
    <row r="559" ht="33" customHeight="1">
      <c r="A559" s="53" t="n">
        <v>159638</v>
      </c>
      <c r="B559" s="54" t="inlineStr">
        <is>
          <t>HFOE-D-MINI</t>
        </is>
      </c>
      <c r="C559" s="54" t="inlineStr">
        <is>
          <t>Festo</t>
        </is>
      </c>
      <c r="D559" s="54" t="inlineStr">
        <is>
          <t>Mounting Bracket for MINI Compressed Air Preperation Assembly</t>
        </is>
      </c>
      <c r="E559" s="15" t="n">
        <v>1</v>
      </c>
      <c r="F559" s="17" t="inlineStr">
        <is>
          <t>each</t>
        </is>
      </c>
      <c r="G559" s="54" t="inlineStr">
        <is>
          <t>Festo</t>
        </is>
      </c>
      <c r="H559" s="54" t="n">
        <v>159638</v>
      </c>
      <c r="I559" s="15" t="inlineStr">
        <is>
          <t>NO</t>
        </is>
      </c>
      <c r="J559" s="56" t="n">
        <v>6.54</v>
      </c>
      <c r="K559" s="57" t="n">
        <v>45456</v>
      </c>
      <c r="L559" s="19" t="n">
        <v>0</v>
      </c>
      <c r="M559" s="20" t="n">
        <v>6.54</v>
      </c>
      <c r="N559" s="21" t="n">
        <v>45306</v>
      </c>
      <c r="O559" s="22" t="inlineStr">
        <is>
          <t>, 1/15/2024, 6.54, 2/15/2024, 6.54, 2/26/2024, 6.54, 5/2/2024, 6.54, 6/6/2024, 6.54</t>
        </is>
      </c>
      <c r="P559" s="24" t="n"/>
    </row>
    <row r="560" ht="33" customHeight="1">
      <c r="A560" s="61" t="n">
        <v>525726</v>
      </c>
      <c r="B560" s="62" t="inlineStr">
        <is>
          <t>MA-40-16-R1/8-E-RG</t>
        </is>
      </c>
      <c r="C560" s="54" t="inlineStr">
        <is>
          <t>Festo</t>
        </is>
      </c>
      <c r="D560" s="54" t="inlineStr">
        <is>
          <t>Pressure Guage with Adjustable Green and Red Range (Go / No-Go)
Works with MINI Regulators.  Use 183585 to adapt to MIDI</t>
        </is>
      </c>
      <c r="E560" s="15" t="n">
        <v>1</v>
      </c>
      <c r="F560" s="17" t="inlineStr">
        <is>
          <t>each</t>
        </is>
      </c>
      <c r="G560" s="54" t="inlineStr">
        <is>
          <t>Festo</t>
        </is>
      </c>
      <c r="H560" s="62" t="n">
        <v>525726</v>
      </c>
      <c r="I560" s="15" t="inlineStr">
        <is>
          <t>NO</t>
        </is>
      </c>
      <c r="J560" s="56" t="n">
        <v>22.92</v>
      </c>
      <c r="K560" s="57" t="n">
        <v>45449</v>
      </c>
      <c r="L560" s="19" t="n">
        <v>0</v>
      </c>
      <c r="M560" s="20" t="n">
        <v>22.92</v>
      </c>
      <c r="N560" s="21" t="n">
        <v>45306</v>
      </c>
      <c r="O560" s="22" t="inlineStr">
        <is>
          <t>, 1/15/2024, 22.92, 2/15/2024, 22.92, 2/26/2024, 22.92, 5/1/2024, 22.92, 5/2/2024, 22.92</t>
        </is>
      </c>
      <c r="P560" s="24" t="n"/>
    </row>
    <row r="561" ht="33" customHeight="1">
      <c r="A561" s="53" t="inlineStr">
        <is>
          <t>6436K38</t>
        </is>
      </c>
      <c r="B561" s="54" t="inlineStr">
        <is>
          <t>6436K38</t>
        </is>
      </c>
      <c r="C561" s="54" t="inlineStr">
        <is>
          <t>McMaster-Carr</t>
        </is>
      </c>
      <c r="D561" s="54" t="inlineStr">
        <is>
          <t>Two-Piece Clamp-on Shaft Collar for 1" Diameter, Type 303 Stainless Steel</t>
        </is>
      </c>
      <c r="E561" s="15" t="n">
        <v>1</v>
      </c>
      <c r="F561" s="17" t="inlineStr">
        <is>
          <t>each</t>
        </is>
      </c>
      <c r="G561" s="54" t="inlineStr">
        <is>
          <t>McMaster-Carr</t>
        </is>
      </c>
      <c r="H561" s="54" t="inlineStr">
        <is>
          <t>6436K38</t>
        </is>
      </c>
      <c r="I561" s="15" t="inlineStr">
        <is>
          <t>NO</t>
        </is>
      </c>
      <c r="J561" s="56" t="n">
        <v>23.44</v>
      </c>
      <c r="K561" s="57" t="n">
        <v>45349</v>
      </c>
      <c r="L561" s="19" t="n">
        <v>0</v>
      </c>
      <c r="M561" s="20" t="n">
        <v>23.44</v>
      </c>
      <c r="N561" s="21" t="n">
        <v>45289</v>
      </c>
      <c r="O561" s="22" t="inlineStr">
        <is>
          <t>, 12/29/2023, 23.44, 2/15/2024, 23.44</t>
        </is>
      </c>
      <c r="P561" s="24" t="n"/>
    </row>
    <row r="562" ht="33" customHeight="1">
      <c r="A562" s="53" t="inlineStr">
        <is>
          <t>3329K15</t>
        </is>
      </c>
      <c r="B562" s="54" t="inlineStr">
        <is>
          <t>3329K15</t>
        </is>
      </c>
      <c r="C562" s="54" t="inlineStr">
        <is>
          <t>McMaster-Carr</t>
        </is>
      </c>
      <c r="D562" s="54" t="inlineStr">
        <is>
          <t>Two-Piece Clamp-on Shaft Collar with Keyway for 1" Diameter, Type 303 Stainless Steel</t>
        </is>
      </c>
      <c r="E562" s="15" t="n">
        <v>1</v>
      </c>
      <c r="F562" s="17" t="inlineStr">
        <is>
          <t>each</t>
        </is>
      </c>
      <c r="G562" s="54" t="inlineStr">
        <is>
          <t>McMaster-Carr</t>
        </is>
      </c>
      <c r="H562" s="54" t="inlineStr">
        <is>
          <t>3329K15</t>
        </is>
      </c>
      <c r="I562" s="15" t="inlineStr">
        <is>
          <t>NO</t>
        </is>
      </c>
      <c r="J562" s="56" t="n">
        <v>52.33</v>
      </c>
      <c r="K562" s="57" t="n">
        <v>45413</v>
      </c>
      <c r="L562" s="19" t="n">
        <v>0</v>
      </c>
      <c r="M562" s="20" t="n">
        <v>52.33</v>
      </c>
      <c r="N562" s="21" t="n">
        <v>45348</v>
      </c>
      <c r="O562" s="22" t="inlineStr">
        <is>
          <t>, 1/15/2024, 52.33, 2/15/2024, 52.33, 5/1/2024, 52.33</t>
        </is>
      </c>
      <c r="P562" s="24" t="n"/>
    </row>
    <row r="563" ht="33" customHeight="1">
      <c r="A563" s="53" t="inlineStr">
        <is>
          <t>13RS098552</t>
        </is>
      </c>
      <c r="B563" s="54" t="inlineStr">
        <is>
          <t>13RS098552</t>
        </is>
      </c>
      <c r="C563" s="54" t="inlineStr">
        <is>
          <t>Microplastics</t>
        </is>
      </c>
      <c r="D563" s="54" t="inlineStr">
        <is>
          <t>Microplastics Nylon Spacer x 1" Dia. x 1.000" Lg. with .328 Thru Hole (Bag of 500)</t>
        </is>
      </c>
      <c r="E563" s="15" t="n">
        <v>500</v>
      </c>
      <c r="F563" s="17" t="inlineStr">
        <is>
          <t>pcs</t>
        </is>
      </c>
      <c r="G563" s="54" t="inlineStr">
        <is>
          <t>Microplastics</t>
        </is>
      </c>
      <c r="H563" s="54" t="inlineStr">
        <is>
          <t>13RS098552</t>
        </is>
      </c>
      <c r="I563" s="15" t="inlineStr">
        <is>
          <t>NO</t>
        </is>
      </c>
      <c r="J563" s="56" t="n">
        <v>337.7</v>
      </c>
      <c r="K563" s="57" t="n">
        <v>45209</v>
      </c>
      <c r="L563" s="19" t="n"/>
      <c r="M563" s="20" t="n"/>
      <c r="N563" s="21" t="n"/>
      <c r="O563" s="22" t="n"/>
      <c r="P563" s="24" t="n"/>
    </row>
    <row r="564" ht="33" customHeight="1">
      <c r="A564" s="53" t="inlineStr">
        <is>
          <t>CSS-5/8TWOPC</t>
        </is>
      </c>
      <c r="B564" s="54" t="inlineStr">
        <is>
          <t>CSS5/8TWOPC</t>
        </is>
      </c>
      <c r="C564" s="54" t="inlineStr">
        <is>
          <t>POBCO, Inc.</t>
        </is>
      </c>
      <c r="D564" s="54" t="inlineStr">
        <is>
          <t>Heavy Duty Rail Clip, Stainless Steel, 5/16-18 x 5/8" Long Stud - 1EA</t>
        </is>
      </c>
      <c r="E564" s="15" t="n">
        <v>1</v>
      </c>
      <c r="F564" s="17" t="inlineStr">
        <is>
          <t>each</t>
        </is>
      </c>
      <c r="G564" s="54" t="inlineStr">
        <is>
          <t>POBCO, Inc.</t>
        </is>
      </c>
      <c r="H564" s="54" t="inlineStr">
        <is>
          <t>CSS5/8TWOPC</t>
        </is>
      </c>
      <c r="I564" s="15" t="inlineStr">
        <is>
          <t>NO</t>
        </is>
      </c>
      <c r="J564" s="56" t="n">
        <v>3.2</v>
      </c>
      <c r="K564" s="57" t="n">
        <v>45293</v>
      </c>
      <c r="L564" s="19" t="n"/>
      <c r="M564" s="20" t="n"/>
      <c r="N564" s="21" t="n"/>
      <c r="O564" s="22" t="n"/>
      <c r="P564" s="24" t="n"/>
    </row>
    <row r="565" ht="33" customHeight="1">
      <c r="A565" s="53" t="inlineStr">
        <is>
          <t>GRA2.25TTOP</t>
        </is>
      </c>
      <c r="B565" s="54" t="inlineStr">
        <is>
          <t>GRA2.25TTOP</t>
        </is>
      </c>
      <c r="C565" s="54" t="inlineStr">
        <is>
          <t>POBCO, Inc.</t>
        </is>
      </c>
      <c r="D565" s="54" t="inlineStr">
        <is>
          <t>Guide Rail, Stainless Steel, Tee, 2.25", 10 ft. - 1EA</t>
        </is>
      </c>
      <c r="E565" s="15" t="n">
        <v>1</v>
      </c>
      <c r="F565" s="17" t="inlineStr">
        <is>
          <t>each</t>
        </is>
      </c>
      <c r="G565" s="54" t="inlineStr">
        <is>
          <t>POBCO, Inc.</t>
        </is>
      </c>
      <c r="H565" s="54" t="inlineStr">
        <is>
          <t>GRA2.25TTOP</t>
        </is>
      </c>
      <c r="I565" s="15" t="inlineStr">
        <is>
          <t>NO</t>
        </is>
      </c>
      <c r="J565" s="56" t="n">
        <v>97.5</v>
      </c>
      <c r="K565" s="57" t="n">
        <v>45293</v>
      </c>
      <c r="L565" s="19" t="n"/>
      <c r="M565" s="20" t="n"/>
      <c r="N565" s="21" t="n"/>
      <c r="O565" s="22" t="n"/>
      <c r="P565" s="24" t="n"/>
    </row>
    <row r="566" ht="33" customHeight="1">
      <c r="A566" s="53" t="inlineStr">
        <is>
          <t>206CLOSEDCAP</t>
        </is>
      </c>
      <c r="B566" s="54" t="inlineStr">
        <is>
          <t>206CLOSEDCAP</t>
        </is>
      </c>
      <c r="C566" s="54" t="inlineStr">
        <is>
          <t>IPTCI</t>
        </is>
      </c>
      <c r="D566" s="54" t="inlineStr">
        <is>
          <t>Closed Cap for 1-1/4" 206 Thermoplastic Bearings</t>
        </is>
      </c>
      <c r="E566" s="15" t="n">
        <v>1</v>
      </c>
      <c r="F566" s="17" t="inlineStr">
        <is>
          <t>each</t>
        </is>
      </c>
      <c r="G566" s="54" t="inlineStr">
        <is>
          <t>IPTCI</t>
        </is>
      </c>
      <c r="H566" s="54" t="n"/>
      <c r="I566" s="15" t="inlineStr">
        <is>
          <t>NO</t>
        </is>
      </c>
      <c r="J566" s="56" t="n">
        <v>1.99</v>
      </c>
      <c r="K566" s="57" t="n">
        <v>45446</v>
      </c>
      <c r="L566" s="19" t="n"/>
      <c r="M566" s="20" t="n"/>
      <c r="N566" s="21" t="n"/>
      <c r="O566" s="22" t="n"/>
      <c r="P566" s="24" t="n"/>
    </row>
    <row r="567" ht="33" customHeight="1">
      <c r="A567" s="53" t="inlineStr">
        <is>
          <t>TELESCOPER</t>
        </is>
      </c>
      <c r="B567" s="54" t="inlineStr">
        <is>
          <t>TELESCOPER</t>
        </is>
      </c>
      <c r="C567" s="54" t="inlineStr">
        <is>
          <t>Advantage Conveyor</t>
        </is>
      </c>
      <c r="D567" s="54" t="inlineStr">
        <is>
          <t>Telescoper Chain Tensioner, T304 SS, 9" Stroke, 1-1/2" Sq. Outside, 1-1/4" Sq. Inside, 1/4' Plate Bearing Mount, 1" Tapped Standoff Mounting, 5/8-11 Adjusting Screw</t>
        </is>
      </c>
      <c r="E567" s="15" t="n">
        <v>1</v>
      </c>
      <c r="F567" s="17" t="inlineStr">
        <is>
          <t>each</t>
        </is>
      </c>
      <c r="G567" s="54" t="inlineStr">
        <is>
          <t>Advantage Conveyor</t>
        </is>
      </c>
      <c r="H567" s="54" t="inlineStr">
        <is>
          <t>TELESCOPER</t>
        </is>
      </c>
      <c r="I567" s="15" t="inlineStr">
        <is>
          <t>NO</t>
        </is>
      </c>
      <c r="J567" s="56" t="n">
        <v>200</v>
      </c>
      <c r="K567" s="57" t="n">
        <v>45414</v>
      </c>
      <c r="L567" s="19" t="n">
        <v>0.111111111111111</v>
      </c>
      <c r="M567" s="20" t="n">
        <v>180</v>
      </c>
      <c r="N567" s="21" t="n">
        <v>45209</v>
      </c>
      <c r="O567" s="22" t="inlineStr">
        <is>
          <t>, 5/2/2024, 200</t>
        </is>
      </c>
      <c r="P567" s="24" t="n"/>
    </row>
    <row r="568" ht="33" customHeight="1">
      <c r="A568" s="53" t="inlineStr">
        <is>
          <t>SSCASTERRIGID</t>
        </is>
      </c>
      <c r="B568" s="54" t="inlineStr">
        <is>
          <t>SSR4200/5-4-339SS</t>
        </is>
      </c>
      <c r="C568" s="54" t="inlineStr">
        <is>
          <t>Allied Caster</t>
        </is>
      </c>
      <c r="D568" s="54" t="inlineStr">
        <is>
          <t>Allied Caster - Rigid Caster - Non-Locking - Phenolic - Stainless Steel Caster - 4" Dia Wheel - 2" Wide Tread</t>
        </is>
      </c>
      <c r="E568" s="15" t="n">
        <v>1</v>
      </c>
      <c r="F568" s="17" t="inlineStr">
        <is>
          <t>each</t>
        </is>
      </c>
      <c r="G568" s="54" t="inlineStr">
        <is>
          <t>Allied Caster</t>
        </is>
      </c>
      <c r="H568" s="54" t="inlineStr">
        <is>
          <t>SSR4200/5-4-339SS</t>
        </is>
      </c>
      <c r="I568" s="15" t="inlineStr">
        <is>
          <t>NO</t>
        </is>
      </c>
      <c r="J568" s="56" t="n">
        <v>52.11</v>
      </c>
      <c r="K568" s="57" t="n">
        <v>45293</v>
      </c>
      <c r="L568" s="19" t="n"/>
      <c r="M568" s="20" t="n"/>
      <c r="N568" s="21" t="n"/>
      <c r="O568" s="22" t="n"/>
      <c r="P568" s="24" t="n"/>
    </row>
    <row r="569" ht="33" customHeight="1">
      <c r="A569" s="53" t="inlineStr">
        <is>
          <t>ACI-MM-SPCR-0750</t>
        </is>
      </c>
      <c r="B569" s="54" t="inlineStr">
        <is>
          <t>ACI-MM-SPCR-0750</t>
        </is>
      </c>
      <c r="C569" s="54" t="inlineStr">
        <is>
          <t>JMC Machine</t>
        </is>
      </c>
      <c r="D569" s="54" t="inlineStr">
        <is>
          <t>3/4" Dia. X 3/4" Long T303 SS Motor Mount Spacer w/ M8 Thru Hole</t>
        </is>
      </c>
      <c r="E569" s="15" t="n">
        <v>1</v>
      </c>
      <c r="F569" s="17" t="inlineStr">
        <is>
          <t>each</t>
        </is>
      </c>
      <c r="G569" s="54" t="inlineStr">
        <is>
          <t>Advantage Conveyor</t>
        </is>
      </c>
      <c r="H569" s="54" t="inlineStr">
        <is>
          <t>ACI-MM-SPCR-0750</t>
        </is>
      </c>
      <c r="I569" s="15" t="inlineStr">
        <is>
          <t>NO</t>
        </is>
      </c>
      <c r="J569" s="56" t="n">
        <v>7</v>
      </c>
      <c r="K569" s="57" t="n">
        <v>45446</v>
      </c>
      <c r="L569" s="19" t="n">
        <v>0</v>
      </c>
      <c r="M569" s="31" t="n">
        <v>7</v>
      </c>
      <c r="N569" s="21" t="n">
        <v>45306</v>
      </c>
      <c r="O569" s="22" t="inlineStr">
        <is>
          <t>, 6/3/2024, 7</t>
        </is>
      </c>
      <c r="P569" s="24" t="n"/>
    </row>
    <row r="570" ht="33" customHeight="1">
      <c r="A570" s="53" t="inlineStr">
        <is>
          <t>ACI-MM-SPCR-1000</t>
        </is>
      </c>
      <c r="B570" s="54" t="inlineStr">
        <is>
          <t>ACI-MM-SPCR-1000</t>
        </is>
      </c>
      <c r="C570" s="54" t="inlineStr">
        <is>
          <t>JMC Machine</t>
        </is>
      </c>
      <c r="D570" s="54" t="inlineStr">
        <is>
          <t>3/4" Dia. X 1" Long T303 SS Motor Mount Spacer w/ M8 Thru Hole</t>
        </is>
      </c>
      <c r="E570" s="15" t="n">
        <v>1</v>
      </c>
      <c r="F570" s="17" t="inlineStr">
        <is>
          <t>each</t>
        </is>
      </c>
      <c r="G570" s="54" t="inlineStr">
        <is>
          <t>Advantage Conveyor</t>
        </is>
      </c>
      <c r="H570" s="54" t="inlineStr">
        <is>
          <t>ACI-MM-SPCR-1000</t>
        </is>
      </c>
      <c r="I570" s="15" t="inlineStr">
        <is>
          <t>NO</t>
        </is>
      </c>
      <c r="J570" s="56" t="n">
        <v>8</v>
      </c>
      <c r="K570" s="57" t="n">
        <v>45446</v>
      </c>
      <c r="L570" s="19" t="n">
        <v>0</v>
      </c>
      <c r="M570" s="31" t="n">
        <v>8</v>
      </c>
      <c r="N570" s="21" t="n">
        <v>45306</v>
      </c>
      <c r="O570" s="22" t="inlineStr">
        <is>
          <t>, 6/3/2024, 8</t>
        </is>
      </c>
      <c r="P570" s="24" t="n"/>
    </row>
    <row r="571" ht="33" customHeight="1">
      <c r="A571" s="53" t="inlineStr">
        <is>
          <t>6462K25</t>
        </is>
      </c>
      <c r="B571" s="54" t="inlineStr">
        <is>
          <t>6462K25</t>
        </is>
      </c>
      <c r="C571" s="54" t="inlineStr">
        <is>
          <t>McMaster-Carr</t>
        </is>
      </c>
      <c r="D571" s="54" t="inlineStr">
        <is>
          <t>Set Screw Shaft Collar, for 1" Diameter, Type 303 Stainless Steel</t>
        </is>
      </c>
      <c r="E571" s="15" t="n">
        <v>1</v>
      </c>
      <c r="F571" s="17" t="inlineStr">
        <is>
          <t>each</t>
        </is>
      </c>
      <c r="G571" s="54" t="inlineStr">
        <is>
          <t>McMaster-Carr</t>
        </is>
      </c>
      <c r="H571" s="54" t="inlineStr">
        <is>
          <t>6462K25</t>
        </is>
      </c>
      <c r="I571" s="15" t="inlineStr">
        <is>
          <t>NO</t>
        </is>
      </c>
      <c r="J571" s="56" t="n">
        <v>19.54</v>
      </c>
      <c r="K571" s="57" t="n">
        <v>45348</v>
      </c>
      <c r="L571" s="19" t="n">
        <v>0</v>
      </c>
      <c r="M571" s="20" t="n">
        <v>19.54</v>
      </c>
      <c r="N571" s="21" t="n">
        <v>45289</v>
      </c>
      <c r="O571" s="22" t="inlineStr">
        <is>
          <t>, 12/29/2023, 19.54, 2/15/2024, 19.54</t>
        </is>
      </c>
      <c r="P571" s="24" t="n"/>
    </row>
    <row r="572" ht="33" customHeight="1">
      <c r="A572" s="53" t="inlineStr">
        <is>
          <t>6462K21</t>
        </is>
      </c>
      <c r="B572" s="54" t="inlineStr">
        <is>
          <t>6462K21</t>
        </is>
      </c>
      <c r="C572" s="54" t="inlineStr">
        <is>
          <t>McMaster-Carr</t>
        </is>
      </c>
      <c r="D572" s="54" t="inlineStr">
        <is>
          <t>Set Screw Shaft Collar, for 3/4" Diameter, Type 303 Stainless Steel</t>
        </is>
      </c>
      <c r="E572" s="15" t="n">
        <v>1</v>
      </c>
      <c r="F572" s="17" t="inlineStr">
        <is>
          <t>each</t>
        </is>
      </c>
      <c r="G572" s="54" t="inlineStr">
        <is>
          <t>McMaster-Carr</t>
        </is>
      </c>
      <c r="H572" s="54" t="inlineStr">
        <is>
          <t>6462K21</t>
        </is>
      </c>
      <c r="I572" s="15" t="inlineStr">
        <is>
          <t>NO</t>
        </is>
      </c>
      <c r="J572" s="56" t="n">
        <v>10.94</v>
      </c>
      <c r="K572" s="57" t="n">
        <v>45348</v>
      </c>
      <c r="L572" s="19" t="n">
        <v>0</v>
      </c>
      <c r="M572" s="20" t="n">
        <v>10.94</v>
      </c>
      <c r="N572" s="21" t="n">
        <v>45337</v>
      </c>
      <c r="O572" s="22" t="inlineStr">
        <is>
          <t>, 10/10/2023, 10.46, 2/15/2024, 10.94</t>
        </is>
      </c>
      <c r="P572" s="24" t="n"/>
    </row>
    <row r="573" ht="33" customHeight="1">
      <c r="A573" s="53" t="inlineStr">
        <is>
          <t>6462K29</t>
        </is>
      </c>
      <c r="B573" s="54" t="inlineStr">
        <is>
          <t>6462K29</t>
        </is>
      </c>
      <c r="C573" s="54" t="inlineStr">
        <is>
          <t>McMaster-Carr</t>
        </is>
      </c>
      <c r="D573" s="54" t="inlineStr">
        <is>
          <t>Set Screw Shaft Collar, for 1-1/4" Diameter, Type 303 Stainless Steel</t>
        </is>
      </c>
      <c r="E573" s="15" t="n">
        <v>1</v>
      </c>
      <c r="F573" s="17" t="inlineStr">
        <is>
          <t>each</t>
        </is>
      </c>
      <c r="G573" s="54" t="inlineStr">
        <is>
          <t>McMaster-Carr</t>
        </is>
      </c>
      <c r="H573" s="54" t="inlineStr">
        <is>
          <t>6462K29</t>
        </is>
      </c>
      <c r="I573" s="15" t="inlineStr">
        <is>
          <t>NO</t>
        </is>
      </c>
      <c r="J573" s="56" t="n">
        <v>30.09</v>
      </c>
      <c r="K573" s="57" t="n">
        <v>45463</v>
      </c>
      <c r="L573" s="19" t="n">
        <v>0</v>
      </c>
      <c r="M573" s="31" t="n">
        <v>30.09</v>
      </c>
      <c r="N573" s="21" t="n">
        <v>45413</v>
      </c>
      <c r="O573" s="22" t="inlineStr">
        <is>
          <t>, 12/29/2023, 30.09, 2/15/2024, 30.09, 2/27/2024, 30.09, 6/20/2024, 30.09</t>
        </is>
      </c>
      <c r="P573" s="24" t="n"/>
    </row>
    <row r="574" ht="33" customHeight="1">
      <c r="A574" s="53" t="inlineStr">
        <is>
          <t>KA08</t>
        </is>
      </c>
      <c r="B574" s="54" t="inlineStr">
        <is>
          <t>KA08</t>
        </is>
      </c>
      <c r="C574" s="54" t="inlineStr">
        <is>
          <t>POBCO, Inc.</t>
        </is>
      </c>
      <c r="D574" s="54" t="inlineStr">
        <is>
          <t xml:space="preserve">Transition Cap Assembly, Polyamide, 1/2" Rod Alt Part is VG-203TC-12 </t>
        </is>
      </c>
      <c r="E574" s="15" t="n">
        <v>1</v>
      </c>
      <c r="F574" s="17" t="inlineStr">
        <is>
          <t>each</t>
        </is>
      </c>
      <c r="G574" s="54" t="inlineStr">
        <is>
          <t>POBCO, Inc.</t>
        </is>
      </c>
      <c r="H574" s="54" t="inlineStr">
        <is>
          <t>KA08</t>
        </is>
      </c>
      <c r="I574" s="15" t="inlineStr">
        <is>
          <t>NO</t>
        </is>
      </c>
      <c r="J574" s="56" t="n">
        <v>12.95</v>
      </c>
      <c r="K574" s="57" t="n">
        <v>45225</v>
      </c>
      <c r="L574" s="19" t="n"/>
      <c r="M574" s="20" t="n"/>
      <c r="N574" s="21" t="n"/>
      <c r="O574" s="22" t="n"/>
      <c r="P574" s="24" t="n"/>
    </row>
    <row r="575" ht="33" customHeight="1">
      <c r="A575" s="53" t="inlineStr">
        <is>
          <t>N18ANA</t>
        </is>
      </c>
      <c r="B575" s="54" t="inlineStr">
        <is>
          <t>N18ANA</t>
        </is>
      </c>
      <c r="C575" s="54" t="inlineStr">
        <is>
          <t>Advanced Technology Products</t>
        </is>
      </c>
      <c r="D575" s="54" t="inlineStr">
        <is>
          <t>1/8 inch O.D. 100 ft Nylon 12 tubing - Natural</t>
        </is>
      </c>
      <c r="E575" s="15" t="n">
        <v>100</v>
      </c>
      <c r="F575" s="17" t="inlineStr">
        <is>
          <t>ft</t>
        </is>
      </c>
      <c r="G575" s="54" t="inlineStr">
        <is>
          <t>Advanced Technology Products</t>
        </is>
      </c>
      <c r="H575" s="54" t="inlineStr">
        <is>
          <t>N18ANA</t>
        </is>
      </c>
      <c r="I575" s="15" t="inlineStr">
        <is>
          <t>NO</t>
        </is>
      </c>
      <c r="J575" s="56" t="n">
        <v>21.04</v>
      </c>
      <c r="K575" s="57" t="n">
        <v>45209</v>
      </c>
      <c r="L575" s="19" t="n"/>
      <c r="M575" s="20" t="n"/>
      <c r="N575" s="21" t="n"/>
      <c r="O575" s="22" t="n"/>
      <c r="P575" s="24" t="n"/>
    </row>
    <row r="576" ht="33" customHeight="1">
      <c r="A576" s="53" t="inlineStr">
        <is>
          <t>N14ANA</t>
        </is>
      </c>
      <c r="B576" s="54" t="inlineStr">
        <is>
          <t>N14ANA</t>
        </is>
      </c>
      <c r="C576" s="54" t="inlineStr">
        <is>
          <t>Advanced Technology Products</t>
        </is>
      </c>
      <c r="D576" s="54" t="inlineStr">
        <is>
          <t>1/4 inch O.D. 100 ft Nylon 12 tubing -  Natural</t>
        </is>
      </c>
      <c r="E576" s="15" t="n">
        <v>100</v>
      </c>
      <c r="F576" s="17" t="inlineStr">
        <is>
          <t>ft</t>
        </is>
      </c>
      <c r="G576" s="54" t="inlineStr">
        <is>
          <t>Advanced Technology Products</t>
        </is>
      </c>
      <c r="H576" s="54" t="inlineStr">
        <is>
          <t>N14ANA</t>
        </is>
      </c>
      <c r="I576" s="15" t="inlineStr">
        <is>
          <t>NO</t>
        </is>
      </c>
      <c r="J576" s="56" t="n">
        <v>46.66</v>
      </c>
      <c r="K576" s="57" t="n">
        <v>45289</v>
      </c>
      <c r="L576" s="19" t="n"/>
      <c r="M576" s="20" t="n"/>
      <c r="N576" s="21" t="n"/>
      <c r="O576" s="22" t="n"/>
      <c r="P576" s="24" t="n"/>
    </row>
    <row r="577" ht="33" customHeight="1">
      <c r="A577" s="53" t="inlineStr">
        <is>
          <t>N14ANB</t>
        </is>
      </c>
      <c r="B577" s="54" t="inlineStr">
        <is>
          <t>N14ANB</t>
        </is>
      </c>
      <c r="C577" s="54" t="inlineStr">
        <is>
          <t>Advanced Technology Products</t>
        </is>
      </c>
      <c r="D577" s="54" t="inlineStr">
        <is>
          <t>1/4 inch O.D. 100 ft Nylon 12 tubing -  Blue</t>
        </is>
      </c>
      <c r="E577" s="15" t="n">
        <v>100</v>
      </c>
      <c r="F577" s="17" t="inlineStr">
        <is>
          <t>ft</t>
        </is>
      </c>
      <c r="G577" s="54" t="inlineStr">
        <is>
          <t>Advanced Technology Products</t>
        </is>
      </c>
      <c r="H577" s="54" t="inlineStr">
        <is>
          <t>N14ANB</t>
        </is>
      </c>
      <c r="I577" s="15" t="inlineStr">
        <is>
          <t>NO</t>
        </is>
      </c>
      <c r="J577" s="56" t="n">
        <v>46.66</v>
      </c>
      <c r="K577" s="57" t="n">
        <v>45209</v>
      </c>
      <c r="L577" s="19" t="n"/>
      <c r="M577" s="20" t="n"/>
      <c r="N577" s="21" t="n"/>
      <c r="O577" s="22" t="n"/>
      <c r="P577" s="24" t="n"/>
    </row>
    <row r="578" ht="33" customHeight="1">
      <c r="A578" s="53" t="inlineStr">
        <is>
          <t>N14AR</t>
        </is>
      </c>
      <c r="B578" s="54" t="inlineStr">
        <is>
          <t>N14AR</t>
        </is>
      </c>
      <c r="C578" s="54" t="inlineStr">
        <is>
          <t>Advanced Technology Products</t>
        </is>
      </c>
      <c r="D578" s="54" t="inlineStr">
        <is>
          <t>1/4 inch O.D. 100 ft Nylon 12 tubing -  Red</t>
        </is>
      </c>
      <c r="E578" s="15" t="n">
        <v>100</v>
      </c>
      <c r="F578" s="17" t="inlineStr">
        <is>
          <t>ft</t>
        </is>
      </c>
      <c r="G578" s="54" t="inlineStr">
        <is>
          <t>Advanced Technology Products</t>
        </is>
      </c>
      <c r="H578" s="54" t="inlineStr">
        <is>
          <t>N14AR</t>
        </is>
      </c>
      <c r="I578" s="15" t="inlineStr">
        <is>
          <t>NO</t>
        </is>
      </c>
      <c r="J578" s="56" t="n">
        <v>46.66</v>
      </c>
      <c r="K578" s="57" t="n">
        <v>45209</v>
      </c>
      <c r="L578" s="19" t="n"/>
      <c r="M578" s="20" t="n"/>
      <c r="N578" s="21" t="n"/>
      <c r="O578" s="22" t="n"/>
      <c r="P578" s="24" t="n"/>
    </row>
    <row r="579" ht="33" customHeight="1">
      <c r="A579" s="53" t="inlineStr">
        <is>
          <t>N14ABK</t>
        </is>
      </c>
      <c r="B579" s="54" t="inlineStr">
        <is>
          <t>N14ABK</t>
        </is>
      </c>
      <c r="C579" s="54" t="inlineStr">
        <is>
          <t>Advanced Technology Products</t>
        </is>
      </c>
      <c r="D579" s="54" t="inlineStr">
        <is>
          <t>1/4 inch O.D. 100 ft Nylon 12 tubing - Black</t>
        </is>
      </c>
      <c r="E579" s="15" t="n">
        <v>100</v>
      </c>
      <c r="F579" s="17" t="inlineStr">
        <is>
          <t>ft</t>
        </is>
      </c>
      <c r="G579" s="54" t="inlineStr">
        <is>
          <t>Advanced Technology Products</t>
        </is>
      </c>
      <c r="H579" s="54" t="inlineStr">
        <is>
          <t>N14ABK</t>
        </is>
      </c>
      <c r="I579" s="15" t="inlineStr">
        <is>
          <t>NO</t>
        </is>
      </c>
      <c r="J579" s="56" t="n">
        <v>46.66</v>
      </c>
      <c r="K579" s="57" t="n">
        <v>45209</v>
      </c>
      <c r="L579" s="19" t="n"/>
      <c r="M579" s="20" t="n"/>
      <c r="N579" s="21" t="n"/>
      <c r="O579" s="22" t="n"/>
      <c r="P579" s="24" t="n"/>
    </row>
    <row r="580" ht="33" customHeight="1">
      <c r="A580" s="53" t="inlineStr">
        <is>
          <t>N38ANA</t>
        </is>
      </c>
      <c r="B580" s="54" t="inlineStr">
        <is>
          <t>N38ANA</t>
        </is>
      </c>
      <c r="C580" s="54" t="inlineStr">
        <is>
          <t>Advanced Technology Products</t>
        </is>
      </c>
      <c r="D580" s="54" t="inlineStr">
        <is>
          <t>3/8 inch O.D. 100 ft Nylon 12 tubing - Natural</t>
        </is>
      </c>
      <c r="E580" s="15" t="n">
        <v>100</v>
      </c>
      <c r="F580" s="17" t="inlineStr">
        <is>
          <t>ft</t>
        </is>
      </c>
      <c r="G580" s="54" t="inlineStr">
        <is>
          <t>Advanced Technology Products</t>
        </is>
      </c>
      <c r="H580" s="54" t="inlineStr">
        <is>
          <t>N38ANA</t>
        </is>
      </c>
      <c r="I580" s="15" t="inlineStr">
        <is>
          <t>NO</t>
        </is>
      </c>
      <c r="J580" s="56" t="n">
        <v>100.56</v>
      </c>
      <c r="K580" s="57" t="n">
        <v>45209</v>
      </c>
      <c r="L580" s="19" t="n"/>
      <c r="M580" s="20" t="n"/>
      <c r="N580" s="21" t="n"/>
      <c r="O580" s="22" t="n"/>
      <c r="P580" s="24" t="n"/>
    </row>
    <row r="581" ht="33" customHeight="1">
      <c r="A581" s="53" t="inlineStr">
        <is>
          <t>N38ABK</t>
        </is>
      </c>
      <c r="B581" s="54" t="inlineStr">
        <is>
          <t>N38ABK</t>
        </is>
      </c>
      <c r="C581" s="54" t="inlineStr">
        <is>
          <t>Advanced Technology Products</t>
        </is>
      </c>
      <c r="D581" s="54" t="inlineStr">
        <is>
          <t>3/8 inch O.D. 100 ft Nylon 12 tubing - Black</t>
        </is>
      </c>
      <c r="E581" s="15" t="n">
        <v>100</v>
      </c>
      <c r="F581" s="17" t="inlineStr">
        <is>
          <t>ft</t>
        </is>
      </c>
      <c r="G581" s="54" t="inlineStr">
        <is>
          <t>Advanced Technology Products</t>
        </is>
      </c>
      <c r="H581" s="54" t="inlineStr">
        <is>
          <t>N38ABK</t>
        </is>
      </c>
      <c r="I581" s="15" t="inlineStr">
        <is>
          <t>NO</t>
        </is>
      </c>
      <c r="J581" s="56" t="n">
        <v>100.56</v>
      </c>
      <c r="K581" s="57" t="n">
        <v>45209</v>
      </c>
      <c r="L581" s="19" t="n"/>
      <c r="M581" s="20" t="n"/>
      <c r="N581" s="21" t="n"/>
      <c r="O581" s="22" t="n"/>
      <c r="P581" s="24" t="n"/>
    </row>
    <row r="582" ht="33" customHeight="1">
      <c r="A582" s="53" t="inlineStr">
        <is>
          <t>N12ANA</t>
        </is>
      </c>
      <c r="B582" s="54" t="inlineStr">
        <is>
          <t>N12ANA</t>
        </is>
      </c>
      <c r="C582" s="54" t="inlineStr">
        <is>
          <t>Advanced Technology Products</t>
        </is>
      </c>
      <c r="D582" s="54" t="inlineStr">
        <is>
          <t>1/2 inch O.D. 100 ft Nylon 12 tubing</t>
        </is>
      </c>
      <c r="E582" s="15" t="n">
        <v>100</v>
      </c>
      <c r="F582" s="17" t="inlineStr">
        <is>
          <t>ft</t>
        </is>
      </c>
      <c r="G582" s="54" t="inlineStr">
        <is>
          <t>Advanced Technology Products</t>
        </is>
      </c>
      <c r="H582" s="54" t="inlineStr">
        <is>
          <t>N12ANA</t>
        </is>
      </c>
      <c r="I582" s="15" t="inlineStr">
        <is>
          <t>NO</t>
        </is>
      </c>
      <c r="J582" s="56" t="n">
        <v>169.96</v>
      </c>
      <c r="K582" s="57" t="n">
        <v>45209</v>
      </c>
      <c r="L582" s="19" t="n"/>
      <c r="M582" s="20" t="n"/>
      <c r="N582" s="21" t="n"/>
      <c r="O582" s="22" t="n"/>
      <c r="P582" s="24" t="n"/>
    </row>
    <row r="583" ht="33" customHeight="1">
      <c r="A583" s="53" t="inlineStr">
        <is>
          <t>GRA1SHTTOP</t>
        </is>
      </c>
      <c r="B583" s="54" t="inlineStr">
        <is>
          <t>GRA1SHTTOP</t>
        </is>
      </c>
      <c r="C583" s="54" t="inlineStr">
        <is>
          <t>POBCO, Inc.</t>
        </is>
      </c>
      <c r="D583" s="54" t="inlineStr">
        <is>
          <t xml:space="preserve">Guide Rail, Stainless Steel, Wide Flat, 10 ft. - (Same as VG-SSWF-10) </t>
        </is>
      </c>
      <c r="E583" s="15" t="n">
        <v>10</v>
      </c>
      <c r="F583" s="17" t="inlineStr">
        <is>
          <t>ft</t>
        </is>
      </c>
      <c r="G583" s="54" t="inlineStr">
        <is>
          <t>POBCO, Inc.</t>
        </is>
      </c>
      <c r="H583" s="54" t="inlineStr">
        <is>
          <t>GRA1SHTTOP</t>
        </is>
      </c>
      <c r="I583" s="15" t="inlineStr">
        <is>
          <t>NO</t>
        </is>
      </c>
      <c r="J583" s="56" t="n">
        <v>80</v>
      </c>
      <c r="K583" s="57" t="n">
        <v>45293</v>
      </c>
      <c r="L583" s="19" t="n"/>
      <c r="M583" s="20" t="n"/>
      <c r="N583" s="21" t="n"/>
      <c r="O583" s="22" t="n"/>
      <c r="P583" s="24" t="n"/>
    </row>
    <row r="584" ht="33" customHeight="1">
      <c r="A584" s="53" t="inlineStr">
        <is>
          <t>SSR0518L5</t>
        </is>
      </c>
      <c r="B584" s="54" t="inlineStr">
        <is>
          <t>SSR0518L5</t>
        </is>
      </c>
      <c r="C584" s="54" t="inlineStr">
        <is>
          <t>POBCO, Inc.</t>
        </is>
      </c>
      <c r="D584" s="54" t="inlineStr">
        <is>
          <t>Adjusting Rod, Stainless Steel, 1/2" Dia. X 5", 5/16-18 Tap</t>
        </is>
      </c>
      <c r="E584" s="15" t="n">
        <v>1</v>
      </c>
      <c r="F584" s="17" t="inlineStr">
        <is>
          <t>each</t>
        </is>
      </c>
      <c r="G584" s="54" t="inlineStr">
        <is>
          <t>POBCO, Inc.</t>
        </is>
      </c>
      <c r="H584" s="54" t="inlineStr">
        <is>
          <t>SSR0518L5</t>
        </is>
      </c>
      <c r="I584" s="15" t="inlineStr">
        <is>
          <t>NO</t>
        </is>
      </c>
      <c r="J584" s="56" t="n">
        <v>10.5</v>
      </c>
      <c r="K584" s="57" t="n">
        <v>45414</v>
      </c>
      <c r="L584" s="19" t="n">
        <v>0</v>
      </c>
      <c r="M584" s="20" t="n">
        <v>10.5</v>
      </c>
      <c r="N584" s="21" t="n">
        <v>45293</v>
      </c>
      <c r="O584" s="22" t="inlineStr">
        <is>
          <t>, 5/2/2024, 10.5</t>
        </is>
      </c>
      <c r="P584" s="24" t="n"/>
    </row>
    <row r="585" ht="33" customHeight="1">
      <c r="A585" s="53" t="inlineStr">
        <is>
          <t>JSRSS0518L5</t>
        </is>
      </c>
      <c r="B585" s="54" t="inlineStr">
        <is>
          <t>JSRSS0518L5</t>
        </is>
      </c>
      <c r="C585" s="54" t="inlineStr">
        <is>
          <t>POBCO, Inc.</t>
        </is>
      </c>
      <c r="D585" s="54" t="inlineStr">
        <is>
          <t>Jointed Adjusting Rod, Stainless Steel, 1/2" Dia. X 5", 5/16-18 Tap</t>
        </is>
      </c>
      <c r="E585" s="15" t="n">
        <v>1</v>
      </c>
      <c r="F585" s="17" t="inlineStr">
        <is>
          <t>each</t>
        </is>
      </c>
      <c r="G585" s="54" t="inlineStr">
        <is>
          <t>POBCO, Inc.</t>
        </is>
      </c>
      <c r="H585" s="54" t="inlineStr">
        <is>
          <t>JSRSS0518L5</t>
        </is>
      </c>
      <c r="I585" s="15" t="inlineStr">
        <is>
          <t>NO</t>
        </is>
      </c>
      <c r="J585" s="56" t="n">
        <v>16.95</v>
      </c>
      <c r="K585" s="57" t="n">
        <v>45293</v>
      </c>
      <c r="L585" s="19" t="n"/>
      <c r="M585" s="20" t="n"/>
      <c r="N585" s="21" t="n"/>
      <c r="O585" s="22" t="n"/>
      <c r="P585" s="24" t="n"/>
    </row>
    <row r="586" ht="33" customHeight="1">
      <c r="A586" s="53" t="inlineStr">
        <is>
          <t>SSR0518L10</t>
        </is>
      </c>
      <c r="B586" s="54" t="inlineStr">
        <is>
          <t>SSR0518L10</t>
        </is>
      </c>
      <c r="C586" s="54" t="inlineStr">
        <is>
          <t>POBCO, Inc.</t>
        </is>
      </c>
      <c r="D586" s="55" t="inlineStr">
        <is>
          <t>Adjusting Rod, Stainless Steel, 1/2" Dia. X 10", 5/16-18 Tap</t>
        </is>
      </c>
      <c r="E586" s="15" t="n">
        <v>1</v>
      </c>
      <c r="F586" s="17" t="inlineStr">
        <is>
          <t>each</t>
        </is>
      </c>
      <c r="G586" s="54" t="inlineStr">
        <is>
          <t>POBCO, Inc.</t>
        </is>
      </c>
      <c r="H586" s="54" t="inlineStr">
        <is>
          <t>SSR0518L10</t>
        </is>
      </c>
      <c r="I586" s="15" t="inlineStr">
        <is>
          <t>NO</t>
        </is>
      </c>
      <c r="J586" s="56" t="n">
        <v>18.95</v>
      </c>
      <c r="K586" s="57" t="n">
        <v>45293</v>
      </c>
      <c r="L586" s="19" t="n"/>
      <c r="M586" s="20" t="n"/>
      <c r="N586" s="21" t="n"/>
      <c r="O586" s="22" t="n"/>
      <c r="P586" s="24" t="n"/>
    </row>
    <row r="587" ht="33" customHeight="1">
      <c r="A587" s="53" t="inlineStr">
        <is>
          <t>GRAFLAT</t>
        </is>
      </c>
      <c r="B587" s="54" t="inlineStr">
        <is>
          <t>GRAFLAT</t>
        </is>
      </c>
      <c r="C587" s="54" t="inlineStr">
        <is>
          <t>POBCO, Inc.</t>
        </is>
      </c>
      <c r="D587" s="55" t="inlineStr">
        <is>
          <t xml:space="preserve">Guide Rail, Stainless Steel, Flat, 10 ft. (Same as VG-SSF-10) - 1EA </t>
        </is>
      </c>
      <c r="E587" s="15" t="n">
        <v>10</v>
      </c>
      <c r="F587" s="17" t="inlineStr">
        <is>
          <t>ft</t>
        </is>
      </c>
      <c r="G587" s="54" t="inlineStr">
        <is>
          <t>POBCO, Inc.</t>
        </is>
      </c>
      <c r="H587" s="54" t="inlineStr">
        <is>
          <t>GRAFLAT</t>
        </is>
      </c>
      <c r="I587" s="15" t="inlineStr">
        <is>
          <t>NO</t>
        </is>
      </c>
      <c r="J587" s="56" t="n">
        <v>79.5</v>
      </c>
      <c r="K587" s="57" t="n">
        <v>45293</v>
      </c>
      <c r="L587" s="19" t="n"/>
      <c r="M587" s="20" t="n"/>
      <c r="N587" s="21" t="n"/>
      <c r="O587" s="22" t="n"/>
      <c r="P587" s="24" t="n"/>
    </row>
    <row r="588" ht="33" customHeight="1">
      <c r="A588" s="53" t="inlineStr">
        <is>
          <t>90145A622</t>
        </is>
      </c>
      <c r="B588" s="54" t="inlineStr">
        <is>
          <t>90145A622</t>
        </is>
      </c>
      <c r="C588" s="54" t="inlineStr">
        <is>
          <t>McMaster-Carr</t>
        </is>
      </c>
      <c r="D588" s="54" t="inlineStr">
        <is>
          <t>18-8 Stainless Steel Dowel Pin, 3/8" Diameter, 3/4" Length, Pack of 10</t>
        </is>
      </c>
      <c r="E588" s="15" t="n">
        <v>10</v>
      </c>
      <c r="F588" s="17" t="inlineStr">
        <is>
          <t>pack</t>
        </is>
      </c>
      <c r="G588" s="54" t="inlineStr">
        <is>
          <t>McMaster-Carr</t>
        </is>
      </c>
      <c r="H588" s="54" t="inlineStr">
        <is>
          <t>90145A622</t>
        </is>
      </c>
      <c r="I588" s="15" t="inlineStr">
        <is>
          <t>NO</t>
        </is>
      </c>
      <c r="J588" s="56" t="n">
        <v>14.95</v>
      </c>
      <c r="K588" s="57" t="n">
        <v>45348</v>
      </c>
      <c r="L588" s="19" t="n">
        <v>0</v>
      </c>
      <c r="M588" s="20" t="n">
        <v>14.95</v>
      </c>
      <c r="N588" s="21" t="n">
        <v>45306</v>
      </c>
      <c r="O588" s="22" t="inlineStr">
        <is>
          <t>, 1/15/2024, 14.95, 2/15/2024, 14.95</t>
        </is>
      </c>
      <c r="P588" s="24" t="n"/>
    </row>
    <row r="589" ht="33" customHeight="1">
      <c r="A589" s="53" t="n">
        <v>197535</v>
      </c>
      <c r="B589" s="54" t="inlineStr">
        <is>
          <t>LRB-D-O-MINI</t>
        </is>
      </c>
      <c r="C589" s="54" t="inlineStr">
        <is>
          <t>Festo</t>
        </is>
      </c>
      <c r="D589" s="54" t="inlineStr">
        <is>
          <t>Pressure Regulator (No Filter), MINI, 1/4 FNPT</t>
        </is>
      </c>
      <c r="E589" s="15" t="n">
        <v>1</v>
      </c>
      <c r="F589" s="17" t="inlineStr">
        <is>
          <t>each</t>
        </is>
      </c>
      <c r="G589" s="54" t="inlineStr">
        <is>
          <t>Festo</t>
        </is>
      </c>
      <c r="H589" s="54" t="n">
        <v>197535</v>
      </c>
      <c r="I589" s="15" t="inlineStr">
        <is>
          <t>NO</t>
        </is>
      </c>
      <c r="J589" s="56" t="n">
        <v>50.62</v>
      </c>
      <c r="K589" s="57" t="n">
        <v>45456</v>
      </c>
      <c r="L589" s="19" t="n">
        <v>0</v>
      </c>
      <c r="M589" s="20" t="n">
        <v>50.62</v>
      </c>
      <c r="N589" s="21" t="n">
        <v>45306</v>
      </c>
      <c r="O589" s="22" t="inlineStr">
        <is>
          <t>, 1/15/2024, 50.62, 2/15/2024, 50.62, 2/26/2024, 50.62</t>
        </is>
      </c>
      <c r="P589" s="24" t="n"/>
    </row>
    <row r="590" ht="33" customHeight="1">
      <c r="A590" s="53" t="inlineStr">
        <is>
          <t>205CLOSEDCAP</t>
        </is>
      </c>
      <c r="B590" s="54" t="inlineStr">
        <is>
          <t>205CLOSEDCAP</t>
        </is>
      </c>
      <c r="C590" s="54" t="inlineStr">
        <is>
          <t>IPTCI</t>
        </is>
      </c>
      <c r="D590" s="54" t="inlineStr">
        <is>
          <t>Closed Cap for 1" 205 Thermoplastic Bearings</t>
        </is>
      </c>
      <c r="E590" s="15" t="n">
        <v>1</v>
      </c>
      <c r="F590" s="17" t="inlineStr">
        <is>
          <t>each</t>
        </is>
      </c>
      <c r="G590" s="54" t="inlineStr">
        <is>
          <t>IPTCI</t>
        </is>
      </c>
      <c r="H590" s="54" t="inlineStr">
        <is>
          <t>N/A</t>
        </is>
      </c>
      <c r="I590" s="15" t="inlineStr">
        <is>
          <t>NO</t>
        </is>
      </c>
      <c r="J590" s="56" t="n">
        <v>1.99</v>
      </c>
      <c r="K590" s="57" t="n">
        <v>45446</v>
      </c>
      <c r="L590" s="19" t="n"/>
      <c r="M590" s="20" t="n"/>
      <c r="N590" s="21" t="n"/>
      <c r="O590" s="22" t="n"/>
      <c r="P590" s="24" t="n"/>
    </row>
    <row r="591" ht="33" customHeight="1">
      <c r="A591" s="53" t="n">
        <v>562578</v>
      </c>
      <c r="B591" s="54" t="inlineStr">
        <is>
          <t>QBL-1/8-3/8-U-M</t>
        </is>
      </c>
      <c r="C591" s="54" t="inlineStr">
        <is>
          <t>Festo</t>
        </is>
      </c>
      <c r="D591" s="54" t="inlineStr">
        <is>
          <t>Push-in Air Fitting, L Shaped, R1/8 x 3/8 Tube - (Sold in Bags of 5, Priced Each)</t>
        </is>
      </c>
      <c r="E591" s="15" t="n">
        <v>1</v>
      </c>
      <c r="F591" s="17" t="n">
        <v>5</v>
      </c>
      <c r="G591" s="54" t="inlineStr">
        <is>
          <t>Festo</t>
        </is>
      </c>
      <c r="H591" s="54" t="n">
        <v>562578</v>
      </c>
      <c r="I591" s="15" t="inlineStr">
        <is>
          <t>NO</t>
        </is>
      </c>
      <c r="J591" s="56" t="n">
        <v>25.25</v>
      </c>
      <c r="K591" s="57" t="n">
        <v>45348</v>
      </c>
      <c r="L591" s="19" t="n">
        <v>4</v>
      </c>
      <c r="M591" s="20" t="n">
        <v>25.25</v>
      </c>
      <c r="N591" s="21" t="n">
        <v>45337</v>
      </c>
      <c r="O591" s="22" t="inlineStr">
        <is>
          <t>, 1/15/2024, 5.05, 2/15/2024, 25.25</t>
        </is>
      </c>
      <c r="P591" s="24" t="n"/>
    </row>
    <row r="592" ht="33" customHeight="1">
      <c r="A592" s="53" t="n">
        <v>533241</v>
      </c>
      <c r="B592" s="54" t="inlineStr">
        <is>
          <t>QBL-3/8-1/4-U-M</t>
        </is>
      </c>
      <c r="C592" s="54" t="inlineStr">
        <is>
          <t>Festo</t>
        </is>
      </c>
      <c r="D592" s="54" t="inlineStr">
        <is>
          <t>Push-in Air Fitting, L Shaped, R3/8 x 1/4 Tube (Pack of 5)</t>
        </is>
      </c>
      <c r="E592" s="15" t="n">
        <v>1</v>
      </c>
      <c r="F592" s="17" t="n">
        <v>5</v>
      </c>
      <c r="G592" s="54" t="inlineStr">
        <is>
          <t>Festo</t>
        </is>
      </c>
      <c r="H592" s="54" t="n">
        <v>533241</v>
      </c>
      <c r="I592" s="15" t="inlineStr">
        <is>
          <t>NO</t>
        </is>
      </c>
      <c r="J592" s="56" t="n">
        <v>22.35</v>
      </c>
      <c r="K592" s="57" t="n">
        <v>45348</v>
      </c>
      <c r="L592" s="19" t="n">
        <v>0</v>
      </c>
      <c r="M592" s="20" t="n">
        <v>22.35</v>
      </c>
      <c r="N592" s="21" t="n">
        <v>45337</v>
      </c>
      <c r="O592" s="22" t="inlineStr">
        <is>
          <t>, 7/20/2022, 44.7, 2/15/2024, 22.35</t>
        </is>
      </c>
      <c r="P592" s="24" t="n"/>
    </row>
    <row r="593" ht="33" customHeight="1">
      <c r="A593" s="53" t="inlineStr">
        <is>
          <t>CSS-1TWOPC</t>
        </is>
      </c>
      <c r="B593" s="54" t="inlineStr">
        <is>
          <t>CSS-1TWOPC</t>
        </is>
      </c>
      <c r="C593" s="54" t="inlineStr">
        <is>
          <t>POBCO, Inc.</t>
        </is>
      </c>
      <c r="D593" s="54" t="inlineStr">
        <is>
          <t>Heavy Duty Rail Clip, Stainless Steel, 1" Stud</t>
        </is>
      </c>
      <c r="E593" s="15" t="n">
        <v>1</v>
      </c>
      <c r="F593" s="17" t="inlineStr">
        <is>
          <t>each</t>
        </is>
      </c>
      <c r="G593" s="54" t="inlineStr">
        <is>
          <t>POBCO, Inc.</t>
        </is>
      </c>
      <c r="H593" s="54" t="inlineStr">
        <is>
          <t>CSS-1TWOPC</t>
        </is>
      </c>
      <c r="I593" s="15" t="inlineStr">
        <is>
          <t>NO</t>
        </is>
      </c>
      <c r="J593" s="56" t="n">
        <v>3.62</v>
      </c>
      <c r="K593" s="57" t="n">
        <v>45293</v>
      </c>
      <c r="L593" s="19" t="n"/>
      <c r="M593" s="20" t="n"/>
      <c r="N593" s="21" t="n"/>
      <c r="O593" s="22" t="n"/>
      <c r="P593" s="24" t="n"/>
    </row>
    <row r="594" ht="33" customHeight="1">
      <c r="A594" s="53" t="inlineStr">
        <is>
          <t>CSS-1-1/8TWOPC</t>
        </is>
      </c>
      <c r="B594" s="54" t="inlineStr">
        <is>
          <t>CSS-1-1/8TWOPC</t>
        </is>
      </c>
      <c r="C594" s="54" t="inlineStr">
        <is>
          <t>POBCO, Inc.</t>
        </is>
      </c>
      <c r="D594" s="54" t="inlineStr">
        <is>
          <t>Heavy Duty Rail Clip, Stainless Steel, 1-1/8" Stud - 1EA</t>
        </is>
      </c>
      <c r="E594" s="15" t="n">
        <v>1</v>
      </c>
      <c r="F594" s="17" t="inlineStr">
        <is>
          <t>each</t>
        </is>
      </c>
      <c r="G594" s="54" t="inlineStr">
        <is>
          <t>POBCO, Inc.</t>
        </is>
      </c>
      <c r="H594" s="54" t="inlineStr">
        <is>
          <t>CSS-1-1/8TWOPC</t>
        </is>
      </c>
      <c r="I594" s="15" t="inlineStr">
        <is>
          <t>NO</t>
        </is>
      </c>
      <c r="J594" s="56" t="n">
        <v>3.75</v>
      </c>
      <c r="K594" s="57" t="n">
        <v>45094</v>
      </c>
      <c r="L594" s="19" t="n"/>
      <c r="M594" s="20" t="n"/>
      <c r="N594" s="21" t="n"/>
      <c r="O594" s="22" t="n"/>
      <c r="P594" s="24" t="n"/>
    </row>
    <row r="595" ht="33" customHeight="1">
      <c r="A595" s="53" t="inlineStr">
        <is>
          <t>4092K712</t>
        </is>
      </c>
      <c r="B595" s="54" t="inlineStr">
        <is>
          <t>4092K712</t>
        </is>
      </c>
      <c r="C595" s="54" t="inlineStr">
        <is>
          <t>McMaster-Carr</t>
        </is>
      </c>
      <c r="D595" s="54" t="inlineStr">
        <is>
          <t>Precision Extreme-Pressure 316 Stainless Steel Pipe Fitting, 1/4 NPT Female x 1/4 BSPP Male Pipe Size Adapter</t>
        </is>
      </c>
      <c r="E595" s="15" t="n">
        <v>1</v>
      </c>
      <c r="F595" s="17" t="inlineStr">
        <is>
          <t>each</t>
        </is>
      </c>
      <c r="G595" s="54" t="inlineStr">
        <is>
          <t>McMaster-Carr</t>
        </is>
      </c>
      <c r="H595" s="54" t="inlineStr">
        <is>
          <t>4092K712</t>
        </is>
      </c>
      <c r="I595" s="15" t="inlineStr">
        <is>
          <t>NO</t>
        </is>
      </c>
      <c r="J595" s="56" t="n">
        <v>35.21</v>
      </c>
      <c r="K595" s="57" t="n">
        <v>45348</v>
      </c>
      <c r="L595" s="19" t="n">
        <v>0</v>
      </c>
      <c r="M595" s="20" t="n">
        <v>35.21</v>
      </c>
      <c r="N595" s="21" t="n">
        <v>45337</v>
      </c>
      <c r="O595" s="22" t="inlineStr">
        <is>
          <t>, 1/2/2024, 27.53, 2/15/2024, 35.21</t>
        </is>
      </c>
      <c r="P595" s="24" t="n"/>
    </row>
    <row r="596" ht="33" customHeight="1">
      <c r="A596" s="53" t="inlineStr">
        <is>
          <t>RETURNSHOE</t>
        </is>
      </c>
      <c r="B596" s="54" t="inlineStr">
        <is>
          <t>N/A</t>
        </is>
      </c>
      <c r="C596" s="54" t="inlineStr">
        <is>
          <t>Advantage Conveyor</t>
        </is>
      </c>
      <c r="D596" s="54" t="inlineStr">
        <is>
          <t>Standard Table Top Return Shoe</t>
        </is>
      </c>
      <c r="E596" s="15" t="n">
        <v>1</v>
      </c>
      <c r="F596" s="17" t="inlineStr">
        <is>
          <t>each</t>
        </is>
      </c>
      <c r="G596" s="54" t="inlineStr">
        <is>
          <t>N/A</t>
        </is>
      </c>
      <c r="H596" s="54" t="inlineStr">
        <is>
          <t>RETURNSHOE</t>
        </is>
      </c>
      <c r="I596" s="15" t="inlineStr">
        <is>
          <t>NO</t>
        </is>
      </c>
      <c r="J596" s="56" t="n">
        <v>40</v>
      </c>
      <c r="K596" s="57" t="n">
        <v>45330</v>
      </c>
      <c r="L596" s="19" t="n"/>
      <c r="M596" s="20" t="n"/>
      <c r="N596" s="21" t="n"/>
      <c r="O596" s="22" t="n"/>
      <c r="P596" s="24" t="n"/>
    </row>
    <row r="597" ht="33" customHeight="1">
      <c r="A597" s="53" t="inlineStr">
        <is>
          <t>VG-JS100-125-NS-100</t>
        </is>
      </c>
      <c r="B597" s="54" t="inlineStr">
        <is>
          <t>VG-JS100-125-NS-100</t>
        </is>
      </c>
      <c r="C597" s="54" t="inlineStr">
        <is>
          <t>Emerson</t>
        </is>
      </c>
      <c r="D597" s="55" t="inlineStr">
        <is>
          <t>Nolu-S J-Leg, 1/8" X 1", 100 ft Roll</t>
        </is>
      </c>
      <c r="E597" s="15" t="n">
        <v>100</v>
      </c>
      <c r="F597" s="17" t="inlineStr">
        <is>
          <t>ft</t>
        </is>
      </c>
      <c r="G597" s="54" t="inlineStr">
        <is>
          <t>Emerson</t>
        </is>
      </c>
      <c r="H597" s="54" t="inlineStr">
        <is>
          <t>VG-JS100-125-NS-100</t>
        </is>
      </c>
      <c r="I597" s="15" t="inlineStr">
        <is>
          <t>NO</t>
        </is>
      </c>
      <c r="J597" s="56" t="n">
        <v>205</v>
      </c>
      <c r="K597" s="57" t="n">
        <v>45289</v>
      </c>
      <c r="L597" s="19" t="n"/>
      <c r="M597" s="20" t="n"/>
      <c r="N597" s="21" t="n"/>
      <c r="O597" s="22" t="n"/>
      <c r="P597" s="24" t="n"/>
    </row>
    <row r="598" ht="33" customHeight="1">
      <c r="A598" s="53" t="n">
        <v>162786</v>
      </c>
      <c r="B598" s="54" t="inlineStr">
        <is>
          <t>FRZ-D-MINI</t>
        </is>
      </c>
      <c r="C598" s="54" t="inlineStr">
        <is>
          <t>Festo</t>
        </is>
      </c>
      <c r="D598" s="54" t="inlineStr">
        <is>
          <t>Distribution Block, For use with MINI Air Preperation, Includes FRB Threaded Tie-Rods, G1/4 Port on Top &amp; Bottom, Plug on Top</t>
        </is>
      </c>
      <c r="E598" s="15" t="n">
        <v>1</v>
      </c>
      <c r="F598" s="17" t="inlineStr">
        <is>
          <t>each</t>
        </is>
      </c>
      <c r="G598" s="54" t="inlineStr">
        <is>
          <t>Festo</t>
        </is>
      </c>
      <c r="H598" s="54" t="n">
        <v>162786</v>
      </c>
      <c r="I598" s="15" t="inlineStr">
        <is>
          <t>NO</t>
        </is>
      </c>
      <c r="J598" s="56" t="n">
        <v>25.49</v>
      </c>
      <c r="K598" s="57" t="n">
        <v>45456</v>
      </c>
      <c r="L598" s="19" t="n">
        <v>0</v>
      </c>
      <c r="M598" s="20" t="n">
        <v>25.49</v>
      </c>
      <c r="N598" s="21" t="n">
        <v>45306</v>
      </c>
      <c r="O598" s="22" t="inlineStr">
        <is>
          <t>, 1/15/2024, 25.49, 2/15/2024, 25.49, 2/26/2024, 25.49</t>
        </is>
      </c>
      <c r="P598" s="24" t="n"/>
    </row>
    <row r="599" ht="33" customHeight="1">
      <c r="A599" s="53" t="inlineStr">
        <is>
          <t>HP880TAB_BO-4.5IN</t>
        </is>
      </c>
      <c r="B599" s="54" t="n">
        <v>10144924</v>
      </c>
      <c r="C599" s="54" t="inlineStr">
        <is>
          <t>Rexnord</t>
        </is>
      </c>
      <c r="D599" s="54" t="inlineStr">
        <is>
          <t>High Performance 880TAB - 4-1/4 BO Conveyor Chain</t>
        </is>
      </c>
      <c r="E599" s="15" t="n">
        <v>1</v>
      </c>
      <c r="F599" s="17" t="inlineStr">
        <is>
          <t>ft</t>
        </is>
      </c>
      <c r="G599" s="54" t="inlineStr">
        <is>
          <t>Rexnord</t>
        </is>
      </c>
      <c r="H599" s="54" t="inlineStr">
        <is>
          <t>HP880TAB-BO-4.5IN</t>
        </is>
      </c>
      <c r="I599" s="15" t="inlineStr">
        <is>
          <t>NO</t>
        </is>
      </c>
      <c r="J599" s="56" t="n">
        <v>16.7</v>
      </c>
      <c r="K599" s="57" t="n">
        <v>45330</v>
      </c>
      <c r="L599" s="19" t="n"/>
      <c r="M599" s="20" t="n"/>
      <c r="N599" s="21" t="n"/>
      <c r="O599" s="22" t="n"/>
      <c r="P599" s="24" t="n"/>
    </row>
    <row r="600" ht="33" customHeight="1">
      <c r="A600" s="53" t="n">
        <v>173774</v>
      </c>
      <c r="B600" s="54" t="inlineStr">
        <is>
          <t>LFR-3/8-D-O-MINI-NPT</t>
        </is>
      </c>
      <c r="C600" s="54" t="inlineStr">
        <is>
          <t>Festo</t>
        </is>
      </c>
      <c r="D600" s="54" t="inlineStr">
        <is>
          <t>Filter / Regulator Combination - NO GAUGE - MINI - femal thread 3/8 NPT; pressure regulation range - 0.5 - 12 bar; grade of filtration - 40 um</t>
        </is>
      </c>
      <c r="E600" s="15" t="n">
        <v>1</v>
      </c>
      <c r="F600" s="17" t="inlineStr">
        <is>
          <t>each</t>
        </is>
      </c>
      <c r="G600" s="54" t="inlineStr">
        <is>
          <t>Festo</t>
        </is>
      </c>
      <c r="H600" s="54" t="n">
        <v>173774</v>
      </c>
      <c r="I600" s="15" t="inlineStr">
        <is>
          <t>NO</t>
        </is>
      </c>
      <c r="J600" s="56" t="n">
        <v>75.92</v>
      </c>
      <c r="K600" s="57" t="n">
        <v>45348</v>
      </c>
      <c r="L600" s="19" t="n">
        <v>0</v>
      </c>
      <c r="M600" s="20" t="n">
        <v>75.92</v>
      </c>
      <c r="N600" s="21" t="n">
        <v>45306</v>
      </c>
      <c r="O600" s="22" t="inlineStr">
        <is>
          <t>, 1/15/2024, 75.92, 2/15/2024, 75.92</t>
        </is>
      </c>
      <c r="P600" s="24" t="n"/>
    </row>
    <row r="601" ht="33" customHeight="1">
      <c r="A601" s="53" t="inlineStr">
        <is>
          <t>SSR0518L8</t>
        </is>
      </c>
      <c r="B601" s="54" t="inlineStr">
        <is>
          <t>SSR0518L8</t>
        </is>
      </c>
      <c r="C601" s="54" t="inlineStr">
        <is>
          <t>POBCO, Inc.</t>
        </is>
      </c>
      <c r="D601" s="54" t="inlineStr">
        <is>
          <t>Adjusting Rod, Stainless Steel, 1/2" Dia. X 8", 5/16-18 Tap</t>
        </is>
      </c>
      <c r="E601" s="15" t="n">
        <v>1</v>
      </c>
      <c r="F601" s="17" t="inlineStr">
        <is>
          <t>each</t>
        </is>
      </c>
      <c r="G601" s="54" t="inlineStr">
        <is>
          <t>POBCO, Inc.</t>
        </is>
      </c>
      <c r="H601" s="54" t="inlineStr">
        <is>
          <t>SSR0518L8</t>
        </is>
      </c>
      <c r="I601" s="15" t="inlineStr">
        <is>
          <t>NO</t>
        </is>
      </c>
      <c r="J601" s="56" t="n">
        <v>15</v>
      </c>
      <c r="K601" s="57" t="n">
        <v>45293</v>
      </c>
      <c r="L601" s="19" t="n"/>
      <c r="M601" s="20" t="n"/>
      <c r="N601" s="21" t="n"/>
      <c r="O601" s="22" t="n"/>
      <c r="P601" s="24" t="n"/>
    </row>
    <row r="602" ht="33" customHeight="1">
      <c r="A602" s="53" t="inlineStr">
        <is>
          <t>6436K41</t>
        </is>
      </c>
      <c r="B602" s="54" t="inlineStr">
        <is>
          <t>6436K41</t>
        </is>
      </c>
      <c r="C602" s="54" t="inlineStr">
        <is>
          <t>McMaster-Carr</t>
        </is>
      </c>
      <c r="D602" s="54" t="inlineStr">
        <is>
          <t>Two-Piece Clamp-on Shaft Collar, for 1-1/4" Diameter, Type 303 Stainless Steel</t>
        </is>
      </c>
      <c r="E602" s="15" t="n">
        <v>1</v>
      </c>
      <c r="F602" s="17" t="inlineStr">
        <is>
          <t>each</t>
        </is>
      </c>
      <c r="G602" s="54" t="inlineStr">
        <is>
          <t>McMaster-Carr</t>
        </is>
      </c>
      <c r="H602" s="54" t="inlineStr">
        <is>
          <t>6436K41</t>
        </is>
      </c>
      <c r="I602" s="15" t="inlineStr">
        <is>
          <t>NO</t>
        </is>
      </c>
      <c r="J602" s="56" t="n">
        <v>26.56</v>
      </c>
      <c r="K602" s="57" t="n">
        <v>45414</v>
      </c>
      <c r="L602" s="19" t="n">
        <v>0</v>
      </c>
      <c r="M602" s="20" t="n">
        <v>26.56</v>
      </c>
      <c r="N602" s="21" t="n">
        <v>45289</v>
      </c>
      <c r="O602" s="22" t="inlineStr">
        <is>
          <t>, 12/29/2023, 26.56, 2/15/2024, 26.56, 2/26/2024, 26.56</t>
        </is>
      </c>
      <c r="P602" s="24" t="n"/>
    </row>
    <row r="603" ht="33" customHeight="1">
      <c r="A603" s="53" t="inlineStr">
        <is>
          <t>HP882TAB-7.5IN</t>
        </is>
      </c>
      <c r="B603" s="54" t="n">
        <v>10144634</v>
      </c>
      <c r="C603" s="54" t="inlineStr">
        <is>
          <t>Rexnord</t>
        </is>
      </c>
      <c r="D603" s="54" t="inlineStr">
        <is>
          <t>Rexnord High Performance 882 TAB-K750</t>
        </is>
      </c>
      <c r="E603" s="15" t="n">
        <v>1</v>
      </c>
      <c r="F603" s="17" t="inlineStr">
        <is>
          <t>each</t>
        </is>
      </c>
      <c r="G603" s="54" t="inlineStr">
        <is>
          <t>Rexnord</t>
        </is>
      </c>
      <c r="H603" s="54" t="n">
        <v>10144634</v>
      </c>
      <c r="I603" s="15" t="inlineStr">
        <is>
          <t>NO</t>
        </is>
      </c>
      <c r="J603" s="56" t="n">
        <v>39.43</v>
      </c>
      <c r="K603" s="57" t="n">
        <v>45330</v>
      </c>
      <c r="L603" s="19" t="n"/>
      <c r="M603" s="20" t="n"/>
      <c r="N603" s="21" t="n"/>
      <c r="O603" s="22" t="n"/>
      <c r="P603" s="24" t="n"/>
    </row>
    <row r="604" ht="33" customHeight="1">
      <c r="A604" s="53" t="inlineStr">
        <is>
          <t>CSS-1-1/4TWOPC</t>
        </is>
      </c>
      <c r="B604" s="54" t="inlineStr">
        <is>
          <t>CSS-1-1/4TWOPC</t>
        </is>
      </c>
      <c r="C604" s="54" t="inlineStr">
        <is>
          <t>POBCO, Inc.</t>
        </is>
      </c>
      <c r="D604" s="54" t="inlineStr">
        <is>
          <t>Heavy Duty Rail Clip, Stainless Steel, 1-1/4" Stud - 1EA</t>
        </is>
      </c>
      <c r="E604" s="15" t="n">
        <v>1</v>
      </c>
      <c r="F604" s="17" t="inlineStr">
        <is>
          <t>each</t>
        </is>
      </c>
      <c r="G604" s="54" t="inlineStr">
        <is>
          <t>POBCO, Inc.</t>
        </is>
      </c>
      <c r="H604" s="54" t="inlineStr">
        <is>
          <t>CSS-1-1/4TWOPC</t>
        </is>
      </c>
      <c r="I604" s="15" t="inlineStr">
        <is>
          <t>NO</t>
        </is>
      </c>
      <c r="J604" s="56" t="n">
        <v>3.95</v>
      </c>
      <c r="K604" s="57" t="n">
        <v>45293</v>
      </c>
      <c r="L604" s="19" t="n"/>
      <c r="M604" s="20" t="n"/>
      <c r="N604" s="21" t="n"/>
      <c r="O604" s="22" t="n"/>
      <c r="P604" s="24" t="n"/>
    </row>
    <row r="605" ht="33" customHeight="1">
      <c r="A605" s="53" t="inlineStr">
        <is>
          <t>CSS-3/4TWOPC</t>
        </is>
      </c>
      <c r="B605" s="54" t="inlineStr">
        <is>
          <t>CSS3/4TWOPC</t>
        </is>
      </c>
      <c r="C605" s="54" t="inlineStr">
        <is>
          <t>POBCO, Inc.</t>
        </is>
      </c>
      <c r="D605" s="54" t="inlineStr">
        <is>
          <t>Heavy Duty Rail Clip, Stainless Steel, 5/16-18 x 3/4" Long Stud - 1EA</t>
        </is>
      </c>
      <c r="E605" s="15" t="n">
        <v>1</v>
      </c>
      <c r="F605" s="17" t="inlineStr">
        <is>
          <t>each</t>
        </is>
      </c>
      <c r="G605" s="54" t="inlineStr">
        <is>
          <t>POBCO, Inc.</t>
        </is>
      </c>
      <c r="H605" s="54" t="inlineStr">
        <is>
          <t>CSS3/4TWOPC</t>
        </is>
      </c>
      <c r="I605" s="15" t="inlineStr">
        <is>
          <t>NO</t>
        </is>
      </c>
      <c r="J605" s="56" t="n">
        <v>3.3</v>
      </c>
      <c r="K605" s="57" t="n">
        <v>45293</v>
      </c>
      <c r="L605" s="19" t="n"/>
      <c r="M605" s="20" t="n"/>
      <c r="N605" s="21" t="n"/>
      <c r="O605" s="22" t="n"/>
      <c r="P605" s="24" t="n"/>
    </row>
    <row r="606" ht="33" customHeight="1">
      <c r="A606" s="53" t="inlineStr">
        <is>
          <t>55402YF</t>
        </is>
      </c>
      <c r="B606" s="54" t="inlineStr">
        <is>
          <t>55402YF</t>
        </is>
      </c>
      <c r="C606" s="54" t="inlineStr">
        <is>
          <t>Movex</t>
        </is>
      </c>
      <c r="D606" s="54" t="inlineStr">
        <is>
          <t>882 Split Drive Sprocket, 12 Tooth, 5.79" P.D., 1.25" Round Bore w/ Keyway &amp; Set-Screw, Machined Nylon</t>
        </is>
      </c>
      <c r="E606" s="15" t="n">
        <v>1</v>
      </c>
      <c r="F606" s="17" t="inlineStr">
        <is>
          <t>each</t>
        </is>
      </c>
      <c r="G606" s="54" t="inlineStr">
        <is>
          <t>Beltservice</t>
        </is>
      </c>
      <c r="H606" s="54" t="inlineStr">
        <is>
          <t>P55402YF</t>
        </is>
      </c>
      <c r="I606" s="15" t="inlineStr">
        <is>
          <t>NO</t>
        </is>
      </c>
      <c r="J606" s="56" t="n">
        <v>62.18</v>
      </c>
      <c r="K606" s="57" t="n">
        <v>45204</v>
      </c>
      <c r="L606" s="19" t="n"/>
      <c r="M606" s="20" t="n"/>
      <c r="N606" s="21" t="n"/>
      <c r="O606" s="22" t="n"/>
      <c r="P606" s="24" t="n"/>
    </row>
    <row r="607" ht="33" customHeight="1">
      <c r="A607" s="53" t="inlineStr">
        <is>
          <t>HX-FIX106-58-6</t>
        </is>
      </c>
      <c r="B607" s="54" t="inlineStr">
        <is>
          <t>HX-FIX106-58-6</t>
        </is>
      </c>
      <c r="C607" s="54" t="inlineStr">
        <is>
          <t>NGI</t>
        </is>
      </c>
      <c r="D607" s="54" t="inlineStr">
        <is>
          <t>4" Adjustable Leveler - Stanitary Style - SS Stem &amp; Base - 1x Lag Hole Tab - 6"x5/8-11 Stem</t>
        </is>
      </c>
      <c r="E607" s="15" t="n">
        <v>1</v>
      </c>
      <c r="F607" s="17" t="inlineStr">
        <is>
          <t>each</t>
        </is>
      </c>
      <c r="G607" s="54" t="inlineStr">
        <is>
          <t>NGI</t>
        </is>
      </c>
      <c r="H607" s="54" t="inlineStr">
        <is>
          <t>HX-FIX106-58-6</t>
        </is>
      </c>
      <c r="I607" s="15" t="inlineStr">
        <is>
          <t>NO</t>
        </is>
      </c>
      <c r="J607" s="56" t="n">
        <v>42.31</v>
      </c>
      <c r="K607" s="57" t="n">
        <v>45293</v>
      </c>
      <c r="L607" s="19" t="n"/>
      <c r="M607" s="20" t="n"/>
      <c r="N607" s="21" t="n"/>
      <c r="O607" s="22" t="n"/>
      <c r="P607" s="24" t="n"/>
    </row>
    <row r="608" ht="33" customHeight="1">
      <c r="A608" s="53" t="inlineStr">
        <is>
          <t>HPA-FIX101-58-6</t>
        </is>
      </c>
      <c r="B608" s="54" t="inlineStr">
        <is>
          <t>HPA-FIX101-58-6</t>
        </is>
      </c>
      <c r="C608" s="54" t="inlineStr">
        <is>
          <t>NGI</t>
        </is>
      </c>
      <c r="D608" s="54" t="inlineStr">
        <is>
          <t>7" L x 5/8-11 thread, Adjustable Leveler w/ Adjusting Nut, Stainless Steel Rod, 2 skinned-over lag holes</t>
        </is>
      </c>
      <c r="E608" s="15" t="n">
        <v>1</v>
      </c>
      <c r="F608" s="17" t="inlineStr">
        <is>
          <t>each</t>
        </is>
      </c>
      <c r="G608" s="54" t="inlineStr">
        <is>
          <t>NGI</t>
        </is>
      </c>
      <c r="H608" s="54" t="inlineStr">
        <is>
          <t>HPA-FIX101-58-6</t>
        </is>
      </c>
      <c r="I608" s="15" t="inlineStr">
        <is>
          <t>NO</t>
        </is>
      </c>
      <c r="J608" s="56" t="n">
        <v>13.08</v>
      </c>
      <c r="K608" s="57" t="n">
        <v>45293</v>
      </c>
      <c r="L608" s="19" t="n"/>
      <c r="M608" s="20" t="n"/>
      <c r="N608" s="21" t="n"/>
      <c r="O608" s="22" t="n"/>
      <c r="P608" s="24" t="n"/>
    </row>
    <row r="609" ht="33" customHeight="1">
      <c r="A609" s="53" t="inlineStr">
        <is>
          <t>HPA-FIX101-34-10</t>
        </is>
      </c>
      <c r="B609" s="54" t="inlineStr">
        <is>
          <t>HPA-FIX101-34-10</t>
        </is>
      </c>
      <c r="C609" s="54" t="inlineStr">
        <is>
          <t>NGI</t>
        </is>
      </c>
      <c r="D609" s="54" t="inlineStr">
        <is>
          <t>10" L x 3/4-10 thread, Adjustable Leveler w/ Adjusting Nut, Stainless Steel Rod, 2 skinned-over lag holes</t>
        </is>
      </c>
      <c r="E609" s="15" t="n">
        <v>1</v>
      </c>
      <c r="F609" s="17" t="inlineStr">
        <is>
          <t>each</t>
        </is>
      </c>
      <c r="G609" s="54" t="inlineStr">
        <is>
          <t>NGI</t>
        </is>
      </c>
      <c r="H609" s="54" t="inlineStr">
        <is>
          <t>HPA-FIX101-34-10</t>
        </is>
      </c>
      <c r="I609" s="15" t="inlineStr">
        <is>
          <t>NO</t>
        </is>
      </c>
      <c r="J609" s="56" t="n">
        <v>18.66</v>
      </c>
      <c r="K609" s="57" t="n">
        <v>45457</v>
      </c>
      <c r="L609" s="19" t="n">
        <v>0.12953995157385</v>
      </c>
      <c r="M609" s="31" t="n">
        <v>16.52</v>
      </c>
      <c r="N609" s="21" t="n">
        <v>45293</v>
      </c>
      <c r="O609" s="22" t="inlineStr">
        <is>
          <t>, 6/14/2024, 18.66, 1/2/2024, 16.52</t>
        </is>
      </c>
      <c r="P609" s="24" t="n"/>
    </row>
    <row r="610" ht="33" customHeight="1">
      <c r="A610" s="53" t="inlineStr">
        <is>
          <t>3175-56-11</t>
        </is>
      </c>
      <c r="B610" s="54" t="inlineStr">
        <is>
          <t>3175-56-11</t>
        </is>
      </c>
      <c r="C610" s="54" t="inlineStr">
        <is>
          <t>Legris</t>
        </is>
      </c>
      <c r="D610" s="54" t="inlineStr">
        <is>
          <t>1/4" Tube x 1/8" NPT Male Straight Connector (Pack of 10)</t>
        </is>
      </c>
      <c r="E610" s="15" t="n">
        <v>10</v>
      </c>
      <c r="F610" s="17" t="inlineStr">
        <is>
          <t>pk</t>
        </is>
      </c>
      <c r="G610" s="54" t="inlineStr">
        <is>
          <t>Zoro</t>
        </is>
      </c>
      <c r="H610" s="54" t="inlineStr">
        <is>
          <t>G1931702</t>
        </is>
      </c>
      <c r="I610" s="15" t="inlineStr">
        <is>
          <t>NO</t>
        </is>
      </c>
      <c r="J610" s="56" t="n">
        <v>28.74</v>
      </c>
      <c r="K610" s="57" t="n">
        <v>45414</v>
      </c>
      <c r="L610" s="19" t="n">
        <v>-0.589135096497498</v>
      </c>
      <c r="M610" s="20" t="n">
        <v>72.45</v>
      </c>
      <c r="N610" s="21" t="n">
        <v>45348</v>
      </c>
      <c r="O610" s="22" t="inlineStr">
        <is>
          <t>, 1/15/2024, 69.95, 2/26/2024, 72.45</t>
        </is>
      </c>
      <c r="P610" s="24" t="n"/>
    </row>
    <row r="611" ht="33" customHeight="1">
      <c r="A611" s="53" t="inlineStr">
        <is>
          <t>3175-60-18</t>
        </is>
      </c>
      <c r="B611" s="54" t="inlineStr">
        <is>
          <t>3175-60-18</t>
        </is>
      </c>
      <c r="C611" s="54" t="inlineStr">
        <is>
          <t>Legris</t>
        </is>
      </c>
      <c r="D611" s="54" t="inlineStr">
        <is>
          <t>3/8" Tube x 3/8" NPT Male Straight Connector (Pack of 10)</t>
        </is>
      </c>
      <c r="E611" s="15" t="n">
        <v>10</v>
      </c>
      <c r="F611" s="17" t="inlineStr">
        <is>
          <t>pk</t>
        </is>
      </c>
      <c r="G611" s="54" t="inlineStr">
        <is>
          <t>Zoro</t>
        </is>
      </c>
      <c r="H611" s="54" t="inlineStr">
        <is>
          <t>G1122554</t>
        </is>
      </c>
      <c r="I611" s="15" t="inlineStr">
        <is>
          <t>NO</t>
        </is>
      </c>
      <c r="J611" s="56" t="n">
        <v>85.55</v>
      </c>
      <c r="K611" s="57" t="n">
        <v>45348</v>
      </c>
      <c r="L611" s="19" t="n">
        <v>0.0338983050847457</v>
      </c>
      <c r="M611" s="20" t="n">
        <v>82.65000000000001</v>
      </c>
      <c r="N611" s="21" t="n">
        <v>45306</v>
      </c>
      <c r="O611" s="22" t="inlineStr">
        <is>
          <t>, 1/15/2024, 82.65</t>
        </is>
      </c>
      <c r="P611" s="24" t="n"/>
    </row>
    <row r="612" ht="33" customHeight="1">
      <c r="A612" s="53" t="inlineStr">
        <is>
          <t>3109-56-11</t>
        </is>
      </c>
      <c r="B612" s="54" t="inlineStr">
        <is>
          <t>3109-56-11</t>
        </is>
      </c>
      <c r="C612" s="54" t="inlineStr">
        <is>
          <t>Legris</t>
        </is>
      </c>
      <c r="D612" s="54" t="inlineStr">
        <is>
          <t>1/4" Tube x 1/8" NPT Male Swivel 90 Connector (Pack of 10)</t>
        </is>
      </c>
      <c r="E612" s="15" t="n">
        <v>10</v>
      </c>
      <c r="F612" s="17" t="inlineStr">
        <is>
          <t>pk</t>
        </is>
      </c>
      <c r="G612" s="54" t="inlineStr">
        <is>
          <t>Zoro</t>
        </is>
      </c>
      <c r="H612" s="54" t="inlineStr">
        <is>
          <t>G1075094</t>
        </is>
      </c>
      <c r="I612" s="15" t="inlineStr">
        <is>
          <t>NO</t>
        </is>
      </c>
      <c r="J612" s="56" t="n">
        <v>28.74</v>
      </c>
      <c r="K612" s="57" t="n">
        <v>45414</v>
      </c>
      <c r="L612" s="19" t="n">
        <v>-0.292988929889299</v>
      </c>
      <c r="M612" s="20" t="n">
        <v>44.69</v>
      </c>
      <c r="N612" s="21" t="n">
        <v>45348</v>
      </c>
      <c r="O612" s="22" t="inlineStr">
        <is>
          <t>, 2/15/2024, 36.95, 2/26/2024, 44.69</t>
        </is>
      </c>
      <c r="P612" s="24" t="n"/>
    </row>
    <row r="613" ht="33" customHeight="1">
      <c r="A613" s="53" t="inlineStr">
        <is>
          <t>3109-56-14</t>
        </is>
      </c>
      <c r="B613" s="54" t="inlineStr">
        <is>
          <t>3109-56-14</t>
        </is>
      </c>
      <c r="C613" s="54" t="inlineStr">
        <is>
          <t>Legris</t>
        </is>
      </c>
      <c r="D613" s="54" t="inlineStr">
        <is>
          <t>1/4" Tube x 1/4" NPT Male Swivel 90 Connector (Pack of 10)</t>
        </is>
      </c>
      <c r="E613" s="15" t="n">
        <v>10</v>
      </c>
      <c r="F613" s="17" t="inlineStr">
        <is>
          <t>pk</t>
        </is>
      </c>
      <c r="G613" s="54" t="inlineStr">
        <is>
          <t>Zoro</t>
        </is>
      </c>
      <c r="H613" s="54" t="inlineStr">
        <is>
          <t>G2694002</t>
        </is>
      </c>
      <c r="I613" s="15" t="inlineStr">
        <is>
          <t>NO</t>
        </is>
      </c>
      <c r="J613" s="56" t="n">
        <v>28.74</v>
      </c>
      <c r="K613" s="57" t="n">
        <v>45414</v>
      </c>
      <c r="L613" s="19" t="n">
        <v>-0.235434956105347</v>
      </c>
      <c r="M613" s="20" t="n">
        <v>41.35</v>
      </c>
      <c r="N613" s="21" t="n">
        <v>45348</v>
      </c>
      <c r="O613" s="22" t="inlineStr">
        <is>
          <t>, 2/15/2024, 34.19, 2/26/2024, 41.35</t>
        </is>
      </c>
      <c r="P613" s="24" t="n"/>
    </row>
    <row r="614" ht="33" customHeight="1">
      <c r="A614" s="53" t="inlineStr">
        <is>
          <t>3109-60-14</t>
        </is>
      </c>
      <c r="B614" s="54" t="inlineStr">
        <is>
          <t>3109-60-14</t>
        </is>
      </c>
      <c r="C614" s="54" t="inlineStr">
        <is>
          <t>Legris</t>
        </is>
      </c>
      <c r="D614" s="54" t="inlineStr">
        <is>
          <t>3/8" Tube x 1/4" NPT Male Swivel 90 Connector (Pack of 10)</t>
        </is>
      </c>
      <c r="E614" s="15" t="n">
        <v>10</v>
      </c>
      <c r="F614" s="17" t="inlineStr">
        <is>
          <t>pk</t>
        </is>
      </c>
      <c r="G614" s="54" t="inlineStr">
        <is>
          <t>Zoro</t>
        </is>
      </c>
      <c r="H614" s="54" t="inlineStr">
        <is>
          <t>G0532752</t>
        </is>
      </c>
      <c r="I614" s="15" t="inlineStr">
        <is>
          <t>NO</t>
        </is>
      </c>
      <c r="J614" s="56" t="n">
        <v>28.74</v>
      </c>
      <c r="K614" s="57" t="n">
        <v>45414</v>
      </c>
      <c r="L614" s="19" t="n">
        <v>-0.653108026554013</v>
      </c>
      <c r="M614" s="20" t="n">
        <v>78.69</v>
      </c>
      <c r="N614" s="21" t="n">
        <v>45348</v>
      </c>
      <c r="O614" s="22" t="inlineStr">
        <is>
          <t>, 2/19/2024, 82.85, 2/26/2024, 78.69</t>
        </is>
      </c>
      <c r="P614" s="24" t="n"/>
    </row>
    <row r="615" ht="33" customHeight="1">
      <c r="A615" s="53" t="inlineStr">
        <is>
          <t>3109-60-18</t>
        </is>
      </c>
      <c r="B615" s="54" t="inlineStr">
        <is>
          <t>3109-60-18</t>
        </is>
      </c>
      <c r="C615" s="54" t="inlineStr">
        <is>
          <t>Legris</t>
        </is>
      </c>
      <c r="D615" s="54" t="inlineStr">
        <is>
          <t>3/8" Tube x 3/8" NPT Male Swivel 90 Connector (Pack of 10)</t>
        </is>
      </c>
      <c r="E615" s="15" t="n">
        <v>10</v>
      </c>
      <c r="F615" s="17" t="inlineStr">
        <is>
          <t>pk</t>
        </is>
      </c>
      <c r="G615" s="54" t="inlineStr">
        <is>
          <t>Zoro</t>
        </is>
      </c>
      <c r="H615" s="54" t="inlineStr">
        <is>
          <t>G3009885</t>
        </is>
      </c>
      <c r="I615" s="15" t="inlineStr">
        <is>
          <t>NO</t>
        </is>
      </c>
      <c r="J615" s="56" t="n">
        <v>86.75</v>
      </c>
      <c r="K615" s="57" t="n">
        <v>45348</v>
      </c>
      <c r="L615" s="19" t="n">
        <v>-0.0312674483528755</v>
      </c>
      <c r="M615" s="20" t="n">
        <v>89.55</v>
      </c>
      <c r="N615" s="21" t="n">
        <v>45341</v>
      </c>
      <c r="O615" s="22" t="inlineStr">
        <is>
          <t>, 2/19/2024, 89.55</t>
        </is>
      </c>
      <c r="P615" s="24" t="n"/>
    </row>
    <row r="616" ht="33" customHeight="1">
      <c r="A616" s="53" t="inlineStr">
        <is>
          <t>7015-56-11</t>
        </is>
      </c>
      <c r="B616" s="54" t="inlineStr">
        <is>
          <t>7015-56-11</t>
        </is>
      </c>
      <c r="C616" s="54" t="inlineStr">
        <is>
          <t>Legris</t>
        </is>
      </c>
      <c r="D616" s="54" t="inlineStr">
        <is>
          <t>1/4" Tube x 1/8" NPT Meter Out Flow Control Regulator</t>
        </is>
      </c>
      <c r="E616" s="15" t="n">
        <v>1</v>
      </c>
      <c r="F616" s="17" t="inlineStr">
        <is>
          <t>each</t>
        </is>
      </c>
      <c r="G616" s="54" t="inlineStr">
        <is>
          <t>Zoro</t>
        </is>
      </c>
      <c r="H616" s="54" t="inlineStr">
        <is>
          <t>G2810342</t>
        </is>
      </c>
      <c r="I616" s="15" t="inlineStr">
        <is>
          <t>NO</t>
        </is>
      </c>
      <c r="J616" s="56" t="n">
        <v>23.59</v>
      </c>
      <c r="K616" s="57" t="n">
        <v>45456</v>
      </c>
      <c r="L616" s="19" t="n">
        <v>-0.0166736140058357</v>
      </c>
      <c r="M616" s="31" t="n">
        <v>23.35</v>
      </c>
      <c r="N616" s="21" t="n">
        <v>45348</v>
      </c>
      <c r="O616" s="22" t="inlineStr">
        <is>
          <t>, 1/15/2024, 22.89, 2/15/2024, 23.99, 2/26/2024, 23.35</t>
        </is>
      </c>
      <c r="P616" s="24" t="n"/>
    </row>
    <row r="617" ht="33" customHeight="1">
      <c r="A617" s="53" t="inlineStr">
        <is>
          <t>7015-56-14</t>
        </is>
      </c>
      <c r="B617" s="54" t="inlineStr">
        <is>
          <t>7015-56-14</t>
        </is>
      </c>
      <c r="C617" s="54" t="inlineStr">
        <is>
          <t>Legris</t>
        </is>
      </c>
      <c r="D617" s="54" t="inlineStr">
        <is>
          <t>1/4" Tube x 1/4" NPT Meter Out Flow Control Regulator</t>
        </is>
      </c>
      <c r="E617" s="15" t="n">
        <v>1</v>
      </c>
      <c r="F617" s="17" t="inlineStr">
        <is>
          <t>each</t>
        </is>
      </c>
      <c r="G617" s="54" t="inlineStr">
        <is>
          <t>Zoro</t>
        </is>
      </c>
      <c r="H617" s="54" t="inlineStr">
        <is>
          <t>G2326012</t>
        </is>
      </c>
      <c r="I617" s="15" t="inlineStr">
        <is>
          <t>NO</t>
        </is>
      </c>
      <c r="J617" s="56" t="n">
        <v>28.74</v>
      </c>
      <c r="K617" s="57" t="n">
        <v>45414</v>
      </c>
      <c r="L617" s="19" t="n">
        <v>0.0808574652124858</v>
      </c>
      <c r="M617" s="20" t="n">
        <v>25.19</v>
      </c>
      <c r="N617" s="21" t="n">
        <v>45413</v>
      </c>
      <c r="O617" s="22" t="inlineStr">
        <is>
          <t>, 2/15/2024, 27.99, 2/26/2024, 25.19, 5/1/2024, 25.19</t>
        </is>
      </c>
      <c r="P617" s="24" t="n"/>
    </row>
    <row r="618" ht="33" customHeight="1">
      <c r="A618" s="53" t="inlineStr">
        <is>
          <t>7015-60-14</t>
        </is>
      </c>
      <c r="B618" s="54" t="inlineStr">
        <is>
          <t>7015-60-14</t>
        </is>
      </c>
      <c r="C618" s="54" t="inlineStr">
        <is>
          <t>Legris</t>
        </is>
      </c>
      <c r="D618" s="54" t="inlineStr">
        <is>
          <t>3/8" Tube x 1/4" NPT Meter Out Flow Control Regulator</t>
        </is>
      </c>
      <c r="E618" s="15" t="n">
        <v>1</v>
      </c>
      <c r="F618" s="17" t="inlineStr">
        <is>
          <t>each</t>
        </is>
      </c>
      <c r="G618" s="54" t="inlineStr">
        <is>
          <t>Zoro</t>
        </is>
      </c>
      <c r="H618" s="54" t="inlineStr">
        <is>
          <t>G3290831</t>
        </is>
      </c>
      <c r="I618" s="15" t="inlineStr">
        <is>
          <t>NO</t>
        </is>
      </c>
      <c r="J618" s="56" t="n">
        <v>39.95</v>
      </c>
      <c r="K618" s="57" t="n">
        <v>45348</v>
      </c>
      <c r="L618" s="19" t="n">
        <v>-0.0490613266583227</v>
      </c>
      <c r="M618" s="20" t="n">
        <v>41.89</v>
      </c>
      <c r="N618" s="21" t="n">
        <v>45337</v>
      </c>
      <c r="O618" s="22" t="inlineStr">
        <is>
          <t>, 1/15/2024, 41.91, 2/15/2024, 41.89</t>
        </is>
      </c>
      <c r="P618" s="24" t="n"/>
    </row>
    <row r="619" ht="33" customHeight="1">
      <c r="A619" s="53" t="inlineStr">
        <is>
          <t>7015-60-18</t>
        </is>
      </c>
      <c r="B619" s="54" t="inlineStr">
        <is>
          <t>7015-60-18</t>
        </is>
      </c>
      <c r="C619" s="54" t="inlineStr">
        <is>
          <t>Legris</t>
        </is>
      </c>
      <c r="D619" s="54" t="inlineStr">
        <is>
          <t>3/8" Tube x 3/8" NPT Meter Out Flow Control Regulator</t>
        </is>
      </c>
      <c r="E619" s="15" t="n">
        <v>1</v>
      </c>
      <c r="F619" s="17" t="inlineStr">
        <is>
          <t>each</t>
        </is>
      </c>
      <c r="G619" s="54" t="inlineStr">
        <is>
          <t>Zoro</t>
        </is>
      </c>
      <c r="H619" s="54" t="inlineStr">
        <is>
          <t>G0987463</t>
        </is>
      </c>
      <c r="I619" s="15" t="inlineStr">
        <is>
          <t>NO</t>
        </is>
      </c>
      <c r="J619" s="56" t="n">
        <v>54.29</v>
      </c>
      <c r="K619" s="57" t="n">
        <v>45348</v>
      </c>
      <c r="L619" s="19" t="n"/>
      <c r="M619" s="20" t="n"/>
      <c r="N619" s="21" t="n"/>
      <c r="O619" s="22" t="n"/>
      <c r="P619" s="24" t="n"/>
    </row>
    <row r="620" ht="33" customHeight="1">
      <c r="A620" s="53" t="inlineStr">
        <is>
          <t>7660-56-20</t>
        </is>
      </c>
      <c r="B620" s="54" t="inlineStr">
        <is>
          <t>7660-56-20</t>
        </is>
      </c>
      <c r="C620" s="54" t="inlineStr">
        <is>
          <t>Legris</t>
        </is>
      </c>
      <c r="D620" s="54" t="inlineStr">
        <is>
          <t>1/4" Tube x #10-32 UNF Meter Out Flow Control Regulator</t>
        </is>
      </c>
      <c r="E620" s="15" t="n">
        <v>1</v>
      </c>
      <c r="F620" s="17" t="inlineStr">
        <is>
          <t>each</t>
        </is>
      </c>
      <c r="G620" s="54" t="inlineStr">
        <is>
          <t>Zoro</t>
        </is>
      </c>
      <c r="H620" s="54" t="inlineStr">
        <is>
          <t>G0973725</t>
        </is>
      </c>
      <c r="I620" s="15" t="inlineStr">
        <is>
          <t>NO</t>
        </is>
      </c>
      <c r="J620" s="56" t="n">
        <v>25.97</v>
      </c>
      <c r="K620" s="57" t="n">
        <v>45413</v>
      </c>
      <c r="L620" s="19" t="n"/>
      <c r="M620" s="20" t="n"/>
      <c r="N620" s="21" t="n"/>
      <c r="O620" s="22" t="inlineStr">
        <is>
          <t>, 2/26/2024, 25.97</t>
        </is>
      </c>
      <c r="P620" s="24" t="n"/>
    </row>
    <row r="621" ht="33" customHeight="1">
      <c r="A621" s="53" t="inlineStr">
        <is>
          <t>62PLPBH-4</t>
        </is>
      </c>
      <c r="B621" s="54" t="inlineStr">
        <is>
          <t>62PLPBH-4</t>
        </is>
      </c>
      <c r="C621" s="54" t="inlineStr">
        <is>
          <t>Parker</t>
        </is>
      </c>
      <c r="D621" s="54" t="inlineStr">
        <is>
          <t>1/4" Tube x 1/4" Tube Nickel Plated Bulkhead Fitting</t>
        </is>
      </c>
      <c r="E621" s="15" t="n">
        <v>1</v>
      </c>
      <c r="F621" s="17" t="inlineStr">
        <is>
          <t>each</t>
        </is>
      </c>
      <c r="G621" s="54" t="inlineStr">
        <is>
          <t>Zoro</t>
        </is>
      </c>
      <c r="H621" s="63" t="inlineStr">
        <is>
          <t>G007199971</t>
        </is>
      </c>
      <c r="I621" s="15" t="inlineStr">
        <is>
          <t>NO</t>
        </is>
      </c>
      <c r="J621" s="56" t="n">
        <v>5.95</v>
      </c>
      <c r="K621" s="57" t="n">
        <v>45457</v>
      </c>
      <c r="L621" s="19" t="n">
        <v>-0.048</v>
      </c>
      <c r="M621" s="20" t="n">
        <v>468.23</v>
      </c>
      <c r="N621" s="21" t="n">
        <v>45414</v>
      </c>
      <c r="O621" s="22" t="inlineStr">
        <is>
          <t>, 1/15/2024, 57.9, 2/19/2024, 7.29, 5/2/2024, 468.23</t>
        </is>
      </c>
      <c r="P621" s="24" t="n"/>
    </row>
    <row r="622" ht="33" customHeight="1">
      <c r="A622" s="53" t="inlineStr">
        <is>
          <t>62PLPBH-6</t>
        </is>
      </c>
      <c r="B622" s="54" t="inlineStr">
        <is>
          <t>62PLPBH-6</t>
        </is>
      </c>
      <c r="C622" s="54" t="inlineStr">
        <is>
          <t>Parker</t>
        </is>
      </c>
      <c r="D622" s="54" t="inlineStr">
        <is>
          <t>3/8" Tube x 3/8" Tube Nickel Plated Bulkhead Fitting</t>
        </is>
      </c>
      <c r="E622" s="15" t="n">
        <v>1</v>
      </c>
      <c r="F622" s="17" t="inlineStr">
        <is>
          <t>each</t>
        </is>
      </c>
      <c r="G622" s="54" t="inlineStr">
        <is>
          <t>Zoro</t>
        </is>
      </c>
      <c r="H622" s="63" t="inlineStr">
        <is>
          <t>G307199961</t>
        </is>
      </c>
      <c r="I622" s="15" t="inlineStr">
        <is>
          <t>NO</t>
        </is>
      </c>
      <c r="J622" s="56" t="n">
        <v>8.890000000000001</v>
      </c>
      <c r="K622" s="57" t="n">
        <v>45457</v>
      </c>
      <c r="L622" s="19" t="n">
        <v>-0.952311983692737</v>
      </c>
      <c r="M622" s="20" t="n">
        <v>147.99</v>
      </c>
      <c r="N622" s="21" t="n">
        <v>45348</v>
      </c>
      <c r="O622" s="22" t="inlineStr">
        <is>
          <t>, 1/15/2024, 91.9, 2/19/2024, 186.42, 5/2/2024, 8.89</t>
        </is>
      </c>
      <c r="P622" s="24" t="n"/>
    </row>
    <row r="623" ht="33" customHeight="1">
      <c r="A623" s="53" t="n">
        <v>529022</v>
      </c>
      <c r="B623" s="54" t="inlineStr">
        <is>
          <t>HRBC-D-MINI</t>
        </is>
      </c>
      <c r="C623" s="54" t="inlineStr">
        <is>
          <t>Festo</t>
        </is>
      </c>
      <c r="D623" s="54" t="inlineStr">
        <is>
          <t>Connecting kit for secondary MINI Regulator</t>
        </is>
      </c>
      <c r="E623" s="15" t="n">
        <v>1</v>
      </c>
      <c r="F623" s="17" t="inlineStr">
        <is>
          <t>each</t>
        </is>
      </c>
      <c r="G623" s="54" t="inlineStr">
        <is>
          <t>Festo</t>
        </is>
      </c>
      <c r="H623" s="54" t="n">
        <v>529022</v>
      </c>
      <c r="I623" s="15" t="inlineStr">
        <is>
          <t>NO</t>
        </is>
      </c>
      <c r="J623" s="56" t="n">
        <v>12.89</v>
      </c>
      <c r="K623" s="57" t="n">
        <v>45456</v>
      </c>
      <c r="L623" s="19" t="n">
        <v>0</v>
      </c>
      <c r="M623" s="20" t="n">
        <v>12.89</v>
      </c>
      <c r="N623" s="21" t="n">
        <v>45306</v>
      </c>
      <c r="O623" s="22" t="inlineStr">
        <is>
          <t>, 1/15/2024, 12.89, 2/15/2024, 12.89, 2/26/2024, 12.89</t>
        </is>
      </c>
      <c r="P623" s="24" t="n"/>
    </row>
    <row r="624" ht="33" customHeight="1">
      <c r="A624" s="53" t="inlineStr">
        <is>
          <t>S3D8G5CPE7NG</t>
        </is>
      </c>
      <c r="B624" s="54" t="inlineStr">
        <is>
          <t>S3D8G5CPE7NG</t>
        </is>
      </c>
      <c r="C624" s="54" t="inlineStr">
        <is>
          <t>Intralox</t>
        </is>
      </c>
      <c r="D624" s="54" t="inlineStr">
        <is>
          <t>SERIES 800 5.2" (8T) NATURAL ACETAL EZ CLEAN SPROCKET WITH 1.5" SQUARE BORE</t>
        </is>
      </c>
      <c r="E624" s="15" t="n">
        <v>1</v>
      </c>
      <c r="F624" s="17" t="inlineStr">
        <is>
          <t>each</t>
        </is>
      </c>
      <c r="G624" s="54" t="inlineStr">
        <is>
          <t>Intralox</t>
        </is>
      </c>
      <c r="H624" s="54" t="inlineStr">
        <is>
          <t>S3D8G5CPE7NG</t>
        </is>
      </c>
      <c r="I624" s="15" t="inlineStr">
        <is>
          <t>NO</t>
        </is>
      </c>
      <c r="J624" s="40" t="n">
        <v>32.46</v>
      </c>
      <c r="K624" s="57" t="n">
        <v>45306</v>
      </c>
      <c r="L624" s="19" t="n"/>
      <c r="M624" s="20" t="n"/>
      <c r="N624" s="21" t="n"/>
      <c r="O624" s="22" t="n"/>
      <c r="P624" s="24" t="n"/>
    </row>
    <row r="625" ht="33" customHeight="1">
      <c r="A625" s="53" t="inlineStr">
        <is>
          <t>S3D8G5CPH5NG</t>
        </is>
      </c>
      <c r="B625" s="54" t="inlineStr">
        <is>
          <t>S3D8G5CPH5NG</t>
        </is>
      </c>
      <c r="C625" s="54" t="inlineStr">
        <is>
          <t>Intralox</t>
        </is>
      </c>
      <c r="D625" s="54" t="inlineStr">
        <is>
          <t>SERIES 800 5.2" (8T) NATURAL ACETAL EZ CLEAN SPROCKET WITH 1" ROUND BORE</t>
        </is>
      </c>
      <c r="E625" s="15" t="n">
        <v>1</v>
      </c>
      <c r="F625" s="17" t="inlineStr">
        <is>
          <t>each</t>
        </is>
      </c>
      <c r="G625" s="54" t="inlineStr">
        <is>
          <t>Intralox</t>
        </is>
      </c>
      <c r="H625" s="54" t="inlineStr">
        <is>
          <t>S3D8G5CPH5NG</t>
        </is>
      </c>
      <c r="I625" s="15" t="inlineStr">
        <is>
          <t>NO</t>
        </is>
      </c>
      <c r="J625" s="40" t="n">
        <v>32.46</v>
      </c>
      <c r="K625" s="57" t="n">
        <v>45307</v>
      </c>
      <c r="L625" s="19" t="n"/>
      <c r="M625" s="20" t="n"/>
      <c r="N625" s="21" t="n"/>
      <c r="O625" s="22" t="n"/>
      <c r="P625" s="24" t="n"/>
    </row>
    <row r="626" ht="33" customHeight="1">
      <c r="A626" s="53" t="inlineStr">
        <is>
          <t>C8GXXA2D5IMJ</t>
        </is>
      </c>
      <c r="B626" s="54" t="inlineStr">
        <is>
          <t>C8GXXA2D5IMJ</t>
        </is>
      </c>
      <c r="C626" s="54" t="inlineStr">
        <is>
          <t>Intralox</t>
        </is>
      </c>
      <c r="D626" s="54" t="inlineStr">
        <is>
          <t>2.5"/64MM INNER DIAMETER- 4.0"/102MM OUTER DIAMETER- .75" WIDE EZ RETROFIT BLACK RUBBER RETURNWAY RING  - 10/7/22</t>
        </is>
      </c>
      <c r="E626" s="15" t="n">
        <v>1</v>
      </c>
      <c r="F626" s="17" t="inlineStr">
        <is>
          <t>each</t>
        </is>
      </c>
      <c r="G626" s="54" t="inlineStr">
        <is>
          <t>Intralox</t>
        </is>
      </c>
      <c r="H626" s="54" t="inlineStr">
        <is>
          <t>C8GXXA2D5IMJ</t>
        </is>
      </c>
      <c r="I626" s="15" t="inlineStr">
        <is>
          <t>NO</t>
        </is>
      </c>
      <c r="J626" s="56" t="n">
        <v>10.97</v>
      </c>
      <c r="K626" s="57" t="n">
        <v>45310</v>
      </c>
      <c r="L626" s="19" t="n"/>
      <c r="M626" s="20" t="n"/>
      <c r="N626" s="21" t="n"/>
      <c r="O626" s="22" t="n"/>
      <c r="P626" s="24" t="n"/>
    </row>
    <row r="627" ht="33" customHeight="1">
      <c r="A627" s="53" t="n">
        <v>3568</v>
      </c>
      <c r="B627" s="54" t="inlineStr">
        <is>
          <t>B-1/8</t>
        </is>
      </c>
      <c r="C627" s="54" t="inlineStr">
        <is>
          <t>Festo</t>
        </is>
      </c>
      <c r="D627" s="54" t="inlineStr">
        <is>
          <t>Blanking Plug, R1/8 - (Sold in Bags of 10, Priced Each)</t>
        </is>
      </c>
      <c r="E627" s="15" t="n">
        <v>10</v>
      </c>
      <c r="F627" s="17" t="inlineStr">
        <is>
          <t>pcs</t>
        </is>
      </c>
      <c r="G627" s="54" t="inlineStr">
        <is>
          <t>Festo</t>
        </is>
      </c>
      <c r="H627" s="54" t="n">
        <v>3568</v>
      </c>
      <c r="I627" s="15" t="inlineStr">
        <is>
          <t>NO</t>
        </is>
      </c>
      <c r="J627" s="56" t="n">
        <v>1.14</v>
      </c>
      <c r="K627" s="57" t="n">
        <v>45306</v>
      </c>
      <c r="L627" s="19" t="n"/>
      <c r="M627" s="20" t="n"/>
      <c r="N627" s="21" t="n"/>
      <c r="O627" s="22" t="n"/>
      <c r="P627" s="24" t="n"/>
    </row>
    <row r="628" ht="33" customHeight="1">
      <c r="A628" s="53" t="n">
        <v>576051</v>
      </c>
      <c r="B628" s="54" t="inlineStr">
        <is>
          <t>QBLL-1/4-1/4-U-M</t>
        </is>
      </c>
      <c r="C628" s="54" t="inlineStr">
        <is>
          <t>Festo</t>
        </is>
      </c>
      <c r="D628" s="64" t="inlineStr">
        <is>
          <t>Press to Connect Fitting, Extended Length, 90 degree, British 1/4 Thread X 1/4" Tube (Sold in Bags of 10, Priced Each)</t>
        </is>
      </c>
      <c r="E628" s="15" t="n">
        <v>10</v>
      </c>
      <c r="F628" s="17" t="inlineStr">
        <is>
          <t>pcs</t>
        </is>
      </c>
      <c r="G628" s="54" t="inlineStr">
        <is>
          <t>Festo</t>
        </is>
      </c>
      <c r="H628" s="54" t="n">
        <v>576051</v>
      </c>
      <c r="I628" s="15" t="inlineStr">
        <is>
          <t>NO</t>
        </is>
      </c>
      <c r="J628" s="56" t="n">
        <v>49.2</v>
      </c>
      <c r="K628" s="57" t="n">
        <v>45449</v>
      </c>
      <c r="L628" s="19" t="n">
        <v>8.979716024340769</v>
      </c>
      <c r="M628" s="31" t="n">
        <v>4.93</v>
      </c>
      <c r="N628" s="21" t="n">
        <v>45306</v>
      </c>
      <c r="O628" s="22" t="inlineStr">
        <is>
          <t>, 1/15/2024, 4.93</t>
        </is>
      </c>
      <c r="P628" s="24" t="n"/>
    </row>
    <row r="629" ht="33" customHeight="1">
      <c r="A629" s="53" t="n">
        <v>533245</v>
      </c>
      <c r="B629" s="54" t="inlineStr">
        <is>
          <t>QBL-1/2-3/8-U-M</t>
        </is>
      </c>
      <c r="C629" s="54" t="inlineStr">
        <is>
          <t>Festo</t>
        </is>
      </c>
      <c r="D629" s="64" t="inlineStr">
        <is>
          <t>Press to Connect Fitting, 90 degree, British 1/2 Thread X 3/8" Tube (Solid in Bag of 5, Priced Each)</t>
        </is>
      </c>
      <c r="E629" s="15" t="n">
        <v>5</v>
      </c>
      <c r="F629" s="17" t="inlineStr">
        <is>
          <t>pcs</t>
        </is>
      </c>
      <c r="G629" s="54" t="inlineStr">
        <is>
          <t>Festo</t>
        </is>
      </c>
      <c r="H629" s="54" t="n">
        <v>533245</v>
      </c>
      <c r="I629" s="15" t="inlineStr">
        <is>
          <t>NO</t>
        </is>
      </c>
      <c r="J629" s="56" t="n">
        <v>8.050000000000001</v>
      </c>
      <c r="K629" s="57" t="n">
        <v>45306</v>
      </c>
      <c r="L629" s="19" t="n"/>
      <c r="M629" s="20" t="n"/>
      <c r="N629" s="21" t="n"/>
      <c r="O629" s="22" t="n"/>
      <c r="P629" s="24" t="n"/>
    </row>
    <row r="630" ht="33" customHeight="1">
      <c r="A630" s="53" t="n">
        <v>8030811</v>
      </c>
      <c r="B630" s="54" t="inlineStr">
        <is>
          <t>VACF-B-C1-1</t>
        </is>
      </c>
      <c r="C630" s="54" t="inlineStr">
        <is>
          <t>Festo</t>
        </is>
      </c>
      <c r="D630" s="54" t="inlineStr">
        <is>
          <t>Solendoid Coil for VUVS-L25 Valves - 24VDC</t>
        </is>
      </c>
      <c r="E630" s="15" t="n">
        <v>1</v>
      </c>
      <c r="F630" s="17" t="inlineStr">
        <is>
          <t>each</t>
        </is>
      </c>
      <c r="G630" s="54" t="inlineStr">
        <is>
          <t>Festo</t>
        </is>
      </c>
      <c r="H630" s="54" t="n">
        <v>8030811</v>
      </c>
      <c r="I630" s="15" t="inlineStr">
        <is>
          <t>NO</t>
        </is>
      </c>
      <c r="J630" s="56" t="n">
        <v>9.210000000000001</v>
      </c>
      <c r="K630" s="57" t="n">
        <v>45449</v>
      </c>
      <c r="L630" s="19" t="n">
        <v>0</v>
      </c>
      <c r="M630" s="31" t="n">
        <v>9.210000000000001</v>
      </c>
      <c r="N630" s="21" t="n">
        <v>45420</v>
      </c>
      <c r="O630" s="22" t="inlineStr">
        <is>
          <t>, 1/15/2024, 9.21, 5/8/2024, 9.21, 5/8/2024, 9.21</t>
        </is>
      </c>
      <c r="P630" s="24" t="n"/>
    </row>
    <row r="631" ht="33" customHeight="1">
      <c r="A631" s="53" t="inlineStr">
        <is>
          <t>BA7-040</t>
        </is>
      </c>
      <c r="B631" s="54" t="inlineStr">
        <is>
          <t>BA7-040</t>
        </is>
      </c>
      <c r="C631" s="54" t="inlineStr">
        <is>
          <t>SMC</t>
        </is>
      </c>
      <c r="D631" s="54" t="inlineStr">
        <is>
          <t>SMC BRACKET AUTO SWITCH BRACKET</t>
        </is>
      </c>
      <c r="E631" s="15" t="n">
        <v>1</v>
      </c>
      <c r="F631" s="17" t="inlineStr">
        <is>
          <t>each</t>
        </is>
      </c>
      <c r="G631" s="54" t="inlineStr">
        <is>
          <t>Motion Ai</t>
        </is>
      </c>
      <c r="H631" s="54" t="inlineStr">
        <is>
          <t>BA7-040</t>
        </is>
      </c>
      <c r="I631" s="15" t="inlineStr">
        <is>
          <t>NO</t>
        </is>
      </c>
      <c r="J631" s="56" t="n">
        <v>2.5</v>
      </c>
      <c r="K631" s="57" t="n">
        <v>45294</v>
      </c>
      <c r="L631" s="19" t="n"/>
      <c r="M631" s="20" t="n"/>
      <c r="N631" s="21" t="n"/>
      <c r="O631" s="22" t="n"/>
      <c r="P631" s="24" t="n"/>
    </row>
    <row r="632" ht="33" customHeight="1">
      <c r="A632" s="53" t="inlineStr">
        <is>
          <t>D-M9PAVZ</t>
        </is>
      </c>
      <c r="B632" s="54" t="inlineStr">
        <is>
          <t>D-M9PAVZ</t>
        </is>
      </c>
      <c r="C632" s="54" t="inlineStr">
        <is>
          <t>SMC</t>
        </is>
      </c>
      <c r="D632" s="54" t="inlineStr">
        <is>
          <t>SMC PERPENDICULAR SOLID PNP DIRECT</t>
        </is>
      </c>
      <c r="E632" s="15" t="n">
        <v>1</v>
      </c>
      <c r="F632" s="17" t="inlineStr">
        <is>
          <t>each</t>
        </is>
      </c>
      <c r="G632" s="54" t="inlineStr">
        <is>
          <t>Motion Ai</t>
        </is>
      </c>
      <c r="H632" s="54" t="inlineStr">
        <is>
          <t>D-M9PAVZ</t>
        </is>
      </c>
      <c r="I632" s="15" t="inlineStr">
        <is>
          <t>NO</t>
        </is>
      </c>
      <c r="J632" s="56" t="n">
        <v>49.95</v>
      </c>
      <c r="K632" s="57" t="n">
        <v>45294</v>
      </c>
      <c r="L632" s="19" t="n"/>
      <c r="M632" s="20" t="n"/>
      <c r="N632" s="21" t="n"/>
      <c r="O632" s="22" t="n"/>
      <c r="P632" s="24" t="n"/>
    </row>
    <row r="633" ht="33" customHeight="1">
      <c r="A633" s="53" t="n">
        <v>8025330</v>
      </c>
      <c r="B633" s="54" t="inlineStr">
        <is>
          <t>VACS-C-C1-1</t>
        </is>
      </c>
      <c r="C633" s="54" t="inlineStr">
        <is>
          <t>Festo</t>
        </is>
      </c>
      <c r="D633" s="54" t="inlineStr">
        <is>
          <t>Solenoid Coil for VUVS-L20 Valves, 24VDC</t>
        </is>
      </c>
      <c r="E633" s="15" t="n">
        <v>1</v>
      </c>
      <c r="F633" s="17" t="inlineStr">
        <is>
          <t>each</t>
        </is>
      </c>
      <c r="G633" s="54" t="inlineStr">
        <is>
          <t>Festo</t>
        </is>
      </c>
      <c r="H633" s="54" t="n">
        <v>8025330</v>
      </c>
      <c r="I633" s="15" t="inlineStr">
        <is>
          <t>NO</t>
        </is>
      </c>
      <c r="J633" s="56" t="n">
        <v>6.84</v>
      </c>
      <c r="K633" s="57" t="n">
        <v>45456</v>
      </c>
      <c r="L633" s="19" t="n">
        <v>0</v>
      </c>
      <c r="M633" s="20" t="n">
        <v>6.84</v>
      </c>
      <c r="N633" s="21" t="n">
        <v>45289</v>
      </c>
      <c r="O633" s="22" t="inlineStr">
        <is>
          <t>, 12/29/2023, 6.84, 2/15/2024, 6.84, 2/26/2024, 6.84, 5/2/2024, 6.84</t>
        </is>
      </c>
      <c r="P633" s="24" t="n"/>
    </row>
    <row r="634" ht="33" customHeight="1">
      <c r="A634" s="53" t="inlineStr">
        <is>
          <t>5483T93</t>
        </is>
      </c>
      <c r="B634" s="54" t="inlineStr">
        <is>
          <t>5483T93</t>
        </is>
      </c>
      <c r="C634" s="54" t="inlineStr">
        <is>
          <t>McMaster-Carr</t>
        </is>
      </c>
      <c r="D634" s="54" t="inlineStr">
        <is>
          <t>Miniature Nickel-Plated Brass Pipe Fitting High-Pressure, Through-Wall Connector, 1/4 NPT Female- Pack of 2</t>
        </is>
      </c>
      <c r="E634" s="15" t="n">
        <v>2</v>
      </c>
      <c r="F634" s="17" t="inlineStr">
        <is>
          <t>pack</t>
        </is>
      </c>
      <c r="G634" s="54" t="inlineStr">
        <is>
          <t>McMaster-Carr</t>
        </is>
      </c>
      <c r="H634" s="54" t="inlineStr">
        <is>
          <t>5483T93</t>
        </is>
      </c>
      <c r="I634" s="15" t="inlineStr">
        <is>
          <t>NO</t>
        </is>
      </c>
      <c r="J634" s="56" t="n">
        <v>17.33</v>
      </c>
      <c r="K634" s="57" t="n">
        <v>45348</v>
      </c>
      <c r="L634" s="19" t="n">
        <v>0</v>
      </c>
      <c r="M634" s="20" t="n">
        <v>17.33</v>
      </c>
      <c r="N634" s="21" t="n">
        <v>45306</v>
      </c>
      <c r="O634" s="22" t="inlineStr">
        <is>
          <t>, 1/15/2024, 17.33, 2/15/2024, 17.33</t>
        </is>
      </c>
      <c r="P634" s="24" t="n"/>
    </row>
    <row r="635" ht="33" customHeight="1">
      <c r="A635" s="53" t="n">
        <v>1845719</v>
      </c>
      <c r="B635" s="54" t="inlineStr">
        <is>
          <t>DRVS-32-90-P</t>
        </is>
      </c>
      <c r="C635" s="54" t="inlineStr">
        <is>
          <t>Festo</t>
        </is>
      </c>
      <c r="D635" s="54" t="inlineStr">
        <is>
          <t>Rotary Actuator, 32mm Bore, 90deg Rotation, Pneumatic Cushions</t>
        </is>
      </c>
      <c r="E635" s="15" t="n">
        <v>1</v>
      </c>
      <c r="F635" s="17" t="inlineStr">
        <is>
          <t>each</t>
        </is>
      </c>
      <c r="G635" s="54" t="inlineStr">
        <is>
          <t>Festo</t>
        </is>
      </c>
      <c r="H635" s="54" t="n">
        <v>1845719</v>
      </c>
      <c r="I635" s="15" t="inlineStr">
        <is>
          <t>NO</t>
        </is>
      </c>
      <c r="J635" s="56" t="n">
        <v>286.88</v>
      </c>
      <c r="K635" s="57" t="n">
        <v>45413</v>
      </c>
      <c r="L635" s="19" t="n">
        <v>0</v>
      </c>
      <c r="M635" s="20" t="n">
        <v>286.88</v>
      </c>
      <c r="N635" s="21" t="n">
        <v>45348</v>
      </c>
      <c r="O635" s="22" t="inlineStr">
        <is>
          <t>, 1/15/2024, 286.88, 2/15/2024, 286.88, 5/1/2024, 286.88</t>
        </is>
      </c>
      <c r="P635" s="24" t="n"/>
    </row>
    <row r="636" ht="33" customHeight="1">
      <c r="A636" s="53" t="inlineStr">
        <is>
          <t>3403A33</t>
        </is>
      </c>
      <c r="B636" s="54" t="inlineStr">
        <is>
          <t>3403A33</t>
        </is>
      </c>
      <c r="C636" s="54" t="inlineStr">
        <is>
          <t>McMaster-Carr</t>
        </is>
      </c>
      <c r="D636" s="54" t="inlineStr">
        <is>
          <t>Twist-Lock L-Handle Retractable Spring Plunger 18-8 Stainless Steel, 1/2"-13 Thread, 1" Long Thread, without Thread Lock</t>
        </is>
      </c>
      <c r="E636" s="15" t="n">
        <v>1</v>
      </c>
      <c r="F636" s="17" t="inlineStr">
        <is>
          <t>each</t>
        </is>
      </c>
      <c r="G636" s="54" t="inlineStr">
        <is>
          <t>McMaster-Carr</t>
        </is>
      </c>
      <c r="H636" s="54" t="inlineStr">
        <is>
          <t>3403A33</t>
        </is>
      </c>
      <c r="I636" s="15" t="inlineStr">
        <is>
          <t>NO</t>
        </is>
      </c>
      <c r="J636" s="56" t="n">
        <v>19.82</v>
      </c>
      <c r="K636" s="57" t="n">
        <v>45348</v>
      </c>
      <c r="L636" s="19" t="n">
        <v>0</v>
      </c>
      <c r="M636" s="20" t="n">
        <v>19.82</v>
      </c>
      <c r="N636" s="21" t="n">
        <v>45306</v>
      </c>
      <c r="O636" s="22" t="inlineStr">
        <is>
          <t>, 1/15/2024, 19.82, 2/15/2024, 19.82</t>
        </is>
      </c>
      <c r="P636" s="24" t="n"/>
    </row>
    <row r="637" ht="33" customHeight="1">
      <c r="A637" s="53" t="inlineStr">
        <is>
          <t>6071K51</t>
        </is>
      </c>
      <c r="B637" s="54" t="inlineStr">
        <is>
          <t>6071K51</t>
        </is>
      </c>
      <c r="C637" s="54" t="inlineStr">
        <is>
          <t>McMaster-Carr</t>
        </is>
      </c>
      <c r="D637" s="54" t="inlineStr">
        <is>
          <t>Clevis Rod End
Corrosion-Resistant 316 Stainless Steel, 1/2"-20 Thread, 3" Shank Center Length</t>
        </is>
      </c>
      <c r="E637" s="15" t="n">
        <v>1</v>
      </c>
      <c r="F637" s="17" t="inlineStr">
        <is>
          <t>each</t>
        </is>
      </c>
      <c r="G637" s="54" t="inlineStr">
        <is>
          <t>McMaster-Carr</t>
        </is>
      </c>
      <c r="H637" s="54" t="inlineStr">
        <is>
          <t>6071K51</t>
        </is>
      </c>
      <c r="I637" s="15" t="inlineStr">
        <is>
          <t>NO</t>
        </is>
      </c>
      <c r="J637" s="56" t="n">
        <v>41.48</v>
      </c>
      <c r="K637" s="57" t="n">
        <v>45348</v>
      </c>
      <c r="L637" s="19" t="n">
        <v>0</v>
      </c>
      <c r="M637" s="20" t="n">
        <v>41.48</v>
      </c>
      <c r="N637" s="21" t="n">
        <v>45306</v>
      </c>
      <c r="O637" s="22" t="inlineStr">
        <is>
          <t>, 1/15/2024, 41.48, 2/15/2024, 41.48</t>
        </is>
      </c>
      <c r="P637" s="24" t="n"/>
    </row>
    <row r="638" ht="33" customHeight="1">
      <c r="A638" s="53" t="inlineStr">
        <is>
          <t>6462K18</t>
        </is>
      </c>
      <c r="B638" s="54" t="inlineStr">
        <is>
          <t>6462K18</t>
        </is>
      </c>
      <c r="C638" s="54" t="inlineStr">
        <is>
          <t>McMaster-Carr</t>
        </is>
      </c>
      <c r="D638" s="54" t="inlineStr">
        <is>
          <t>Set Screw Shaft Collar for 5/8" Diameter, 303 Stainless Steel</t>
        </is>
      </c>
      <c r="E638" s="15" t="n">
        <v>1</v>
      </c>
      <c r="F638" s="17" t="inlineStr">
        <is>
          <t>each</t>
        </is>
      </c>
      <c r="G638" s="54" t="inlineStr">
        <is>
          <t>McMaster-Carr</t>
        </is>
      </c>
      <c r="H638" s="54" t="inlineStr">
        <is>
          <t>6462K18</t>
        </is>
      </c>
      <c r="I638" s="15" t="inlineStr">
        <is>
          <t>NO</t>
        </is>
      </c>
      <c r="J638" s="56" t="n">
        <v>8.859999999999999</v>
      </c>
      <c r="K638" s="57" t="n">
        <v>45348</v>
      </c>
      <c r="L638" s="19" t="n">
        <v>0</v>
      </c>
      <c r="M638" s="20" t="n">
        <v>8.859999999999999</v>
      </c>
      <c r="N638" s="21" t="n">
        <v>45306</v>
      </c>
      <c r="O638" s="22" t="inlineStr">
        <is>
          <t>, 1/15/2024, 8.86, 2/15/2024, 8.86</t>
        </is>
      </c>
      <c r="P638" s="24" t="n"/>
    </row>
    <row r="639" ht="33" customHeight="1">
      <c r="A639" s="53" t="inlineStr">
        <is>
          <t>90166A111</t>
        </is>
      </c>
      <c r="B639" s="54" t="inlineStr">
        <is>
          <t>90166A111</t>
        </is>
      </c>
      <c r="C639" s="54" t="inlineStr">
        <is>
          <t>McMaster-Carr</t>
        </is>
      </c>
      <c r="D639" s="54" t="inlineStr">
        <is>
          <t>Stainless Steel Flanged Hex Head Screw 1/4"-20 Thread Size, 1/2" Long - Pack of 10</t>
        </is>
      </c>
      <c r="E639" s="15" t="n">
        <v>10</v>
      </c>
      <c r="F639" s="17" t="inlineStr">
        <is>
          <t>pack</t>
        </is>
      </c>
      <c r="G639" s="54" t="inlineStr">
        <is>
          <t>McMaster-Carr</t>
        </is>
      </c>
      <c r="H639" s="54" t="inlineStr">
        <is>
          <t>90166A111</t>
        </is>
      </c>
      <c r="I639" s="15" t="inlineStr">
        <is>
          <t>NO</t>
        </is>
      </c>
      <c r="J639" s="56" t="n">
        <v>8.51</v>
      </c>
      <c r="K639" s="57" t="n">
        <v>45463</v>
      </c>
      <c r="L639" s="19" t="n">
        <v>0</v>
      </c>
      <c r="M639" s="31" t="n">
        <v>8.51</v>
      </c>
      <c r="N639" s="21" t="n">
        <v>45463</v>
      </c>
      <c r="O639" s="22" t="inlineStr">
        <is>
          <t>, 1/15/2024, 8.51, 2/15/2024, 8.51, 2/26/2024, 8.51, 6/20/2024, 8.51</t>
        </is>
      </c>
      <c r="P639" s="24" t="n"/>
    </row>
    <row r="640" ht="33" customHeight="1">
      <c r="A640" s="53" t="inlineStr">
        <is>
          <t>90298A792</t>
        </is>
      </c>
      <c r="B640" s="54" t="inlineStr">
        <is>
          <t>90298A792</t>
        </is>
      </c>
      <c r="C640" s="54" t="inlineStr">
        <is>
          <t>McMaster-Carr</t>
        </is>
      </c>
      <c r="D640" s="54" t="inlineStr">
        <is>
          <t>PART NO LONGER PROVIDED - USE 90298A930 
18-8 Stainless Steel Shoulder Screw with Passivated Finish, 5/8" Shoulder Diameter, 3/4" Shoulder Length</t>
        </is>
      </c>
      <c r="E640" s="15" t="n">
        <v>1</v>
      </c>
      <c r="F640" s="17" t="inlineStr">
        <is>
          <t>each</t>
        </is>
      </c>
      <c r="G640" s="54" t="inlineStr">
        <is>
          <t>McMaster-Carr</t>
        </is>
      </c>
      <c r="H640" s="54" t="inlineStr">
        <is>
          <t>90298A792</t>
        </is>
      </c>
      <c r="I640" s="15" t="inlineStr">
        <is>
          <t>90298A930</t>
        </is>
      </c>
      <c r="J640" s="56" t="inlineStr">
        <is>
          <t>LEGACY</t>
        </is>
      </c>
      <c r="K640" s="57" t="n">
        <v>45446</v>
      </c>
      <c r="L640" s="19" t="n"/>
      <c r="M640" s="20" t="n">
        <v>20.79</v>
      </c>
      <c r="N640" s="21" t="n">
        <v>45306</v>
      </c>
      <c r="O640" s="22" t="n"/>
      <c r="P640" s="24" t="n"/>
    </row>
    <row r="641" ht="33" customHeight="1">
      <c r="A641" s="53" t="inlineStr">
        <is>
          <t>95304A327</t>
        </is>
      </c>
      <c r="B641" s="54" t="inlineStr">
        <is>
          <t>95304A327</t>
        </is>
      </c>
      <c r="C641" s="54" t="inlineStr">
        <is>
          <t>McMaster-Carr</t>
        </is>
      </c>
      <c r="D641" s="54" t="inlineStr">
        <is>
          <t>Mil. Spec. External Retaining Ring for 1-1/4" OD, 15-7 PH Stainless Steel</t>
        </is>
      </c>
      <c r="E641" s="15" t="n">
        <v>1</v>
      </c>
      <c r="F641" s="17" t="inlineStr">
        <is>
          <t>pack</t>
        </is>
      </c>
      <c r="G641" s="54" t="inlineStr">
        <is>
          <t>McMaster-Carr</t>
        </is>
      </c>
      <c r="H641" s="54" t="inlineStr">
        <is>
          <t>95304A327</t>
        </is>
      </c>
      <c r="I641" s="15" t="inlineStr">
        <is>
          <t>NO</t>
        </is>
      </c>
      <c r="J641" s="56" t="n">
        <v>3.91</v>
      </c>
      <c r="K641" s="57" t="n">
        <v>45348</v>
      </c>
      <c r="L641" s="19" t="n">
        <v>0</v>
      </c>
      <c r="M641" s="20" t="n">
        <v>3.91</v>
      </c>
      <c r="N641" s="21" t="n">
        <v>45306</v>
      </c>
      <c r="O641" s="22" t="inlineStr">
        <is>
          <t>, 1/15/2024, 3.91, 2/15/2024, 3.91</t>
        </is>
      </c>
      <c r="P641" s="24" t="n"/>
    </row>
    <row r="642" ht="33" customHeight="1">
      <c r="A642" s="53" t="inlineStr">
        <is>
          <t>1650A6</t>
        </is>
      </c>
      <c r="B642" s="54" t="inlineStr">
        <is>
          <t>1650A6</t>
        </is>
      </c>
      <c r="C642" s="54" t="inlineStr">
        <is>
          <t>McMaster-Carr</t>
        </is>
      </c>
      <c r="D642" s="54" t="inlineStr">
        <is>
          <t>304 Stainless Steel Weld-on Pull Handle 4-15/16" Wide</t>
        </is>
      </c>
      <c r="E642" s="15" t="n">
        <v>1</v>
      </c>
      <c r="F642" s="17" t="inlineStr">
        <is>
          <t>each</t>
        </is>
      </c>
      <c r="G642" s="54" t="inlineStr">
        <is>
          <t>McMaster-Carr</t>
        </is>
      </c>
      <c r="H642" s="54" t="inlineStr">
        <is>
          <t>1650A6</t>
        </is>
      </c>
      <c r="I642" s="15" t="inlineStr">
        <is>
          <t>NO</t>
        </is>
      </c>
      <c r="J642" s="56" t="n">
        <v>22.76</v>
      </c>
      <c r="K642" s="57" t="n">
        <v>45348</v>
      </c>
      <c r="L642" s="19" t="n">
        <v>0</v>
      </c>
      <c r="M642" s="20" t="n">
        <v>22.76</v>
      </c>
      <c r="N642" s="21" t="n">
        <v>45306</v>
      </c>
      <c r="O642" s="22" t="inlineStr">
        <is>
          <t>, 1/15/2024, 22.76, 2/15/2024, 22.76</t>
        </is>
      </c>
      <c r="P642" s="24" t="n"/>
    </row>
    <row r="643" ht="33" customHeight="1">
      <c r="A643" s="53" t="inlineStr">
        <is>
          <t>S3E1I6CVK5LS</t>
        </is>
      </c>
      <c r="B643" s="54" t="inlineStr">
        <is>
          <t>S3E1I6CVK5LS</t>
        </is>
      </c>
      <c r="C643" s="54" t="inlineStr">
        <is>
          <t>Intralox</t>
        </is>
      </c>
      <c r="D643" s="54" t="inlineStr">
        <is>
          <t>SERIES 1100 6.1" (32T) EZ TRACKING/EZ CLEAN GREY ACETAL SPROCKET WITH 1-1/4" ROUND BORE</t>
        </is>
      </c>
      <c r="E643" s="15" t="n"/>
      <c r="F643" s="17" t="n"/>
      <c r="G643" s="54" t="inlineStr">
        <is>
          <t>Intralox</t>
        </is>
      </c>
      <c r="H643" s="54" t="inlineStr">
        <is>
          <t>S3E1I6CVK5LS</t>
        </is>
      </c>
      <c r="I643" s="15" t="inlineStr">
        <is>
          <t>NO</t>
        </is>
      </c>
      <c r="J643" s="56" t="n">
        <v>36.04</v>
      </c>
      <c r="K643" s="57" t="n">
        <v>45306</v>
      </c>
      <c r="L643" s="19" t="n"/>
      <c r="M643" s="20" t="n"/>
      <c r="N643" s="21" t="n"/>
      <c r="O643" s="22" t="n"/>
      <c r="P643" s="24" t="n"/>
    </row>
    <row r="644" ht="33" customHeight="1">
      <c r="A644" s="53" t="n">
        <v>533240</v>
      </c>
      <c r="B644" s="54" t="inlineStr">
        <is>
          <t>QBL-1/4-3/8-U-M</t>
        </is>
      </c>
      <c r="C644" s="54" t="inlineStr">
        <is>
          <t>Festo</t>
        </is>
      </c>
      <c r="D644" s="54" t="inlineStr">
        <is>
          <t>Press to Connect Fitting, 90 degree, British 1/4 Thread X 3/8" Tube (Sold in Bags of 5, Priced Each)</t>
        </is>
      </c>
      <c r="E644" s="15" t="n">
        <v>5</v>
      </c>
      <c r="F644" s="17" t="inlineStr">
        <is>
          <t>pcs</t>
        </is>
      </c>
      <c r="G644" s="54" t="inlineStr">
        <is>
          <t>Festo</t>
        </is>
      </c>
      <c r="H644" s="54" t="n">
        <v>533240</v>
      </c>
      <c r="I644" s="15" t="inlineStr">
        <is>
          <t>NO</t>
        </is>
      </c>
      <c r="J644" s="56" t="n">
        <v>26.45</v>
      </c>
      <c r="K644" s="57" t="n">
        <v>45449</v>
      </c>
      <c r="L644" s="19" t="n">
        <v>4</v>
      </c>
      <c r="M644" s="31" t="n">
        <v>5.29</v>
      </c>
      <c r="N644" s="21" t="n">
        <v>45306</v>
      </c>
      <c r="O644" s="22" t="inlineStr">
        <is>
          <t>, 6/6/2024, 26.45</t>
        </is>
      </c>
      <c r="P644" s="24" t="n"/>
    </row>
    <row r="645" ht="33" customHeight="1">
      <c r="A645" s="53" t="n">
        <v>531030</v>
      </c>
      <c r="B645" s="54" t="inlineStr">
        <is>
          <t>MSB6-1/2:C4:V5-WPB</t>
        </is>
      </c>
      <c r="C645" s="54" t="inlineStr">
        <is>
          <t>Festo</t>
        </is>
      </c>
      <c r="D645" s="54" t="inlineStr">
        <is>
          <t>Air Preperation Combination Unit - CAT-3 SAFETY CLASS</t>
        </is>
      </c>
      <c r="E645" s="15" t="n"/>
      <c r="F645" s="17" t="n"/>
      <c r="G645" s="54" t="inlineStr">
        <is>
          <t>Festo</t>
        </is>
      </c>
      <c r="H645" s="54" t="n">
        <v>531030</v>
      </c>
      <c r="I645" s="15" t="inlineStr">
        <is>
          <t>NO</t>
        </is>
      </c>
      <c r="J645" s="56" t="n">
        <v>1407.16</v>
      </c>
      <c r="K645" s="57" t="n">
        <v>45306</v>
      </c>
      <c r="L645" s="19" t="n"/>
      <c r="M645" s="20" t="n"/>
      <c r="N645" s="21" t="n"/>
      <c r="O645" s="22" t="n"/>
      <c r="P645" s="24" t="n"/>
    </row>
    <row r="646" ht="33" customHeight="1">
      <c r="A646" s="65" t="n">
        <v>575509</v>
      </c>
      <c r="B646" s="54" t="inlineStr">
        <is>
          <t>VUVS-L25-M52-MD-G14-F8</t>
        </is>
      </c>
      <c r="C646" s="54" t="inlineStr">
        <is>
          <t>Festo</t>
        </is>
      </c>
      <c r="D646" s="54" t="inlineStr">
        <is>
          <t>Pneumatic Valve, VUVS Size 25, G1/4 Ports, 5/2-way monostable, Spring Return, Internal Pilot
(Coil Not Included - Purchase 8030802 Separately)</t>
        </is>
      </c>
      <c r="E646" s="15" t="n"/>
      <c r="F646" s="17" t="n"/>
      <c r="G646" s="54" t="inlineStr">
        <is>
          <t>Festo</t>
        </is>
      </c>
      <c r="H646" s="54" t="n">
        <v>575509</v>
      </c>
      <c r="I646" s="15" t="inlineStr">
        <is>
          <t>NO</t>
        </is>
      </c>
      <c r="J646" s="56" t="n">
        <v>57.08</v>
      </c>
      <c r="K646" s="57" t="n">
        <v>45306</v>
      </c>
      <c r="L646" s="19" t="n"/>
      <c r="M646" s="20" t="n"/>
      <c r="N646" s="21" t="n"/>
      <c r="O646" s="22" t="n"/>
      <c r="P646" s="24" t="n"/>
    </row>
    <row r="647" ht="33" customHeight="1">
      <c r="A647" s="65" t="n">
        <v>575510</v>
      </c>
      <c r="B647" s="54" t="inlineStr">
        <is>
          <t>VUVS-L25-M52-MZD-G14-F8</t>
        </is>
      </c>
      <c r="C647" s="54" t="inlineStr">
        <is>
          <t>Festo</t>
        </is>
      </c>
      <c r="D647" s="54" t="inlineStr">
        <is>
          <t>Pneumatic Valve, VUVS Size 25, G1/4 Ports, 5/2-way monostable, Spring Return, EXTERNAL Pilot
(Coil Not Included - Purchase 8030802 Separately)</t>
        </is>
      </c>
      <c r="E647" s="15" t="n"/>
      <c r="F647" s="17" t="n"/>
      <c r="G647" s="54" t="inlineStr">
        <is>
          <t>Festo</t>
        </is>
      </c>
      <c r="H647" s="54" t="n">
        <v>575510</v>
      </c>
      <c r="I647" s="15" t="inlineStr">
        <is>
          <t>NO</t>
        </is>
      </c>
      <c r="J647" s="56" t="n">
        <v>57.08</v>
      </c>
      <c r="K647" s="57" t="n">
        <v>45306</v>
      </c>
      <c r="L647" s="19" t="n"/>
      <c r="M647" s="20" t="n"/>
      <c r="N647" s="21" t="n"/>
      <c r="O647" s="22" t="n"/>
      <c r="P647" s="24" t="n"/>
    </row>
    <row r="648" ht="33" customHeight="1">
      <c r="A648" s="53" t="n">
        <v>576053</v>
      </c>
      <c r="B648" s="54" t="inlineStr">
        <is>
          <t>QBLL-1/4-3/8-U-M</t>
        </is>
      </c>
      <c r="C648" s="54" t="inlineStr">
        <is>
          <t>Festo</t>
        </is>
      </c>
      <c r="D648" s="54" t="inlineStr">
        <is>
          <t xml:space="preserve">Press to Connect Fitting - Extended Length, 90 degree, British 1/4 Thread X 3/8" Tube (Sold in Bags of 10, Priced Each) </t>
        </is>
      </c>
      <c r="E648" s="15" t="n"/>
      <c r="F648" s="17" t="n"/>
      <c r="G648" s="54" t="inlineStr">
        <is>
          <t>Festo</t>
        </is>
      </c>
      <c r="H648" s="54" t="n">
        <v>576053</v>
      </c>
      <c r="I648" s="15" t="inlineStr">
        <is>
          <t>NO</t>
        </is>
      </c>
      <c r="J648" s="56" t="n">
        <v>8.4</v>
      </c>
      <c r="K648" s="57" t="n">
        <v>45306</v>
      </c>
      <c r="L648" s="19" t="n"/>
      <c r="M648" s="20" t="n"/>
      <c r="N648" s="21" t="n"/>
      <c r="O648" s="22" t="n"/>
      <c r="P648" s="24" t="n"/>
    </row>
    <row r="649" ht="33" customHeight="1">
      <c r="A649" s="53" t="n">
        <v>8026245</v>
      </c>
      <c r="B649" s="54" t="inlineStr">
        <is>
          <t>VABM-B10-25E-G12-4</t>
        </is>
      </c>
      <c r="C649" s="54" t="inlineStr">
        <is>
          <t>Festo</t>
        </is>
      </c>
      <c r="D649" s="54" t="inlineStr">
        <is>
          <t>Connection Block Manifold for VUVS Size 25 Valves, G1/2 Ports, 4-Positions</t>
        </is>
      </c>
      <c r="E649" s="15" t="n"/>
      <c r="F649" s="17" t="n"/>
      <c r="G649" s="54" t="inlineStr">
        <is>
          <t>Festo</t>
        </is>
      </c>
      <c r="H649" s="54" t="n">
        <v>8026245</v>
      </c>
      <c r="I649" s="15" t="inlineStr">
        <is>
          <t>NO</t>
        </is>
      </c>
      <c r="J649" s="56" t="n">
        <v>73.14</v>
      </c>
      <c r="K649" s="57" t="n">
        <v>45306</v>
      </c>
      <c r="L649" s="19" t="n"/>
      <c r="M649" s="20" t="n"/>
      <c r="N649" s="21" t="n"/>
      <c r="O649" s="22" t="n"/>
      <c r="P649" s="24" t="n"/>
    </row>
    <row r="650" ht="33" customHeight="1">
      <c r="A650" s="53" t="inlineStr">
        <is>
          <t>A3EXXX1D5IMT</t>
        </is>
      </c>
      <c r="B650" s="54" t="inlineStr">
        <is>
          <t>A3EXXX1D5IMT</t>
        </is>
      </c>
      <c r="C650" s="54" t="inlineStr">
        <is>
          <t>Intralox</t>
        </is>
      </c>
      <c r="D650" s="54" t="inlineStr">
        <is>
          <t>1.5" STAINLESS STEEL HEAVY DUTY SPLIT RETAINER RING FOR 1.5" SQUARE SHAFT</t>
        </is>
      </c>
      <c r="E650" s="15" t="n"/>
      <c r="F650" s="17" t="n"/>
      <c r="G650" s="54" t="inlineStr">
        <is>
          <t>Intralox</t>
        </is>
      </c>
      <c r="H650" s="54" t="inlineStr">
        <is>
          <t>A3EXXX1D5IMT</t>
        </is>
      </c>
      <c r="I650" s="15" t="inlineStr">
        <is>
          <t>NO</t>
        </is>
      </c>
      <c r="J650" s="56" t="n">
        <v>17.47</v>
      </c>
      <c r="K650" s="57" t="n">
        <v>45306</v>
      </c>
      <c r="L650" s="19" t="n"/>
      <c r="M650" s="20" t="n"/>
      <c r="N650" s="21" t="n"/>
      <c r="O650" s="22" t="n"/>
      <c r="P650" s="24" t="n"/>
    </row>
    <row r="651" ht="33" customHeight="1">
      <c r="A651" s="53" t="inlineStr">
        <is>
          <t>LR-ZB240CB</t>
        </is>
      </c>
      <c r="B651" s="54" t="inlineStr">
        <is>
          <t>LR-ZB240CB</t>
        </is>
      </c>
      <c r="C651" s="54" t="inlineStr">
        <is>
          <t>Keyence</t>
        </is>
      </c>
      <c r="D651" s="54" t="inlineStr">
        <is>
          <t>Distance Based Laser Sensor, Bipolar (NPN+PNP), M12 4-Pin Screw Connection, Sensing Range = 0.98" - 9.45", IP69K / NEMA 4X, M18 Threaded Mounting - 10/05/23</t>
        </is>
      </c>
      <c r="E651" s="15" t="n"/>
      <c r="F651" s="17" t="n"/>
      <c r="G651" s="54" t="inlineStr">
        <is>
          <t>Keyence</t>
        </is>
      </c>
      <c r="H651" s="54" t="inlineStr">
        <is>
          <t>LR-ZB240CB</t>
        </is>
      </c>
      <c r="I651" s="15" t="inlineStr">
        <is>
          <t>NO</t>
        </is>
      </c>
      <c r="J651" s="56" t="n">
        <v>250</v>
      </c>
      <c r="K651" s="57" t="n">
        <v>45204</v>
      </c>
      <c r="L651" s="19" t="n"/>
      <c r="M651" s="20" t="n"/>
      <c r="N651" s="21" t="n"/>
      <c r="O651" s="22" t="n"/>
      <c r="P651" s="24" t="n"/>
    </row>
    <row r="652" ht="33" customHeight="1">
      <c r="A652" s="53" t="inlineStr">
        <is>
          <t>2369A44</t>
        </is>
      </c>
      <c r="B652" s="54" t="inlineStr">
        <is>
          <t>2369A44</t>
        </is>
      </c>
      <c r="C652" s="54" t="inlineStr">
        <is>
          <t>McMaster-Carr</t>
        </is>
      </c>
      <c r="D652" s="54" t="inlineStr">
        <is>
          <t>Stainless Steel Retractable Spring Plunger with Plastic Nose with Knurled Knob, 
1/2"-13 Thread, 2.5-10 lb. Nose Force 
WITHOUT THREAD LOCKER ELEMENT</t>
        </is>
      </c>
      <c r="E652" s="15" t="n"/>
      <c r="F652" s="17" t="inlineStr">
        <is>
          <t>Each</t>
        </is>
      </c>
      <c r="G652" s="54" t="inlineStr">
        <is>
          <t>McMaster-Carr</t>
        </is>
      </c>
      <c r="H652" s="54" t="inlineStr">
        <is>
          <t>2369A44</t>
        </is>
      </c>
      <c r="I652" s="15" t="inlineStr">
        <is>
          <t>NO</t>
        </is>
      </c>
      <c r="J652" s="56" t="n">
        <v>31.84</v>
      </c>
      <c r="K652" s="57" t="n">
        <v>45348</v>
      </c>
      <c r="L652" s="19" t="n">
        <v>0</v>
      </c>
      <c r="M652" s="20" t="n">
        <v>31.84</v>
      </c>
      <c r="N652" s="21" t="n">
        <v>45204</v>
      </c>
      <c r="O652" s="22" t="inlineStr">
        <is>
          <t>, 10/5/2023, 31.84, 2/15/2024, 31.84</t>
        </is>
      </c>
      <c r="P652" s="24" t="n"/>
    </row>
    <row r="653" ht="33" customHeight="1">
      <c r="A653" s="53" t="inlineStr">
        <is>
          <t>2469K18</t>
        </is>
      </c>
      <c r="B653" s="54" t="inlineStr">
        <is>
          <t>2469K18</t>
        </is>
      </c>
      <c r="C653" s="54" t="inlineStr">
        <is>
          <t>McMaster-Carr</t>
        </is>
      </c>
      <c r="D653" s="54" t="inlineStr">
        <is>
          <t>Clamping Shaft Coupling, 303 Stainless Steel, for 12mm x 12mm Diameter Round Shaft - 10/05/23</t>
        </is>
      </c>
      <c r="E653" s="15" t="n"/>
      <c r="F653" s="17" t="inlineStr">
        <is>
          <t>Each</t>
        </is>
      </c>
      <c r="G653" s="54" t="inlineStr">
        <is>
          <t>McMaster-Carr</t>
        </is>
      </c>
      <c r="H653" s="54" t="inlineStr">
        <is>
          <t>2469K18</t>
        </is>
      </c>
      <c r="I653" s="15" t="inlineStr">
        <is>
          <t>NO</t>
        </is>
      </c>
      <c r="J653" s="56" t="n">
        <v>99.97</v>
      </c>
      <c r="K653" s="57" t="n">
        <v>45348</v>
      </c>
      <c r="L653" s="19" t="n">
        <v>0</v>
      </c>
      <c r="M653" s="20" t="n">
        <v>99.97</v>
      </c>
      <c r="N653" s="21" t="n">
        <v>45306</v>
      </c>
      <c r="O653" s="22" t="inlineStr">
        <is>
          <t>, 1/15/2024, 99.97, 2/15/2024, 99.97</t>
        </is>
      </c>
      <c r="P653" s="24" t="n"/>
    </row>
    <row r="654" ht="33" customHeight="1">
      <c r="A654" s="53" t="inlineStr">
        <is>
          <t>7909N28</t>
        </is>
      </c>
      <c r="B654" s="54" t="inlineStr">
        <is>
          <t>7909N28</t>
        </is>
      </c>
      <c r="C654" s="54" t="inlineStr">
        <is>
          <t>McMaster-Carr</t>
        </is>
      </c>
      <c r="D654" s="54" t="inlineStr">
        <is>
          <t>Food Industry M12 Screw-Together Connector, 90 Degree Elbow Socket, 4 Poles, IP69 / NEMA 4X, 16.5 Feet Long Cable - 10/05/23</t>
        </is>
      </c>
      <c r="E654" s="15" t="n"/>
      <c r="F654" s="17" t="inlineStr">
        <is>
          <t>Each</t>
        </is>
      </c>
      <c r="G654" s="54" t="inlineStr">
        <is>
          <t>McMaster-Carr</t>
        </is>
      </c>
      <c r="H654" s="54" t="inlineStr">
        <is>
          <t>7909N28</t>
        </is>
      </c>
      <c r="I654" s="15" t="inlineStr">
        <is>
          <t>NO</t>
        </is>
      </c>
      <c r="J654" s="56" t="n">
        <v>29.3</v>
      </c>
      <c r="K654" s="57" t="n">
        <v>45348</v>
      </c>
      <c r="L654" s="19" t="n">
        <v>0</v>
      </c>
      <c r="M654" s="20" t="n">
        <v>29.3</v>
      </c>
      <c r="N654" s="21" t="n">
        <v>45204</v>
      </c>
      <c r="O654" s="22" t="inlineStr">
        <is>
          <t>, 10/5/2023, 29.3, 2/15/2024, 29.3</t>
        </is>
      </c>
      <c r="P654" s="24" t="n"/>
    </row>
    <row r="655" ht="33" customHeight="1">
      <c r="A655" s="53" t="inlineStr">
        <is>
          <t>4402K54</t>
        </is>
      </c>
      <c r="B655" s="54" t="inlineStr">
        <is>
          <t>4402K54</t>
        </is>
      </c>
      <c r="C655" s="54" t="inlineStr">
        <is>
          <t>McMaster-Carr</t>
        </is>
      </c>
      <c r="D655" s="54" t="inlineStr">
        <is>
          <t>Corrosion-Resistant Muffler 1/2 NPT Male 304 Stainless Steel Fitting</t>
        </is>
      </c>
      <c r="E655" s="15" t="n">
        <v>1</v>
      </c>
      <c r="F655" s="17" t="inlineStr">
        <is>
          <t>Each</t>
        </is>
      </c>
      <c r="G655" s="54" t="inlineStr">
        <is>
          <t>McMaster-Carr</t>
        </is>
      </c>
      <c r="H655" s="54" t="inlineStr">
        <is>
          <t>4402K54</t>
        </is>
      </c>
      <c r="I655" s="15" t="inlineStr">
        <is>
          <t>NO</t>
        </is>
      </c>
      <c r="J655" s="56" t="n">
        <v>27.93</v>
      </c>
      <c r="K655" s="57" t="n">
        <v>45456</v>
      </c>
      <c r="L655" s="19" t="n">
        <v>0</v>
      </c>
      <c r="M655" s="31" t="n">
        <v>27.93</v>
      </c>
      <c r="N655" s="21" t="n">
        <v>45348</v>
      </c>
      <c r="O655" s="22" t="inlineStr">
        <is>
          <t>, 1/15/2024, 27.93, 2/15/2024, 27.93, 6/13/2024, 27.93</t>
        </is>
      </c>
      <c r="P655" s="24" t="n"/>
    </row>
    <row r="656" ht="33" customHeight="1">
      <c r="A656" s="53" t="inlineStr">
        <is>
          <t>4464K263</t>
        </is>
      </c>
      <c r="B656" s="54" t="inlineStr">
        <is>
          <t>4464K263</t>
        </is>
      </c>
      <c r="C656" s="54" t="inlineStr">
        <is>
          <t>McMaster-Carr</t>
        </is>
      </c>
      <c r="D656" s="54" t="inlineStr">
        <is>
          <t>304 Stainless Steel Threaded Pipe Fitting, Low-Pressure, Bushing Adapter, 3/8 Male x 1/4 Female</t>
        </is>
      </c>
      <c r="E656" s="15" t="n"/>
      <c r="F656" s="17" t="inlineStr">
        <is>
          <t>Each</t>
        </is>
      </c>
      <c r="G656" s="54" t="inlineStr">
        <is>
          <t>McMaster-Carr</t>
        </is>
      </c>
      <c r="H656" s="54" t="inlineStr">
        <is>
          <t>4464K263</t>
        </is>
      </c>
      <c r="I656" s="15" t="inlineStr">
        <is>
          <t>NO</t>
        </is>
      </c>
      <c r="J656" s="56" t="n">
        <v>3.75</v>
      </c>
      <c r="K656" s="57" t="n">
        <v>45348</v>
      </c>
      <c r="L656" s="19" t="n">
        <v>0</v>
      </c>
      <c r="M656" s="20" t="n">
        <v>3.75</v>
      </c>
      <c r="N656" s="21" t="n">
        <v>45306</v>
      </c>
      <c r="O656" s="22" t="inlineStr">
        <is>
          <t>, 1/15/2024, 3.75, 2/15/2024, 3.75</t>
        </is>
      </c>
      <c r="P656" s="24" t="n"/>
    </row>
    <row r="657" ht="33" customHeight="1">
      <c r="A657" s="53" t="inlineStr">
        <is>
          <t>5203K924</t>
        </is>
      </c>
      <c r="B657" s="54" t="inlineStr">
        <is>
          <t>5203K924</t>
        </is>
      </c>
      <c r="C657" s="54" t="inlineStr">
        <is>
          <t>McMaster-Carr</t>
        </is>
      </c>
      <c r="D657" s="54" t="inlineStr">
        <is>
          <t>Push-to-Connect Tube Fitting for Air and Water, Nickel Plated Braas, 2 Outlet Manifold, 1/4 NPT Male x 3/8" Tube OD</t>
        </is>
      </c>
      <c r="E657" s="15" t="n"/>
      <c r="F657" s="17" t="inlineStr">
        <is>
          <t>Each</t>
        </is>
      </c>
      <c r="G657" s="54" t="inlineStr">
        <is>
          <t>McMaster-Carr</t>
        </is>
      </c>
      <c r="H657" s="54" t="inlineStr">
        <is>
          <t>5203K924</t>
        </is>
      </c>
      <c r="I657" s="15" t="inlineStr">
        <is>
          <t>NO</t>
        </is>
      </c>
      <c r="J657" s="56" t="n">
        <v>13.61</v>
      </c>
      <c r="K657" s="57" t="n">
        <v>45348</v>
      </c>
      <c r="L657" s="19" t="n">
        <v>0</v>
      </c>
      <c r="M657" s="20" t="n">
        <v>13.61</v>
      </c>
      <c r="N657" s="21" t="n">
        <v>45306</v>
      </c>
      <c r="O657" s="22" t="inlineStr">
        <is>
          <t>, 1/15/2024, 13.61, 2/15/2024, 13.61</t>
        </is>
      </c>
      <c r="P657" s="24" t="n"/>
    </row>
    <row r="658" ht="33" customHeight="1">
      <c r="A658" s="53" t="inlineStr">
        <is>
          <t>5203K948</t>
        </is>
      </c>
      <c r="B658" s="54" t="inlineStr">
        <is>
          <t>5203K948</t>
        </is>
      </c>
      <c r="C658" s="54" t="inlineStr">
        <is>
          <t>McMaster-Carr</t>
        </is>
      </c>
      <c r="D658" s="54" t="inlineStr">
        <is>
          <t>Push-to-Connect Tube Fitting for Air and Water, Nickel Plated Braas, 4 Outlet Manifold, 1/2 NPT Male x 3/8" Tube OD</t>
        </is>
      </c>
      <c r="E658" s="15" t="n"/>
      <c r="F658" s="17" t="inlineStr">
        <is>
          <t>Each</t>
        </is>
      </c>
      <c r="G658" s="54" t="inlineStr">
        <is>
          <t>McMaster-Carr</t>
        </is>
      </c>
      <c r="H658" s="54" t="inlineStr">
        <is>
          <t>5203K948</t>
        </is>
      </c>
      <c r="I658" s="15" t="inlineStr">
        <is>
          <t>NO</t>
        </is>
      </c>
      <c r="J658" s="56" t="n">
        <v>18.18</v>
      </c>
      <c r="K658" s="57" t="n">
        <v>45348</v>
      </c>
      <c r="L658" s="19" t="n">
        <v>0</v>
      </c>
      <c r="M658" s="20" t="n">
        <v>18.18</v>
      </c>
      <c r="N658" s="21" t="n">
        <v>45306</v>
      </c>
      <c r="O658" s="22" t="inlineStr">
        <is>
          <t>, 1/15/2024, 18.18, 2/15/2024, 18.18</t>
        </is>
      </c>
      <c r="P658" s="24" t="n"/>
    </row>
    <row r="659" ht="33" customHeight="1">
      <c r="A659" s="53" t="inlineStr">
        <is>
          <t>5779K24</t>
        </is>
      </c>
      <c r="B659" s="54" t="inlineStr">
        <is>
          <t>5779K24</t>
        </is>
      </c>
      <c r="C659" s="54" t="inlineStr">
        <is>
          <t>McMaster-Carr</t>
        </is>
      </c>
      <c r="D659" s="54" t="inlineStr">
        <is>
          <t>Push-to-Connect Tube Fitting for Air, 90 Degree Elbow Connector, for 1/4" Tube OD Both Ends</t>
        </is>
      </c>
      <c r="E659" s="15" t="n">
        <v>1</v>
      </c>
      <c r="F659" s="17" t="inlineStr">
        <is>
          <t>Each</t>
        </is>
      </c>
      <c r="G659" s="54" t="inlineStr">
        <is>
          <t>McMaster-Carr</t>
        </is>
      </c>
      <c r="H659" s="54" t="inlineStr">
        <is>
          <t>5779K24</t>
        </is>
      </c>
      <c r="I659" s="15" t="inlineStr">
        <is>
          <t>NO</t>
        </is>
      </c>
      <c r="J659" s="56" t="n">
        <v>5.17</v>
      </c>
      <c r="K659" s="57" t="n">
        <v>45456</v>
      </c>
      <c r="L659" s="19" t="n">
        <v>0</v>
      </c>
      <c r="M659" s="20" t="n">
        <v>5.17</v>
      </c>
      <c r="N659" s="21" t="n">
        <v>45209</v>
      </c>
      <c r="O659" s="22" t="inlineStr">
        <is>
          <t>, 10/10/2023, 5.17, 2/15/2024, 5.17, 2/26/2024, 5.17</t>
        </is>
      </c>
      <c r="P659" s="24" t="n"/>
    </row>
    <row r="660" ht="33" customHeight="1">
      <c r="A660" s="53" t="inlineStr">
        <is>
          <t>6092K54</t>
        </is>
      </c>
      <c r="B660" s="54" t="inlineStr">
        <is>
          <t>6092K54</t>
        </is>
      </c>
      <c r="C660" s="54" t="inlineStr">
        <is>
          <t>McMaster-Carr</t>
        </is>
      </c>
      <c r="D660" s="54" t="inlineStr">
        <is>
          <t>Nylon Seven Arm Knob, 3/8"-16 Thread x 11/16" Long Stainless Steel Stud</t>
        </is>
      </c>
      <c r="E660" s="15" t="n">
        <v>1</v>
      </c>
      <c r="F660" s="17" t="inlineStr">
        <is>
          <t>Each</t>
        </is>
      </c>
      <c r="G660" s="54" t="inlineStr">
        <is>
          <t>McMaster-Carr</t>
        </is>
      </c>
      <c r="H660" s="54" t="inlineStr">
        <is>
          <t>6092K54</t>
        </is>
      </c>
      <c r="I660" s="15" t="inlineStr">
        <is>
          <t>NO</t>
        </is>
      </c>
      <c r="J660" s="56" t="n">
        <v>8</v>
      </c>
      <c r="K660" s="57" t="n">
        <v>45463</v>
      </c>
      <c r="L660" s="19" t="n">
        <v>0</v>
      </c>
      <c r="M660" s="31" t="n">
        <v>8</v>
      </c>
      <c r="N660" s="21" t="n">
        <v>45348</v>
      </c>
      <c r="O660" s="22" t="inlineStr">
        <is>
          <t>, 1/15/2024, 8, 2/19/2024, 8, 6/20/2024, 8</t>
        </is>
      </c>
      <c r="P660" s="24" t="n"/>
    </row>
    <row r="661" ht="33" customHeight="1">
      <c r="A661" s="53" t="inlineStr">
        <is>
          <t>6255K22</t>
        </is>
      </c>
      <c r="B661" s="54" t="inlineStr">
        <is>
          <t>6255K22</t>
        </is>
      </c>
      <c r="C661" s="54" t="inlineStr">
        <is>
          <t>McMaster-Carr</t>
        </is>
      </c>
      <c r="D661" s="54" t="inlineStr">
        <is>
          <t>High-Load Mounted Linear Ball Bearing, For 1-1/4" Dia. Shaft, 0.5 Degree Misalignment Capability, 7-1/2" Overall Length, 6061 Aluminum Housing, Acetal Bearing Body, Steel Balls</t>
        </is>
      </c>
      <c r="E661" s="15" t="n">
        <v>1</v>
      </c>
      <c r="F661" s="17" t="inlineStr">
        <is>
          <t>Each</t>
        </is>
      </c>
      <c r="G661" s="54" t="inlineStr">
        <is>
          <t>McMaster-Carr</t>
        </is>
      </c>
      <c r="H661" s="54" t="inlineStr">
        <is>
          <t>6255K22</t>
        </is>
      </c>
      <c r="I661" s="15" t="inlineStr">
        <is>
          <t>NO</t>
        </is>
      </c>
      <c r="J661" s="56" t="n">
        <v>654.38</v>
      </c>
      <c r="K661" s="57" t="n">
        <v>45456</v>
      </c>
      <c r="L661" s="19" t="n">
        <v>0.235005473143849</v>
      </c>
      <c r="M661" s="31" t="n">
        <v>654.38</v>
      </c>
      <c r="N661" s="21" t="n">
        <v>45456</v>
      </c>
      <c r="O661" s="22" t="inlineStr">
        <is>
          <t>, 1/15/2024, 529.86, 2/15/2024, 529.86, 2/26/2024, 529.86, 6/13/2024, 654.38</t>
        </is>
      </c>
      <c r="P661" s="24" t="n"/>
    </row>
    <row r="662" ht="33" customHeight="1">
      <c r="A662" s="53" t="inlineStr">
        <is>
          <t>9553K4</t>
        </is>
      </c>
      <c r="B662" s="54" t="inlineStr">
        <is>
          <t>9553K4</t>
        </is>
      </c>
      <c r="C662" s="54" t="inlineStr">
        <is>
          <t>McMaster-Carr</t>
        </is>
      </c>
      <c r="D662" s="54" t="inlineStr">
        <is>
          <t>Corrosion-Resistant Self-Adjusting Shock Absorber, 650 in.-lbs. Energy Capacity</t>
        </is>
      </c>
      <c r="E662" s="15" t="n"/>
      <c r="F662" s="17" t="inlineStr">
        <is>
          <t>Each</t>
        </is>
      </c>
      <c r="G662" s="54" t="inlineStr">
        <is>
          <t>McMaster-Carr</t>
        </is>
      </c>
      <c r="H662" s="54" t="inlineStr">
        <is>
          <t>9553K4</t>
        </is>
      </c>
      <c r="I662" s="15" t="inlineStr">
        <is>
          <t>NO</t>
        </is>
      </c>
      <c r="J662" s="56" t="n">
        <v>442.31</v>
      </c>
      <c r="K662" s="57" t="n">
        <v>45413</v>
      </c>
      <c r="L662" s="19" t="n">
        <v>0</v>
      </c>
      <c r="M662" s="20" t="n">
        <v>442.31</v>
      </c>
      <c r="N662" s="21" t="n">
        <v>45348</v>
      </c>
      <c r="O662" s="22" t="inlineStr">
        <is>
          <t>, 1/15/2024, 428.85, 2/15/2024, 442.31, 5/1/2024, 442.31</t>
        </is>
      </c>
      <c r="P662" s="24" t="n"/>
    </row>
    <row r="663" ht="33" customHeight="1">
      <c r="A663" s="53" t="inlineStr">
        <is>
          <t>9600K86</t>
        </is>
      </c>
      <c r="B663" s="54" t="inlineStr">
        <is>
          <t>9600K86</t>
        </is>
      </c>
      <c r="C663" s="54" t="inlineStr">
        <is>
          <t>McMaster-Carr</t>
        </is>
      </c>
      <c r="D663" s="54" t="inlineStr">
        <is>
          <t xml:space="preserve">SBR Rubber Grommet for 9/16" Hole Diameter and 1/8" Material Thickness, 7/16" ID (Pack of 10) </t>
        </is>
      </c>
      <c r="E663" s="15" t="n">
        <v>10</v>
      </c>
      <c r="F663" s="17" t="inlineStr">
        <is>
          <t>pack</t>
        </is>
      </c>
      <c r="G663" s="54" t="inlineStr">
        <is>
          <t>McMaster-Carr</t>
        </is>
      </c>
      <c r="H663" s="54" t="inlineStr">
        <is>
          <t>9600K86</t>
        </is>
      </c>
      <c r="I663" s="15" t="inlineStr">
        <is>
          <t>NO</t>
        </is>
      </c>
      <c r="J663" s="56" t="n">
        <v>15.37</v>
      </c>
      <c r="K663" s="57" t="n">
        <v>45348</v>
      </c>
      <c r="L663" s="19" t="n">
        <v>0</v>
      </c>
      <c r="M663" s="20" t="n">
        <v>15.37</v>
      </c>
      <c r="N663" s="21" t="n">
        <v>45306</v>
      </c>
      <c r="O663" s="22" t="inlineStr">
        <is>
          <t>, 1/15/2024, 15.37, 2/15/2024, 15.37</t>
        </is>
      </c>
      <c r="P663" s="24" t="n"/>
    </row>
    <row r="664" ht="33" customHeight="1">
      <c r="A664" s="53" t="inlineStr">
        <is>
          <t>61005K499</t>
        </is>
      </c>
      <c r="B664" s="54" t="inlineStr">
        <is>
          <t>61005K499</t>
        </is>
      </c>
      <c r="C664" s="54" t="inlineStr">
        <is>
          <t>McMaster-Carr</t>
        </is>
      </c>
      <c r="D664" s="54" t="inlineStr">
        <is>
          <t>Clamping Shaft Coupling 303 Stainless Steel, for 1-1/4" x 1-1/4" Diameter Round Shaft</t>
        </is>
      </c>
      <c r="E664" s="15" t="n"/>
      <c r="F664" s="17" t="inlineStr">
        <is>
          <t>Each</t>
        </is>
      </c>
      <c r="G664" s="54" t="inlineStr">
        <is>
          <t>McMaster-Carr</t>
        </is>
      </c>
      <c r="H664" s="54" t="inlineStr">
        <is>
          <t>61005K499</t>
        </is>
      </c>
      <c r="I664" s="15" t="inlineStr">
        <is>
          <t>NO</t>
        </is>
      </c>
      <c r="J664" s="56" t="n">
        <v>246.14</v>
      </c>
      <c r="K664" s="57" t="n">
        <v>45348</v>
      </c>
      <c r="L664" s="19" t="n">
        <v>0</v>
      </c>
      <c r="M664" s="20" t="n">
        <v>246.14</v>
      </c>
      <c r="N664" s="21" t="n">
        <v>45306</v>
      </c>
      <c r="O664" s="22" t="inlineStr">
        <is>
          <t>, 1/15/2024, 246.14, 2/15/2024, 246.14</t>
        </is>
      </c>
      <c r="P664" s="24" t="n"/>
    </row>
    <row r="665" ht="33" customHeight="1">
      <c r="A665" s="53" t="inlineStr">
        <is>
          <t>75505K11</t>
        </is>
      </c>
      <c r="B665" s="54" t="inlineStr">
        <is>
          <t>75505K11</t>
        </is>
      </c>
      <c r="C665" s="54" t="inlineStr">
        <is>
          <t>McMaster-Carr</t>
        </is>
      </c>
      <c r="D665" s="54" t="inlineStr">
        <is>
          <t xml:space="preserve">Stainless Steel Corrosion-Resistant Washdown Enclosure with Hinged Cover and Screw-Down Clamps, 6" x 6" x 4" </t>
        </is>
      </c>
      <c r="E665" s="15" t="n"/>
      <c r="F665" s="17" t="inlineStr">
        <is>
          <t>Each</t>
        </is>
      </c>
      <c r="G665" s="54" t="inlineStr">
        <is>
          <t>McMaster-Carr</t>
        </is>
      </c>
      <c r="H665" s="54" t="inlineStr">
        <is>
          <t>75505K11</t>
        </is>
      </c>
      <c r="I665" s="15" t="inlineStr">
        <is>
          <t>NO</t>
        </is>
      </c>
      <c r="J665" s="56" t="n">
        <v>300.35</v>
      </c>
      <c r="K665" s="57" t="n">
        <v>45348</v>
      </c>
      <c r="L665" s="19" t="n">
        <v>0</v>
      </c>
      <c r="M665" s="20" t="n">
        <v>300.35</v>
      </c>
      <c r="N665" s="21" t="n">
        <v>45306</v>
      </c>
      <c r="O665" s="22" t="inlineStr">
        <is>
          <t>, 1/15/2024, 300.35, 2/15/2024, 300.35</t>
        </is>
      </c>
      <c r="P665" s="24" t="n"/>
    </row>
    <row r="666" ht="33" customHeight="1">
      <c r="A666" s="53" t="inlineStr">
        <is>
          <t>90298A615</t>
        </is>
      </c>
      <c r="B666" s="54" t="inlineStr">
        <is>
          <t>90298A615</t>
        </is>
      </c>
      <c r="C666" s="54" t="inlineStr">
        <is>
          <t>McMaster-Carr</t>
        </is>
      </c>
      <c r="D666" s="54" t="inlineStr">
        <is>
          <t xml:space="preserve">18-8 Stainless Steel Shoulder Screw with Passivated Finish, 3/8" Shoulder Diameter, 1/4" Shoulder Length </t>
        </is>
      </c>
      <c r="E666" s="15" t="n"/>
      <c r="F666" s="17" t="inlineStr">
        <is>
          <t>Each</t>
        </is>
      </c>
      <c r="G666" s="54" t="inlineStr">
        <is>
          <t>McMaster-Carr</t>
        </is>
      </c>
      <c r="H666" s="54" t="inlineStr">
        <is>
          <t>90298A615</t>
        </is>
      </c>
      <c r="I666" s="15" t="inlineStr">
        <is>
          <t>NO</t>
        </is>
      </c>
      <c r="J666" s="56" t="n">
        <v>5.62</v>
      </c>
      <c r="K666" s="57" t="n">
        <v>45348</v>
      </c>
      <c r="L666" s="19" t="n">
        <v>0</v>
      </c>
      <c r="M666" s="20" t="n">
        <v>5.62</v>
      </c>
      <c r="N666" s="21" t="n">
        <v>45306</v>
      </c>
      <c r="O666" s="22" t="inlineStr">
        <is>
          <t>, 1/15/2024, 5.62, 2/19/2024, 5.62</t>
        </is>
      </c>
      <c r="P666" s="24" t="n"/>
    </row>
    <row r="667" ht="33" customHeight="1">
      <c r="A667" s="53" t="inlineStr">
        <is>
          <t>91195A112</t>
        </is>
      </c>
      <c r="B667" s="54" t="inlineStr">
        <is>
          <t>91195A112</t>
        </is>
      </c>
      <c r="C667" s="54" t="inlineStr">
        <is>
          <t>McMaster-Carr</t>
        </is>
      </c>
      <c r="D667" s="54" t="inlineStr">
        <is>
          <t>Pressure-Rated Metal-Bonded Sealing Washer for 3/8" Screw Size, 0.385" ID, 1" OD</t>
        </is>
      </c>
      <c r="E667" s="15" t="n"/>
      <c r="F667" s="17" t="inlineStr">
        <is>
          <t>Each</t>
        </is>
      </c>
      <c r="G667" s="54" t="inlineStr">
        <is>
          <t>McMaster-Carr</t>
        </is>
      </c>
      <c r="H667" s="54" t="inlineStr">
        <is>
          <t>91195A112</t>
        </is>
      </c>
      <c r="I667" s="15" t="inlineStr">
        <is>
          <t>NO</t>
        </is>
      </c>
      <c r="J667" s="56" t="n">
        <v>3.3</v>
      </c>
      <c r="K667" s="57" t="n">
        <v>45348</v>
      </c>
      <c r="L667" s="19" t="n">
        <v>0</v>
      </c>
      <c r="M667" s="20" t="n">
        <v>3.3</v>
      </c>
      <c r="N667" s="21" t="n">
        <v>45337</v>
      </c>
      <c r="O667" s="22" t="inlineStr">
        <is>
          <t>, 1/15/2024, 3.84, 2/15/2024, 3.3</t>
        </is>
      </c>
      <c r="P667" s="24" t="n"/>
    </row>
    <row r="668" ht="33" customHeight="1">
      <c r="A668" s="53" t="inlineStr">
        <is>
          <t>92673A331</t>
        </is>
      </c>
      <c r="B668" s="54" t="inlineStr">
        <is>
          <t>92673A331</t>
        </is>
      </c>
      <c r="C668" s="54" t="inlineStr">
        <is>
          <t>McMaster-Carr</t>
        </is>
      </c>
      <c r="D668" s="54" t="inlineStr">
        <is>
          <t>18-8 Stainless Steel Hex Nut, 1"-12 Thread Size, ASTM F594</t>
        </is>
      </c>
      <c r="E668" s="15" t="n">
        <v>1</v>
      </c>
      <c r="F668" s="17" t="inlineStr">
        <is>
          <t>pack</t>
        </is>
      </c>
      <c r="G668" s="54" t="inlineStr">
        <is>
          <t>McMaster-Carr</t>
        </is>
      </c>
      <c r="H668" s="54" t="inlineStr">
        <is>
          <t>92673A331</t>
        </is>
      </c>
      <c r="I668" s="15" t="inlineStr">
        <is>
          <t>NO</t>
        </is>
      </c>
      <c r="J668" s="56" t="n">
        <v>2.36</v>
      </c>
      <c r="K668" s="57" t="n">
        <v>45348</v>
      </c>
      <c r="L668" s="19" t="n">
        <v>0</v>
      </c>
      <c r="M668" s="20" t="n">
        <v>2.36</v>
      </c>
      <c r="N668" s="21" t="n">
        <v>45306</v>
      </c>
      <c r="O668" s="22" t="inlineStr">
        <is>
          <t>, 1/15/2024, 2.36, 2/15/2024, 2.36</t>
        </is>
      </c>
      <c r="P668" s="24" t="n"/>
    </row>
    <row r="669" ht="33" customHeight="1">
      <c r="A669" s="53" t="inlineStr">
        <is>
          <t>95412A425</t>
        </is>
      </c>
      <c r="B669" s="54" t="inlineStr">
        <is>
          <t>95412A425</t>
        </is>
      </c>
      <c r="C669" s="54" t="inlineStr">
        <is>
          <t>McMaster-Carr</t>
        </is>
      </c>
      <c r="D669" s="54" t="inlineStr">
        <is>
          <t xml:space="preserve">18-8 Stainless Steel Threaded Rod, 8-32 Thread Size, 1/2" Long (Pack of 50) </t>
        </is>
      </c>
      <c r="E669" s="15" t="n">
        <v>50</v>
      </c>
      <c r="F669" s="17" t="inlineStr">
        <is>
          <t>pack</t>
        </is>
      </c>
      <c r="G669" s="54" t="inlineStr">
        <is>
          <t>McMaster-Carr</t>
        </is>
      </c>
      <c r="H669" s="54" t="inlineStr">
        <is>
          <t>95412A425</t>
        </is>
      </c>
      <c r="I669" s="15" t="inlineStr">
        <is>
          <t>NO</t>
        </is>
      </c>
      <c r="J669" s="56" t="n">
        <v>12.5</v>
      </c>
      <c r="K669" s="57" t="n">
        <v>45348</v>
      </c>
      <c r="L669" s="19" t="n">
        <v>0</v>
      </c>
      <c r="M669" s="20" t="n">
        <v>12.5</v>
      </c>
      <c r="N669" s="21" t="n">
        <v>45306</v>
      </c>
      <c r="O669" s="22" t="inlineStr">
        <is>
          <t>, 1/15/2024, 12.5, 2/15/2024, 12.5</t>
        </is>
      </c>
      <c r="P669" s="24" t="n"/>
    </row>
    <row r="670" ht="33" customHeight="1">
      <c r="A670" s="53" t="inlineStr">
        <is>
          <t>95412A893</t>
        </is>
      </c>
      <c r="B670" s="54" t="inlineStr">
        <is>
          <t>95412A893</t>
        </is>
      </c>
      <c r="C670" s="54" t="inlineStr">
        <is>
          <t>McMaster-Carr</t>
        </is>
      </c>
      <c r="D670" s="54" t="inlineStr">
        <is>
          <t xml:space="preserve">18-8 Stainless Steel Threaded Rod, 10-32 Thread Size, 3/4" Long (Pack of 25) </t>
        </is>
      </c>
      <c r="E670" s="15" t="n">
        <v>25</v>
      </c>
      <c r="F670" s="17" t="inlineStr">
        <is>
          <t>pack</t>
        </is>
      </c>
      <c r="G670" s="54" t="inlineStr">
        <is>
          <t>McMaster-Carr</t>
        </is>
      </c>
      <c r="H670" s="54" t="inlineStr">
        <is>
          <t>95412A893</t>
        </is>
      </c>
      <c r="I670" s="15" t="inlineStr">
        <is>
          <t>NO</t>
        </is>
      </c>
      <c r="J670" s="56" t="n">
        <v>11.6</v>
      </c>
      <c r="K670" s="57" t="n">
        <v>45348</v>
      </c>
      <c r="L670" s="19" t="n">
        <v>0</v>
      </c>
      <c r="M670" s="20" t="n">
        <v>11.6</v>
      </c>
      <c r="N670" s="21" t="n">
        <v>45204</v>
      </c>
      <c r="O670" s="22" t="inlineStr">
        <is>
          <t>, 10/5/2023, 11.6, 2/15/2024, 11.6</t>
        </is>
      </c>
      <c r="P670" s="24" t="n"/>
    </row>
    <row r="671" ht="33" customHeight="1">
      <c r="A671" s="53" t="inlineStr">
        <is>
          <t>S20D14.001X1FFC1MPNS</t>
        </is>
      </c>
      <c r="B671" s="54" t="inlineStr">
        <is>
          <t>S20D14.001X1FFC1MPNS</t>
        </is>
      </c>
      <c r="C671" s="54" t="inlineStr">
        <is>
          <t>Pneumatic Cylinders &amp; Couplers</t>
        </is>
      </c>
      <c r="D671" s="54" t="inlineStr">
        <is>
          <t>2" Bore x 14" Stroke, Stainless Pneumatic Cylinder
5/8" Diameter Piston Rod, 1/2-20 Male Rod Thread
Special MX1 Extended Tie Rods Both Ends Mnt
BB = 1/2" (No Front Plate w/ Hex Nuts)
Fixed Cushions Both Ends
3/8" NPT Ports Both Ends Pos #1
Magnetic Piston (Req's 8x CFN5/16-24AS Acorn Nuts per Cylinder)
OUTDATED PART - REPLACE W/ SC-002534-1/4 (SWAPS 3/8 PORTS FOR 1/4)</t>
        </is>
      </c>
      <c r="E671" s="15" t="n">
        <v>1</v>
      </c>
      <c r="F671" s="17" t="inlineStr">
        <is>
          <t>each</t>
        </is>
      </c>
      <c r="G671" s="54" t="inlineStr">
        <is>
          <t>BRAAS</t>
        </is>
      </c>
      <c r="H671" s="54" t="inlineStr">
        <is>
          <t>SC-002534</t>
        </is>
      </c>
      <c r="I671" s="15" t="inlineStr">
        <is>
          <t>NO</t>
        </is>
      </c>
      <c r="J671" s="56" t="inlineStr">
        <is>
          <t>OUTADED
PART
USE
S20D14.001X1FFC1MPNS</t>
        </is>
      </c>
      <c r="K671" s="57" t="n">
        <v>45205</v>
      </c>
      <c r="L671" s="19" t="n"/>
      <c r="M671" s="20" t="n"/>
      <c r="N671" s="21" t="n"/>
      <c r="O671" s="22" t="n"/>
      <c r="P671" s="24" t="n"/>
    </row>
    <row r="672" ht="33" customHeight="1">
      <c r="A672" s="53" t="inlineStr">
        <is>
          <t>CFN5/16-24AS</t>
        </is>
      </c>
      <c r="B672" s="54" t="inlineStr">
        <is>
          <t>CFN5/16-24AS</t>
        </is>
      </c>
      <c r="C672" s="54" t="inlineStr">
        <is>
          <t>Pneumatic Cylinders &amp; Couplers</t>
        </is>
      </c>
      <c r="D672" s="54" t="inlineStr">
        <is>
          <t>5/16-24 Stainless Acorn Nuts
(8x req'd for each cylinder)</t>
        </is>
      </c>
      <c r="E672" s="15" t="n">
        <v>1</v>
      </c>
      <c r="F672" s="17" t="inlineStr">
        <is>
          <t>each</t>
        </is>
      </c>
      <c r="G672" s="54" t="inlineStr">
        <is>
          <t>BRAAS</t>
        </is>
      </c>
      <c r="H672" s="54" t="inlineStr">
        <is>
          <t>CFN5/16-24AS</t>
        </is>
      </c>
      <c r="I672" s="15" t="inlineStr">
        <is>
          <t>NO</t>
        </is>
      </c>
      <c r="J672" s="56" t="n">
        <v>2.82</v>
      </c>
      <c r="K672" s="57" t="n">
        <v>45294</v>
      </c>
      <c r="L672" s="19" t="n"/>
      <c r="M672" s="20" t="n"/>
      <c r="N672" s="21" t="n"/>
      <c r="O672" s="22" t="n"/>
      <c r="P672" s="24" t="n"/>
    </row>
    <row r="673" ht="33" customHeight="1">
      <c r="A673" s="53" t="inlineStr">
        <is>
          <t>SSBF020</t>
        </is>
      </c>
      <c r="B673" s="54" t="inlineStr">
        <is>
          <t>SSBF020</t>
        </is>
      </c>
      <c r="C673" s="54" t="inlineStr">
        <is>
          <t>Rainpal</t>
        </is>
      </c>
      <c r="D673" s="54" t="inlineStr">
        <is>
          <t>Stainless Steel 304 Bulkhead Tank Fitting (Double Female 1/2” NPT and Male 3/4" NH Garden Hose Threaded) 1 each</t>
        </is>
      </c>
      <c r="E673" s="15" t="n">
        <v>1</v>
      </c>
      <c r="F673" s="17" t="inlineStr">
        <is>
          <t>each</t>
        </is>
      </c>
      <c r="G673" s="54" t="inlineStr">
        <is>
          <t>Amazon.com</t>
        </is>
      </c>
      <c r="H673" s="54" t="inlineStr">
        <is>
          <t>SSBF020</t>
        </is>
      </c>
      <c r="I673" s="15" t="inlineStr">
        <is>
          <t>NO</t>
        </is>
      </c>
      <c r="J673" s="56" t="n">
        <v>9.949999999999999</v>
      </c>
      <c r="K673" s="57" t="n">
        <v>45457</v>
      </c>
      <c r="L673" s="19" t="n"/>
      <c r="M673" s="20" t="n"/>
      <c r="N673" s="21" t="n"/>
      <c r="O673" s="22" t="n"/>
      <c r="P673" s="24" t="n"/>
    </row>
    <row r="674" ht="33" customHeight="1">
      <c r="A674" s="53" t="inlineStr">
        <is>
          <t>KSS202WG0280MS2R050</t>
        </is>
      </c>
      <c r="B674" s="54" t="inlineStr">
        <is>
          <t>KSS202WG0280MS2R050</t>
        </is>
      </c>
      <c r="C674" s="54" t="inlineStr">
        <is>
          <t>Stober Drives</t>
        </is>
      </c>
      <c r="D674" s="54" t="inlineStr">
        <is>
          <t>KSS2 SS Gear Reducer, 27.95:1 Ratio, 1.81HP Max, 56C Face, For
Wobble Free Bushing, Side 1/2/5/6/ Mounting Position (EL1256)</t>
        </is>
      </c>
      <c r="E674" s="15" t="n">
        <v>1</v>
      </c>
      <c r="F674" s="17" t="inlineStr">
        <is>
          <t>each</t>
        </is>
      </c>
      <c r="G674" s="54" t="inlineStr">
        <is>
          <t>Stober Drives</t>
        </is>
      </c>
      <c r="H674" s="54" t="inlineStr">
        <is>
          <t>KSS202WG0280MS2R050</t>
        </is>
      </c>
      <c r="I674" s="15" t="inlineStr">
        <is>
          <t>NO</t>
        </is>
      </c>
      <c r="J674" s="56" t="n">
        <v>3113.4</v>
      </c>
      <c r="K674" s="57" t="n">
        <v>45209</v>
      </c>
      <c r="L674" s="19" t="n"/>
      <c r="M674" s="20" t="n"/>
      <c r="N674" s="21" t="n"/>
      <c r="O674" s="22" t="n"/>
      <c r="P674" s="24" t="n"/>
    </row>
    <row r="675" ht="33" customHeight="1">
      <c r="A675" s="53" t="inlineStr">
        <is>
          <t>KSS202WG0350MS2R</t>
        </is>
      </c>
      <c r="B675" s="54" t="inlineStr">
        <is>
          <t>KSS202WG0350MS2R</t>
        </is>
      </c>
      <c r="C675" s="54" t="inlineStr">
        <is>
          <t>Stober Drives</t>
        </is>
      </c>
      <c r="D675" s="54" t="inlineStr">
        <is>
          <t>KSS2 SS Gear Reducer, 34.55:1 Ratio, 100mm Diameter Bolt Circle
for VPH-100 Servo Motor, For Wobble Free Bushing, Side 1/2/5/6/
Mounting Position (EL1256)</t>
        </is>
      </c>
      <c r="E675" s="15" t="n">
        <v>1</v>
      </c>
      <c r="F675" s="17" t="inlineStr">
        <is>
          <t>each</t>
        </is>
      </c>
      <c r="G675" s="54" t="inlineStr">
        <is>
          <t>Stober Drives</t>
        </is>
      </c>
      <c r="H675" s="54" t="inlineStr">
        <is>
          <t>KSS202WG0350MS2R</t>
        </is>
      </c>
      <c r="I675" s="15" t="inlineStr">
        <is>
          <t>NO</t>
        </is>
      </c>
      <c r="J675" s="56" t="n">
        <v>3117.52</v>
      </c>
      <c r="K675" s="57" t="n">
        <v>45210</v>
      </c>
      <c r="L675" s="19" t="n"/>
      <c r="M675" s="20" t="n"/>
      <c r="N675" s="21" t="n"/>
      <c r="O675" s="22" t="n"/>
      <c r="P675" s="24" t="n"/>
    </row>
    <row r="676" ht="33" customHeight="1">
      <c r="A676" s="53" t="inlineStr">
        <is>
          <t>KSS302WG0060MS3R180</t>
        </is>
      </c>
      <c r="B676" s="54" t="inlineStr">
        <is>
          <t>KSS302WG0060MS3R180</t>
        </is>
      </c>
      <c r="C676" s="54" t="inlineStr">
        <is>
          <t>Stober Drives</t>
        </is>
      </c>
      <c r="D676" s="54" t="inlineStr">
        <is>
          <t>KSS3 SS Gear Reducer, 6:1 Ratio, 9.36HP Max, 182/184TC Face,
For Wobble Free Bushing, Side 1/2/5/6/ Mounting Position (EL1256)</t>
        </is>
      </c>
      <c r="E676" s="15" t="n">
        <v>1</v>
      </c>
      <c r="F676" s="17" t="inlineStr">
        <is>
          <t>each</t>
        </is>
      </c>
      <c r="G676" s="54" t="inlineStr">
        <is>
          <t>Stober Drives</t>
        </is>
      </c>
      <c r="H676" s="54" t="inlineStr">
        <is>
          <t>KSS302WG0060MS3R180</t>
        </is>
      </c>
      <c r="I676" s="15" t="inlineStr">
        <is>
          <t>NO</t>
        </is>
      </c>
      <c r="J676" s="56" t="n">
        <v>3577.8</v>
      </c>
      <c r="K676" s="57" t="n">
        <v>45209</v>
      </c>
      <c r="L676" s="19" t="n"/>
      <c r="M676" s="20" t="n"/>
      <c r="N676" s="21" t="n"/>
      <c r="O676" s="22" t="n"/>
      <c r="P676" s="24" t="n"/>
    </row>
    <row r="677" ht="33" customHeight="1">
      <c r="A677" s="53" t="inlineStr">
        <is>
          <t>WFBSS2-104</t>
        </is>
      </c>
      <c r="B677" s="54" t="inlineStr">
        <is>
          <t>WFBSS2-104</t>
        </is>
      </c>
      <c r="C677" s="54" t="inlineStr">
        <is>
          <t>Stober Drives</t>
        </is>
      </c>
      <c r="D677" s="54" t="inlineStr">
        <is>
          <t xml:space="preserve">WFBSS2-104 BEVERAGE DUTY 1 1/4" W/DRAIN </t>
        </is>
      </c>
      <c r="E677" s="15" t="n">
        <v>1</v>
      </c>
      <c r="F677" s="17" t="inlineStr">
        <is>
          <t>each</t>
        </is>
      </c>
      <c r="G677" s="54" t="inlineStr">
        <is>
          <t>Stober Drives</t>
        </is>
      </c>
      <c r="H677" s="54" t="inlineStr">
        <is>
          <t>WFBSS2-104</t>
        </is>
      </c>
      <c r="I677" s="15" t="inlineStr">
        <is>
          <t>NO</t>
        </is>
      </c>
      <c r="J677" s="56" t="n">
        <v>192</v>
      </c>
      <c r="K677" s="57" t="n">
        <v>45295</v>
      </c>
      <c r="L677" s="19" t="n"/>
      <c r="M677" s="20" t="n"/>
      <c r="N677" s="21" t="n"/>
      <c r="O677" s="22" t="n"/>
      <c r="P677" s="24" t="n"/>
    </row>
    <row r="678" ht="33" customHeight="1">
      <c r="A678" s="53" t="inlineStr">
        <is>
          <t>WFBSS3-104</t>
        </is>
      </c>
      <c r="B678" s="54" t="inlineStr">
        <is>
          <t>WFBSS3-104</t>
        </is>
      </c>
      <c r="C678" s="54" t="inlineStr">
        <is>
          <t>Stober Drives</t>
        </is>
      </c>
      <c r="D678" s="54" t="inlineStr">
        <is>
          <t>WFBSS3-104 BEVERAGE DUTY 1 1/4" W/DRAIN</t>
        </is>
      </c>
      <c r="E678" s="15" t="n">
        <v>1</v>
      </c>
      <c r="F678" s="17" t="inlineStr">
        <is>
          <t>each</t>
        </is>
      </c>
      <c r="G678" s="54" t="inlineStr">
        <is>
          <t>Stober Drives</t>
        </is>
      </c>
      <c r="H678" s="54" t="inlineStr">
        <is>
          <t>WFBSS3-104</t>
        </is>
      </c>
      <c r="I678" s="15" t="inlineStr">
        <is>
          <t>NO</t>
        </is>
      </c>
      <c r="J678" s="56" t="n">
        <v>213.6</v>
      </c>
      <c r="K678" s="57" t="n">
        <v>45295</v>
      </c>
      <c r="L678" s="19" t="n"/>
      <c r="M678" s="20" t="n"/>
      <c r="N678" s="21" t="n"/>
      <c r="O678" s="22" t="n"/>
      <c r="P678" s="24" t="n"/>
    </row>
    <row r="679" ht="33" customHeight="1">
      <c r="A679" s="65" t="inlineStr">
        <is>
          <t>6610 04-02</t>
        </is>
      </c>
      <c r="B679" s="54" t="inlineStr">
        <is>
          <t>6610 04-02</t>
        </is>
      </c>
      <c r="C679" s="54" t="inlineStr">
        <is>
          <t>Camozzi</t>
        </is>
      </c>
      <c r="D679" s="54" t="inlineStr">
        <is>
          <t>Stud Banjo, 1/4" Tubing Push-to-Connect, For 1/8" Stud Size (Stud Sold Seperately), Nickel Plated Brass</t>
        </is>
      </c>
      <c r="E679" s="15" t="n">
        <v>1</v>
      </c>
      <c r="F679" s="17" t="inlineStr">
        <is>
          <t>each</t>
        </is>
      </c>
      <c r="G679" s="54" t="inlineStr">
        <is>
          <t>Scott Equipment</t>
        </is>
      </c>
      <c r="H679" s="54" t="inlineStr">
        <is>
          <t>6610 04-02</t>
        </is>
      </c>
      <c r="I679" s="15" t="inlineStr">
        <is>
          <t>NO</t>
        </is>
      </c>
      <c r="J679" s="56" t="n">
        <v>3.59</v>
      </c>
      <c r="K679" s="57" t="n">
        <v>45307</v>
      </c>
      <c r="L679" s="19" t="n"/>
      <c r="M679" s="20" t="n"/>
      <c r="N679" s="21" t="n"/>
      <c r="O679" s="22" t="n"/>
      <c r="P679" s="24" t="n"/>
    </row>
    <row r="680" ht="33" customHeight="1">
      <c r="A680" s="65" t="inlineStr">
        <is>
          <t>SCU 604-1/8</t>
        </is>
      </c>
      <c r="B680" s="54" t="inlineStr">
        <is>
          <t>SCU 604-1/8</t>
        </is>
      </c>
      <c r="C680" s="54" t="inlineStr">
        <is>
          <t>Camozzi</t>
        </is>
      </c>
      <c r="D680" s="54" t="inlineStr">
        <is>
          <t>Flow Control Stud, Meter-Out, G1/8 Male Thread, 1/8" Stud Size (Banjo Sold Seperately), Nickel Plated Brass</t>
        </is>
      </c>
      <c r="E680" s="15" t="n">
        <v>1</v>
      </c>
      <c r="F680" s="17" t="inlineStr">
        <is>
          <t>each</t>
        </is>
      </c>
      <c r="G680" s="54" t="inlineStr">
        <is>
          <t>Scott Equipment</t>
        </is>
      </c>
      <c r="H680" s="54" t="inlineStr">
        <is>
          <t>SCU 604-1/8</t>
        </is>
      </c>
      <c r="I680" s="15" t="inlineStr">
        <is>
          <t>NO</t>
        </is>
      </c>
      <c r="J680" s="56" t="n">
        <v>10.06</v>
      </c>
      <c r="K680" s="57" t="n">
        <v>45307</v>
      </c>
      <c r="L680" s="19" t="n"/>
      <c r="M680" s="20" t="n"/>
      <c r="N680" s="21" t="n"/>
      <c r="O680" s="22" t="n"/>
      <c r="P680" s="24" t="n"/>
    </row>
    <row r="681" ht="33" customHeight="1">
      <c r="A681" s="53" t="inlineStr">
        <is>
          <t>3350A13</t>
        </is>
      </c>
      <c r="B681" s="54" t="inlineStr">
        <is>
          <t>3350A13</t>
        </is>
      </c>
      <c r="C681" s="54" t="inlineStr">
        <is>
          <t>McMaster-Carr</t>
        </is>
      </c>
      <c r="D681" s="54" t="inlineStr">
        <is>
          <t>Stainless Steel Retractable Spring Plunger with Plastic Knob with Lock Nose, 1/2"-13 Thread, .5-1.8 lb. Nose Force
WITHOUT THREAD LOCKER</t>
        </is>
      </c>
      <c r="E681" s="15" t="n">
        <v>1</v>
      </c>
      <c r="F681" s="17" t="inlineStr">
        <is>
          <t>each</t>
        </is>
      </c>
      <c r="G681" s="54" t="inlineStr">
        <is>
          <t>McMaster-Carr</t>
        </is>
      </c>
      <c r="H681" s="54" t="inlineStr">
        <is>
          <t>3350A13</t>
        </is>
      </c>
      <c r="I681" s="15" t="inlineStr">
        <is>
          <t>NO</t>
        </is>
      </c>
      <c r="J681" s="56" t="n">
        <v>32.49</v>
      </c>
      <c r="K681" s="57" t="n">
        <v>45348</v>
      </c>
      <c r="L681" s="19" t="n">
        <v>0</v>
      </c>
      <c r="M681" s="20" t="n">
        <v>32.49</v>
      </c>
      <c r="N681" s="21" t="n">
        <v>45306</v>
      </c>
      <c r="O681" s="22" t="inlineStr">
        <is>
          <t>, 1/15/2024, 32.49, 2/15/2024, 32.49</t>
        </is>
      </c>
      <c r="P681" s="24" t="n"/>
    </row>
    <row r="682" ht="33" customHeight="1">
      <c r="A682" s="53" t="inlineStr">
        <is>
          <t>3796K21</t>
        </is>
      </c>
      <c r="B682" s="54" t="inlineStr">
        <is>
          <t>3796K21</t>
        </is>
      </c>
      <c r="C682" s="54" t="inlineStr">
        <is>
          <t>McMaster-Carr</t>
        </is>
      </c>
      <c r="D682" s="54" t="inlineStr">
        <is>
          <t xml:space="preserve"> Corrosion-Resistant Flat-Shoulder Rod End Bolt 1/2"-13 Shank Thread, 3-1/8" Shank Center Length</t>
        </is>
      </c>
      <c r="E682" s="15" t="n">
        <v>1</v>
      </c>
      <c r="F682" s="17" t="inlineStr">
        <is>
          <t>each</t>
        </is>
      </c>
      <c r="G682" s="54" t="inlineStr">
        <is>
          <t>McMaster-Carr</t>
        </is>
      </c>
      <c r="H682" s="54" t="inlineStr">
        <is>
          <t>3796K21</t>
        </is>
      </c>
      <c r="I682" s="15" t="inlineStr">
        <is>
          <t>NO</t>
        </is>
      </c>
      <c r="J682" s="56" t="n">
        <v>39.88</v>
      </c>
      <c r="K682" s="57" t="n">
        <v>45348</v>
      </c>
      <c r="L682" s="19" t="n">
        <v>0</v>
      </c>
      <c r="M682" s="20" t="n">
        <v>39.88</v>
      </c>
      <c r="N682" s="21" t="n">
        <v>45306</v>
      </c>
      <c r="O682" s="22" t="inlineStr">
        <is>
          <t>, 1/15/2024, 39.88, 2/15/2024, 39.88</t>
        </is>
      </c>
      <c r="P682" s="24" t="n"/>
    </row>
    <row r="683" ht="33" customHeight="1">
      <c r="A683" s="65" t="inlineStr">
        <is>
          <t>5891T212</t>
        </is>
      </c>
      <c r="B683" s="54" t="inlineStr">
        <is>
          <t>5891T212</t>
        </is>
      </c>
      <c r="C683" s="54" t="inlineStr">
        <is>
          <t>McMaster-Carr</t>
        </is>
      </c>
      <c r="D683" s="54" t="inlineStr">
        <is>
          <t>DANGER Decal: "Do not operate without guards in place." w/ Hand Crush in Gear Image
English/Spanish, 3.5" High x 2.5" Wide (Pack of 5)</t>
        </is>
      </c>
      <c r="E683" s="15" t="n">
        <v>5</v>
      </c>
      <c r="F683" s="17" t="inlineStr">
        <is>
          <t>pack</t>
        </is>
      </c>
      <c r="G683" s="54" t="inlineStr">
        <is>
          <t>McMaster-Carr</t>
        </is>
      </c>
      <c r="H683" s="54" t="inlineStr">
        <is>
          <t>5891T212</t>
        </is>
      </c>
      <c r="I683" s="15" t="inlineStr">
        <is>
          <t>NO</t>
        </is>
      </c>
      <c r="J683" s="56" t="n">
        <v>10.5</v>
      </c>
      <c r="K683" s="57" t="inlineStr">
        <is>
          <t>10/14/2025</t>
        </is>
      </c>
      <c r="L683" s="19" t="n">
        <v>0</v>
      </c>
      <c r="M683" s="20" t="n">
        <v>10.5</v>
      </c>
      <c r="N683" s="21" t="inlineStr">
        <is>
          <t>01/15/2024</t>
        </is>
      </c>
      <c r="O683" s="22" t="inlineStr">
        <is>
          <t>, 1/15/2024, 10.5, 2/15/2024, 10.5</t>
        </is>
      </c>
      <c r="P683" s="24" t="n"/>
    </row>
    <row r="684" ht="33" customHeight="1">
      <c r="A684" s="65" t="inlineStr">
        <is>
          <t>7967T72</t>
        </is>
      </c>
      <c r="B684" s="54" t="inlineStr">
        <is>
          <t>7967T72</t>
        </is>
      </c>
      <c r="C684" s="54" t="inlineStr">
        <is>
          <t>McMaster-Carr</t>
        </is>
      </c>
      <c r="D684" s="54" t="inlineStr">
        <is>
          <t>DANGER Decal: "Do not operate without guards in place." w/ Hand Crush in Gear Image
English/Spanish, 5" High x 3.5" Wide (Pack of 5)</t>
        </is>
      </c>
      <c r="E684" s="15" t="n">
        <v>5</v>
      </c>
      <c r="F684" s="17" t="inlineStr">
        <is>
          <t>pack</t>
        </is>
      </c>
      <c r="G684" s="54" t="inlineStr">
        <is>
          <t>McMaster-Carr</t>
        </is>
      </c>
      <c r="H684" s="54" t="inlineStr">
        <is>
          <t>7967T72</t>
        </is>
      </c>
      <c r="I684" s="15" t="inlineStr">
        <is>
          <t>NO</t>
        </is>
      </c>
      <c r="J684" s="56" t="n">
        <v>11.8</v>
      </c>
      <c r="K684" s="57" t="inlineStr">
        <is>
          <t>10/14/2025</t>
        </is>
      </c>
      <c r="L684" s="19" t="n">
        <v>0</v>
      </c>
      <c r="M684" s="20" t="n">
        <v>11.8</v>
      </c>
      <c r="N684" s="21" t="inlineStr">
        <is>
          <t>01/15/2024</t>
        </is>
      </c>
      <c r="O684" s="22" t="inlineStr">
        <is>
          <t>, 1/15/2024, 11.8, 2/15/2024, 11.8</t>
        </is>
      </c>
      <c r="P684" s="24" t="n"/>
    </row>
    <row r="685" ht="33" customHeight="1">
      <c r="A685" s="65" t="inlineStr">
        <is>
          <t>7967T92</t>
        </is>
      </c>
      <c r="B685" s="54" t="inlineStr">
        <is>
          <t>7967T92</t>
        </is>
      </c>
      <c r="C685" s="54" t="inlineStr">
        <is>
          <t>McMaster-Carr</t>
        </is>
      </c>
      <c r="D685" s="54" t="inlineStr">
        <is>
          <t>DANGER Decal: "KEEP HANDS CLEAR" w/ Finger Cut Image
English/Spanish, 5" High x 3.5" Wide (Pack of 5)</t>
        </is>
      </c>
      <c r="E685" s="15" t="n">
        <v>5</v>
      </c>
      <c r="F685" s="17" t="inlineStr">
        <is>
          <t>pack</t>
        </is>
      </c>
      <c r="G685" s="54" t="inlineStr">
        <is>
          <t>McMaster-Carr</t>
        </is>
      </c>
      <c r="H685" s="54" t="inlineStr">
        <is>
          <t>7967T92</t>
        </is>
      </c>
      <c r="I685" s="15" t="inlineStr">
        <is>
          <t>NO</t>
        </is>
      </c>
      <c r="J685" s="56" t="n">
        <v>14.93</v>
      </c>
      <c r="K685" s="57" t="inlineStr">
        <is>
          <t>10/14/2025</t>
        </is>
      </c>
      <c r="L685" s="19" t="n">
        <v>-12.69</v>
      </c>
      <c r="M685" s="20" t="n">
        <v>17.1</v>
      </c>
      <c r="N685" s="21" t="inlineStr">
        <is>
          <t>02/26/2024</t>
        </is>
      </c>
      <c r="O685" s="22" t="inlineStr">
        <is>
          <t>, 1/15/2024, 16.15, 2/15/2024, 17.1, Date: 02/26/2024 Price: 17.1</t>
        </is>
      </c>
      <c r="P685" s="24" t="n"/>
    </row>
    <row r="686" ht="33" customHeight="1">
      <c r="A686" s="65" t="inlineStr">
        <is>
          <t>8558K4</t>
        </is>
      </c>
      <c r="B686" s="54" t="inlineStr">
        <is>
          <t>8558K4</t>
        </is>
      </c>
      <c r="C686" s="54" t="inlineStr">
        <is>
          <t>McMaster-Carr</t>
        </is>
      </c>
      <c r="D686" s="54" t="inlineStr">
        <is>
          <t>303 Stainless Steel Seven Arm Knob with 1/2"-13 Threaded Through Hole</t>
        </is>
      </c>
      <c r="E686" s="15" t="n"/>
      <c r="F686" s="17" t="inlineStr">
        <is>
          <t>Each</t>
        </is>
      </c>
      <c r="G686" s="54" t="inlineStr">
        <is>
          <t>McMaster-Carr</t>
        </is>
      </c>
      <c r="H686" s="54" t="inlineStr">
        <is>
          <t>8558K4</t>
        </is>
      </c>
      <c r="I686" s="15" t="inlineStr">
        <is>
          <t>NO</t>
        </is>
      </c>
      <c r="J686" s="56" t="n">
        <v>30.71</v>
      </c>
      <c r="K686" s="57" t="inlineStr">
        <is>
          <t>10/14/2025</t>
        </is>
      </c>
      <c r="L686" s="19" t="n">
        <v>5.03</v>
      </c>
      <c r="M686" s="20" t="n">
        <v>29.24</v>
      </c>
      <c r="N686" s="21" t="inlineStr">
        <is>
          <t>02/26/2024</t>
        </is>
      </c>
      <c r="O686" s="22" t="inlineStr">
        <is>
          <t>, 1/15/2024, 29.24, 2/19/2024, 29.24, Date: 02/26/2024 Price: 29.24</t>
        </is>
      </c>
      <c r="P686" s="24" t="n"/>
    </row>
    <row r="687" ht="33" customHeight="1">
      <c r="A687" s="65" t="inlineStr">
        <is>
          <t>90145A619</t>
        </is>
      </c>
      <c r="B687" s="54" t="inlineStr">
        <is>
          <t>90145A619</t>
        </is>
      </c>
      <c r="C687" s="54" t="inlineStr">
        <is>
          <t>McMaster-Carr</t>
        </is>
      </c>
      <c r="D687" s="54" t="inlineStr">
        <is>
          <t>18-8 Stainless Steel Dowel Pin 3/8" Diameter, 1/2" Long (Pack of 10)</t>
        </is>
      </c>
      <c r="E687" s="15" t="n">
        <v>10</v>
      </c>
      <c r="F687" s="17" t="inlineStr">
        <is>
          <t>pack</t>
        </is>
      </c>
      <c r="G687" s="54" t="inlineStr">
        <is>
          <t>McMaster-Carr</t>
        </is>
      </c>
      <c r="H687" s="54" t="inlineStr">
        <is>
          <t>90145A619</t>
        </is>
      </c>
      <c r="I687" s="15" t="inlineStr">
        <is>
          <t>NO</t>
        </is>
      </c>
      <c r="J687" s="56" t="n">
        <v>10.33</v>
      </c>
      <c r="K687" s="57" t="inlineStr">
        <is>
          <t>10/14/2025</t>
        </is>
      </c>
      <c r="L687" s="19" t="n">
        <v>0</v>
      </c>
      <c r="M687" s="20" t="n">
        <v>10.33</v>
      </c>
      <c r="N687" s="21" t="inlineStr">
        <is>
          <t>01/15/2024</t>
        </is>
      </c>
      <c r="O687" s="22" t="inlineStr">
        <is>
          <t>, 1/15/2024, 10.33, 2/15/2024, 10.33</t>
        </is>
      </c>
      <c r="P687" s="24" t="n"/>
    </row>
    <row r="688" ht="33" customHeight="1">
      <c r="A688" s="65" t="inlineStr">
        <is>
          <t>91115A163</t>
        </is>
      </c>
      <c r="B688" s="54" t="inlineStr">
        <is>
          <t>91115A163</t>
        </is>
      </c>
      <c r="C688" s="54" t="inlineStr">
        <is>
          <t>McMaster-Carr</t>
        </is>
      </c>
      <c r="D688" s="54" t="inlineStr">
        <is>
          <t>Female Threaded Hex Standoff 18-8 Stainless Steel, 1/4" Hex, 3/8" Long, 4-40 Thread</t>
        </is>
      </c>
      <c r="E688" s="15" t="n"/>
      <c r="F688" s="17" t="inlineStr">
        <is>
          <t>Each</t>
        </is>
      </c>
      <c r="G688" s="54" t="inlineStr">
        <is>
          <t>McMaster-Carr</t>
        </is>
      </c>
      <c r="H688" s="54" t="inlineStr">
        <is>
          <t>91115A163</t>
        </is>
      </c>
      <c r="I688" s="15" t="inlineStr">
        <is>
          <t>NO</t>
        </is>
      </c>
      <c r="J688" s="56" t="n">
        <v>2.54</v>
      </c>
      <c r="K688" s="66" t="inlineStr">
        <is>
          <t>10/14/2025</t>
        </is>
      </c>
      <c r="L688" s="19" t="n">
        <v>11.89</v>
      </c>
      <c r="M688" s="20" t="n">
        <v>2.27</v>
      </c>
      <c r="N688" s="21" t="inlineStr">
        <is>
          <t>02/26/2024</t>
        </is>
      </c>
      <c r="O688" s="22" t="inlineStr">
        <is>
          <t>, 1/15/2024, 2.27, 2/19/2024, 2.27, Date: 02/26/2024 Price: 2.27</t>
        </is>
      </c>
      <c r="P688" s="24" t="n"/>
    </row>
    <row r="689" ht="33" customHeight="1">
      <c r="A689" s="65" t="inlineStr">
        <is>
          <t>92949A107</t>
        </is>
      </c>
      <c r="B689" s="54" t="inlineStr">
        <is>
          <t>92949A107</t>
        </is>
      </c>
      <c r="C689" s="54" t="inlineStr">
        <is>
          <t>McMaster-Carr</t>
        </is>
      </c>
      <c r="D689" s="54" t="inlineStr">
        <is>
          <t>18-8 Stainless Steel Button Head Hex Drive Screw 4-40 Thread Size, 5/16" Long (Pack of 100)</t>
        </is>
      </c>
      <c r="E689" s="15" t="n">
        <v>100</v>
      </c>
      <c r="F689" s="17" t="inlineStr">
        <is>
          <t>pack</t>
        </is>
      </c>
      <c r="G689" s="54" t="inlineStr">
        <is>
          <t>McMaster-Carr</t>
        </is>
      </c>
      <c r="H689" s="54" t="inlineStr">
        <is>
          <t>92949A107</t>
        </is>
      </c>
      <c r="I689" s="15" t="inlineStr">
        <is>
          <t>NO</t>
        </is>
      </c>
      <c r="J689" s="56" t="n">
        <v>3.88</v>
      </c>
      <c r="K689" s="57" t="inlineStr">
        <is>
          <t>10/14/2025</t>
        </is>
      </c>
      <c r="L689" s="19" t="n">
        <v>-2.02</v>
      </c>
      <c r="M689" s="20" t="n">
        <v>3.96</v>
      </c>
      <c r="N689" s="21" t="inlineStr">
        <is>
          <t>02/26/2024</t>
        </is>
      </c>
      <c r="O689" s="22" t="inlineStr">
        <is>
          <t>, 10/10/2023, 4.13, 2/15/2024, 3.96, Date: 02/26/2024 Price: 3.96</t>
        </is>
      </c>
      <c r="P689" s="24" t="n"/>
    </row>
    <row r="690" ht="33" customHeight="1">
      <c r="A690" s="65" t="inlineStr">
        <is>
          <t>92949A113</t>
        </is>
      </c>
      <c r="B690" s="54" t="inlineStr">
        <is>
          <t>92949A113</t>
        </is>
      </c>
      <c r="C690" s="54" t="inlineStr">
        <is>
          <t>McMaster-Carr</t>
        </is>
      </c>
      <c r="D690" s="54" t="inlineStr">
        <is>
          <t>18-8 Stainless Steel Button Head Hex Drive Screw 4-40 Thread Size, 3/4" Long (Pack of 100)</t>
        </is>
      </c>
      <c r="E690" s="15" t="n">
        <v>100</v>
      </c>
      <c r="F690" s="17" t="inlineStr">
        <is>
          <t>pack</t>
        </is>
      </c>
      <c r="G690" s="54" t="inlineStr">
        <is>
          <t>McMaster-Carr</t>
        </is>
      </c>
      <c r="H690" s="54" t="inlineStr">
        <is>
          <t>92949A113</t>
        </is>
      </c>
      <c r="I690" s="15" t="inlineStr">
        <is>
          <t>NO</t>
        </is>
      </c>
      <c r="J690" s="56" t="n">
        <v>5.28</v>
      </c>
      <c r="K690" s="57" t="inlineStr">
        <is>
          <t>10/14/2025</t>
        </is>
      </c>
      <c r="L690" s="19" t="n">
        <v>-9.74</v>
      </c>
      <c r="M690" s="20" t="n">
        <v>5.85</v>
      </c>
      <c r="N690" s="21" t="inlineStr">
        <is>
          <t>02/26/2024</t>
        </is>
      </c>
      <c r="O690" s="22" t="inlineStr">
        <is>
          <t>, 10/10/2023, 5.85, 2/15/2024, 5.85, Date: 02/26/2024 Price: 5.85</t>
        </is>
      </c>
      <c r="P690" s="24" t="n"/>
    </row>
    <row r="691" ht="33" customHeight="1">
      <c r="A691" s="65" t="inlineStr">
        <is>
          <t>95412A581</t>
        </is>
      </c>
      <c r="B691" s="54" t="n"/>
      <c r="C691" s="54" t="n"/>
      <c r="D691" s="54" t="inlineStr">
        <is>
          <t>18-8 Stainless Steel Threaded Rod
5/16"-18 Thread Size, 3/4" Long</t>
        </is>
      </c>
      <c r="E691" s="15" t="inlineStr">
        <is>
          <t>25</t>
        </is>
      </c>
      <c r="F691" s="17" t="inlineStr">
        <is>
          <t>pack</t>
        </is>
      </c>
      <c r="G691" s="54" t="inlineStr">
        <is>
          <t>McMaster-Carr</t>
        </is>
      </c>
      <c r="H691" s="54" t="inlineStr">
        <is>
          <t>95412A581</t>
        </is>
      </c>
      <c r="I691" s="15" t="inlineStr">
        <is>
          <t>NO</t>
        </is>
      </c>
      <c r="J691" s="56" t="n">
        <v>14.85</v>
      </c>
      <c r="K691" s="57" t="inlineStr">
        <is>
          <t>10/14/2025</t>
        </is>
      </c>
      <c r="L691" s="19" t="n">
        <v>0</v>
      </c>
      <c r="M691" s="20" t="n">
        <v>14.85</v>
      </c>
      <c r="N691" s="21" t="inlineStr">
        <is>
          <t>01/15/2024</t>
        </is>
      </c>
      <c r="O691" s="22" t="inlineStr">
        <is>
          <t>, 1/15/2024, 14.85, 2/15/2024, 14.85</t>
        </is>
      </c>
      <c r="P691" s="24" t="n"/>
    </row>
    <row r="692" ht="33" customHeight="1">
      <c r="A692" s="65" t="inlineStr">
        <is>
          <t>95412A624</t>
        </is>
      </c>
      <c r="B692" s="54" t="inlineStr">
        <is>
          <t>95412A624</t>
        </is>
      </c>
      <c r="C692" s="54" t="inlineStr">
        <is>
          <t>McMaster-Carr</t>
        </is>
      </c>
      <c r="D692" s="54" t="inlineStr">
        <is>
          <t>18-8 Stainless Steel Threaded Rod 3/8"-16 Thread Size, 1" Long (Pack of 25)</t>
        </is>
      </c>
      <c r="E692" s="15" t="n">
        <v>25</v>
      </c>
      <c r="F692" s="17" t="inlineStr">
        <is>
          <t>pack</t>
        </is>
      </c>
      <c r="G692" s="54" t="inlineStr">
        <is>
          <t>McMaster-Carr</t>
        </is>
      </c>
      <c r="H692" s="54" t="inlineStr">
        <is>
          <t>95412A624</t>
        </is>
      </c>
      <c r="I692" s="15" t="inlineStr">
        <is>
          <t>NO</t>
        </is>
      </c>
      <c r="J692" s="56" t="n">
        <v>18.18</v>
      </c>
      <c r="K692" s="57" t="inlineStr">
        <is>
          <t>10/14/2025</t>
        </is>
      </c>
      <c r="L692" s="19" t="n">
        <v>0</v>
      </c>
      <c r="M692" s="20" t="n">
        <v>18.18</v>
      </c>
      <c r="N692" s="21" t="inlineStr">
        <is>
          <t>01/15/2024</t>
        </is>
      </c>
      <c r="O692" s="22" t="inlineStr">
        <is>
          <t>, 1/15/2024, 18.18, 2/15/2024, 18.18</t>
        </is>
      </c>
      <c r="P692" s="24" t="n"/>
    </row>
    <row r="693" ht="33" customHeight="1">
      <c r="A693" s="53" t="inlineStr">
        <is>
          <t>5273N172</t>
        </is>
      </c>
      <c r="B693" s="54" t="n"/>
      <c r="C693" s="54" t="n"/>
      <c r="D693" s="54" t="inlineStr">
        <is>
          <t>Low-Pressure Stainless Steel Threaded Pipe Fitting
316 Stainless Steel Bushing Adapter, 1/4 BSPT Male, 1/8 BSPT Female</t>
        </is>
      </c>
      <c r="E693" s="15" t="inlineStr">
        <is>
          <t>1</t>
        </is>
      </c>
      <c r="F693" s="17" t="inlineStr">
        <is>
          <t>each</t>
        </is>
      </c>
      <c r="G693" s="54" t="inlineStr">
        <is>
          <t>McMaster-Carr</t>
        </is>
      </c>
      <c r="H693" s="54" t="inlineStr">
        <is>
          <t>5273N172</t>
        </is>
      </c>
      <c r="I693" s="15" t="inlineStr">
        <is>
          <t>NO</t>
        </is>
      </c>
      <c r="J693" s="56" t="n">
        <v>8.18</v>
      </c>
      <c r="K693" s="57" t="inlineStr">
        <is>
          <t>10/14/2025</t>
        </is>
      </c>
      <c r="L693" s="19" t="n">
        <v>0</v>
      </c>
      <c r="M693" s="20" t="n">
        <v>4.8</v>
      </c>
      <c r="N693" s="21" t="inlineStr">
        <is>
          <t>02/26/2024</t>
        </is>
      </c>
      <c r="O693" s="22" t="inlineStr">
        <is>
          <t>, 1/15/2024, 4.8, 2/15/2024, 4.8, Date: 02/26/2024 Price: 4.8</t>
        </is>
      </c>
      <c r="P693" s="24" t="n"/>
    </row>
    <row r="694" ht="33" customHeight="1">
      <c r="A694" s="53" t="inlineStr">
        <is>
          <t>8386K631</t>
        </is>
      </c>
      <c r="B694" s="54" t="inlineStr">
        <is>
          <t>8386K631</t>
        </is>
      </c>
      <c r="C694" s="54" t="inlineStr">
        <is>
          <t>McMaster-Carr</t>
        </is>
      </c>
      <c r="D694" s="54" t="inlineStr">
        <is>
          <t>Extra-Grip Clamping Two-Piece Shaft Collar
for 1-1/4" Diameter Keyed Shaft, 303 Stainless Steel</t>
        </is>
      </c>
      <c r="E694" s="15" t="n"/>
      <c r="F694" s="17" t="inlineStr">
        <is>
          <t>Each</t>
        </is>
      </c>
      <c r="G694" s="54" t="inlineStr">
        <is>
          <t>McMaster-Carr</t>
        </is>
      </c>
      <c r="H694" s="54" t="inlineStr">
        <is>
          <t>8386K631</t>
        </is>
      </c>
      <c r="I694" s="15" t="inlineStr">
        <is>
          <t>NO</t>
        </is>
      </c>
      <c r="J694" s="56" t="n">
        <v>84</v>
      </c>
      <c r="K694" s="57" t="inlineStr">
        <is>
          <t>10/14/2025</t>
        </is>
      </c>
      <c r="L694" s="19" t="n">
        <v>3.02</v>
      </c>
      <c r="M694" s="20" t="n">
        <v>81.54000000000001</v>
      </c>
      <c r="N694" s="21" t="inlineStr">
        <is>
          <t>02/26/2024</t>
        </is>
      </c>
      <c r="O694" s="22" t="inlineStr">
        <is>
          <t>, 10/10/2023, 51.51, 2/15/2024, 81.54, Date: 02/26/2024 Price: 81.54</t>
        </is>
      </c>
      <c r="P694" s="24" t="n"/>
    </row>
    <row r="695" ht="33" customHeight="1">
      <c r="A695" s="65" t="inlineStr">
        <is>
          <t>8386K63</t>
        </is>
      </c>
      <c r="B695" s="54" t="inlineStr">
        <is>
          <t>8386K63</t>
        </is>
      </c>
      <c r="C695" s="54" t="inlineStr">
        <is>
          <t>McMaster-Carr</t>
        </is>
      </c>
      <c r="D695" s="54" t="inlineStr">
        <is>
          <t>Extra-Grip Clamping Two-Piece Shaft Collar
for 1" Diameter Keyed Shaft, 303 Stainless Steel</t>
        </is>
      </c>
      <c r="E695" s="15" t="n"/>
      <c r="F695" s="17" t="inlineStr">
        <is>
          <t>Each</t>
        </is>
      </c>
      <c r="G695" s="54" t="inlineStr">
        <is>
          <t>McMaster-Carr</t>
        </is>
      </c>
      <c r="H695" s="54" t="inlineStr">
        <is>
          <t>8386K63</t>
        </is>
      </c>
      <c r="I695" s="15" t="inlineStr">
        <is>
          <t>NO</t>
        </is>
      </c>
      <c r="J695" s="56" t="n">
        <v>74.34999999999999</v>
      </c>
      <c r="K695" s="57" t="inlineStr">
        <is>
          <t>10/14/2025</t>
        </is>
      </c>
      <c r="L695" s="19" t="n">
        <v>2.99</v>
      </c>
      <c r="M695" s="20" t="n">
        <v>72.19</v>
      </c>
      <c r="N695" s="21" t="inlineStr">
        <is>
          <t>02/26/2024</t>
        </is>
      </c>
      <c r="O695" s="22" t="inlineStr">
        <is>
          <t>, 10/10/2023, 44.54, 2/15/2024, 72.19, Date: 02/26/2024 Price: 72.19</t>
        </is>
      </c>
      <c r="P695" s="24" t="n"/>
    </row>
    <row r="696" ht="33" customHeight="1">
      <c r="A696" s="53" t="inlineStr">
        <is>
          <t>SP0014PCA</t>
        </is>
      </c>
      <c r="B696" s="54" t="inlineStr">
        <is>
          <t>SP0014PCA</t>
        </is>
      </c>
      <c r="C696" s="54" t="inlineStr">
        <is>
          <t>Sterling Electric</t>
        </is>
      </c>
      <c r="D696" s="54" t="inlineStr">
        <is>
          <t>1 HP Motor, Stainless Steel, 56C Face, TEFC, Footless
230/460 VAC, 3-Phase, 60Hz, 1800 RPM</t>
        </is>
      </c>
      <c r="E696" s="15" t="n"/>
      <c r="F696" s="17" t="n"/>
      <c r="G696" s="54" t="inlineStr">
        <is>
          <t>Motion Industries</t>
        </is>
      </c>
      <c r="H696" s="54" t="n">
        <v>10921923</v>
      </c>
      <c r="I696" s="15" t="inlineStr">
        <is>
          <t>NO</t>
        </is>
      </c>
      <c r="J696" s="56" t="n">
        <v>798.84</v>
      </c>
      <c r="K696" s="57" t="n">
        <v>45299</v>
      </c>
      <c r="L696" s="19" t="n"/>
      <c r="M696" s="20" t="n"/>
      <c r="N696" s="21" t="n"/>
      <c r="O696" s="22" t="n"/>
      <c r="P696" s="24" t="n"/>
    </row>
    <row r="697" ht="33" customHeight="1">
      <c r="A697" s="53" t="inlineStr">
        <is>
          <t>XP0054PCA</t>
        </is>
      </c>
      <c r="B697" s="54" t="inlineStr">
        <is>
          <t>XP0054PCA</t>
        </is>
      </c>
      <c r="C697" s="54" t="inlineStr">
        <is>
          <t>Sterling Electric</t>
        </is>
      </c>
      <c r="D697" s="54" t="inlineStr">
        <is>
          <t>5 HP Motor, Stainless Steel, 184TC Face, TEFC, Footless
230/460 VAC, 3-Phase, 60Hz, 1800 RPM</t>
        </is>
      </c>
      <c r="E697" s="15" t="n"/>
      <c r="F697" s="17" t="n"/>
      <c r="G697" s="54" t="inlineStr">
        <is>
          <t>Motion Industries</t>
        </is>
      </c>
      <c r="H697" s="54" t="n">
        <v>11526093</v>
      </c>
      <c r="I697" s="15" t="inlineStr">
        <is>
          <t>NO</t>
        </is>
      </c>
      <c r="J697" s="56" t="n">
        <v>1782.1</v>
      </c>
      <c r="K697" s="57" t="n">
        <v>45299</v>
      </c>
      <c r="L697" s="19" t="n"/>
      <c r="M697" s="20" t="n"/>
      <c r="N697" s="21" t="n"/>
      <c r="O697" s="22" t="n"/>
      <c r="P697" s="24" t="n"/>
    </row>
    <row r="698" ht="33" customHeight="1">
      <c r="A698" s="53" t="n">
        <v>8026209</v>
      </c>
      <c r="B698" s="54" t="inlineStr">
        <is>
          <t>VABB-B10-25-E</t>
        </is>
      </c>
      <c r="C698" s="54" t="inlineStr">
        <is>
          <t>Festo</t>
        </is>
      </c>
      <c r="D698" s="54" t="inlineStr">
        <is>
          <t>Cover Plate, Single Position, For B10 Series Valve Manifold Blocks</t>
        </is>
      </c>
      <c r="E698" s="15" t="n">
        <v>1</v>
      </c>
      <c r="F698" s="17" t="inlineStr">
        <is>
          <t>each</t>
        </is>
      </c>
      <c r="G698" s="54" t="inlineStr">
        <is>
          <t>Festo</t>
        </is>
      </c>
      <c r="H698" s="54" t="n">
        <v>8026209</v>
      </c>
      <c r="I698" s="15" t="inlineStr">
        <is>
          <t>NO</t>
        </is>
      </c>
      <c r="J698" s="56" t="n">
        <v>6.31</v>
      </c>
      <c r="K698" s="57" t="n">
        <v>45348</v>
      </c>
      <c r="L698" s="19" t="n">
        <v>0</v>
      </c>
      <c r="M698" s="20" t="n">
        <v>6.31</v>
      </c>
      <c r="N698" s="21" t="n">
        <v>45306</v>
      </c>
      <c r="O698" s="22" t="inlineStr">
        <is>
          <t>, 1/15/2024, 6.31, 2/15/2024, 6.31</t>
        </is>
      </c>
      <c r="P698" s="24" t="n"/>
    </row>
    <row r="699" ht="33" customHeight="1">
      <c r="A699" s="53" t="inlineStr">
        <is>
          <t>8692A251</t>
        </is>
      </c>
      <c r="B699" s="54" t="inlineStr">
        <is>
          <t>8692A251</t>
        </is>
      </c>
      <c r="C699" s="54" t="inlineStr">
        <is>
          <t>McMaster-Carr</t>
        </is>
      </c>
      <c r="D699" s="54" t="inlineStr">
        <is>
          <t>316 Stainless Steel Knob-Style Retractable Spring Plunger Twist-Lock, 1/2"-13 Thread, without Thread Lock</t>
        </is>
      </c>
      <c r="E699" s="15" t="n"/>
      <c r="F699" s="17" t="inlineStr">
        <is>
          <t>Each</t>
        </is>
      </c>
      <c r="G699" s="54" t="inlineStr">
        <is>
          <t>McMaster-Carr</t>
        </is>
      </c>
      <c r="H699" s="54" t="inlineStr">
        <is>
          <t>8692A251</t>
        </is>
      </c>
      <c r="I699" s="15" t="inlineStr">
        <is>
          <t>NO</t>
        </is>
      </c>
      <c r="J699" s="56" t="n">
        <v>25.35</v>
      </c>
      <c r="K699" s="57" t="n">
        <v>45348</v>
      </c>
      <c r="L699" s="19" t="n">
        <v>0</v>
      </c>
      <c r="M699" s="20" t="n">
        <v>25.35</v>
      </c>
      <c r="N699" s="21" t="n">
        <v>45306</v>
      </c>
      <c r="O699" s="22" t="inlineStr">
        <is>
          <t>, 1/15/2024, 25.35, 2/15/2024, 25.35</t>
        </is>
      </c>
      <c r="P699" s="24" t="n"/>
    </row>
    <row r="700" ht="33" customHeight="1">
      <c r="A700" s="53" t="inlineStr">
        <is>
          <t>15S108</t>
        </is>
      </c>
      <c r="B700" s="54" t="inlineStr">
        <is>
          <t>15S108</t>
        </is>
      </c>
      <c r="C700" s="54" t="inlineStr">
        <is>
          <t>Stafford</t>
        </is>
      </c>
      <c r="D700" s="54" t="inlineStr">
        <is>
          <t>1-1/2 SQUARE BORE SHAFT COLLAR - HEAVY-DUTY - TWO-PIECE SPLIT CLAMP TYPE - STAINLESS STEEL</t>
        </is>
      </c>
      <c r="E700" s="15" t="n"/>
      <c r="F700" s="17" t="n"/>
      <c r="G700" s="54" t="inlineStr">
        <is>
          <t>Fastenall</t>
        </is>
      </c>
      <c r="H700" s="54" t="inlineStr">
        <is>
          <t>15S108</t>
        </is>
      </c>
      <c r="I700" s="15" t="inlineStr">
        <is>
          <t>NO</t>
        </is>
      </c>
      <c r="J700" s="56" t="n">
        <v>97</v>
      </c>
      <c r="K700" s="57" t="n">
        <v>45306</v>
      </c>
      <c r="L700" s="19" t="n"/>
      <c r="M700" s="20" t="n"/>
      <c r="N700" s="21" t="n"/>
      <c r="O700" s="22" t="n"/>
      <c r="P700" s="24" t="n"/>
    </row>
    <row r="701" ht="33" customHeight="1">
      <c r="A701" s="53" t="inlineStr">
        <is>
          <t>92125A111</t>
        </is>
      </c>
      <c r="B701" s="54" t="inlineStr">
        <is>
          <t>92125A111</t>
        </is>
      </c>
      <c r="C701" s="54" t="inlineStr">
        <is>
          <t>McMaster-Carr</t>
        </is>
      </c>
      <c r="D701" s="54" t="inlineStr">
        <is>
          <t>18-8 Stainless Steel Hex Drive Flat Head Screw M6 x 1 Thread Size, 15mm Long (PACK OF 50) - 03.23.23</t>
        </is>
      </c>
      <c r="E701" s="15" t="n">
        <v>50</v>
      </c>
      <c r="F701" s="17" t="inlineStr">
        <is>
          <t>pack</t>
        </is>
      </c>
      <c r="G701" s="54" t="inlineStr">
        <is>
          <t>McMaster-Carr</t>
        </is>
      </c>
      <c r="H701" s="54" t="inlineStr">
        <is>
          <t>92125A111</t>
        </is>
      </c>
      <c r="I701" s="15" t="inlineStr">
        <is>
          <t>NO</t>
        </is>
      </c>
      <c r="J701" s="56" t="n">
        <v>9.460000000000001</v>
      </c>
      <c r="K701" s="57" t="n">
        <v>45348</v>
      </c>
      <c r="L701" s="19" t="n">
        <v>0</v>
      </c>
      <c r="M701" s="20" t="n">
        <v>9.460000000000001</v>
      </c>
      <c r="N701" s="21" t="n">
        <v>45306</v>
      </c>
      <c r="O701" s="22" t="inlineStr">
        <is>
          <t>, 1/15/2024, 9.46, 2/15/2024, 9.46</t>
        </is>
      </c>
      <c r="P701" s="24" t="n"/>
    </row>
    <row r="702" ht="33" customHeight="1">
      <c r="A702" s="53" t="inlineStr">
        <is>
          <t>92356A624</t>
        </is>
      </c>
      <c r="B702" s="54" t="inlineStr">
        <is>
          <t>92356A624</t>
        </is>
      </c>
      <c r="C702" s="54" t="inlineStr">
        <is>
          <t>McMaster-Carr</t>
        </is>
      </c>
      <c r="D702" s="54" t="inlineStr">
        <is>
          <t>18-8 Stainless Steel Square-Neck Carriage Bolt 3/8"-16 Thread Size, 1" Long - Pack of 10 - 6/12/23</t>
        </is>
      </c>
      <c r="E702" s="15" t="n">
        <v>10</v>
      </c>
      <c r="F702" s="17" t="inlineStr">
        <is>
          <t>pack</t>
        </is>
      </c>
      <c r="G702" s="54" t="inlineStr">
        <is>
          <t>McMaster-Carr</t>
        </is>
      </c>
      <c r="H702" s="54" t="inlineStr">
        <is>
          <t>92356A624</t>
        </is>
      </c>
      <c r="I702" s="15" t="inlineStr">
        <is>
          <t>NO</t>
        </is>
      </c>
      <c r="J702" s="56" t="n">
        <v>6.46</v>
      </c>
      <c r="K702" s="57" t="n">
        <v>45348</v>
      </c>
      <c r="L702" s="19" t="n">
        <v>0</v>
      </c>
      <c r="M702" s="20" t="n">
        <v>6.46</v>
      </c>
      <c r="N702" s="21" t="n">
        <v>45337</v>
      </c>
      <c r="O702" s="22" t="inlineStr">
        <is>
          <t>, 6/12/2023, 27.92, 2/15/2024, 6.46</t>
        </is>
      </c>
      <c r="P702" s="24" t="n"/>
    </row>
    <row r="703" ht="33" customHeight="1">
      <c r="A703" s="53" t="inlineStr">
        <is>
          <t>95649A380</t>
        </is>
      </c>
      <c r="B703" s="54" t="inlineStr">
        <is>
          <t>95649A380</t>
        </is>
      </c>
      <c r="C703" s="54" t="inlineStr">
        <is>
          <t>McMaster-Carr</t>
        </is>
      </c>
      <c r="D703" s="54" t="inlineStr">
        <is>
          <t>UHMW Plastic Washer for M12 Screw Size, 13 mm ID, 24 mm OD - Pack of 5</t>
        </is>
      </c>
      <c r="E703" s="15" t="n">
        <v>5</v>
      </c>
      <c r="F703" s="17" t="inlineStr">
        <is>
          <t>pack</t>
        </is>
      </c>
      <c r="G703" s="54" t="inlineStr">
        <is>
          <t>McMaster-Carr</t>
        </is>
      </c>
      <c r="H703" s="54" t="inlineStr">
        <is>
          <t>95649A380</t>
        </is>
      </c>
      <c r="I703" s="15" t="inlineStr">
        <is>
          <t>NO</t>
        </is>
      </c>
      <c r="J703" s="56" t="n">
        <v>6.87</v>
      </c>
      <c r="K703" s="57" t="n">
        <v>45348</v>
      </c>
      <c r="L703" s="19" t="n">
        <v>0</v>
      </c>
      <c r="M703" s="20" t="n">
        <v>6.87</v>
      </c>
      <c r="N703" s="21" t="n">
        <v>45089</v>
      </c>
      <c r="O703" s="22" t="inlineStr">
        <is>
          <t>, 6/12/2023, 6.87, 2/15/2024, 6.87</t>
        </is>
      </c>
      <c r="P703" s="24" t="n"/>
    </row>
    <row r="704" ht="33" customHeight="1">
      <c r="A704" s="53" t="inlineStr">
        <is>
          <t>95649A244</t>
        </is>
      </c>
      <c r="B704" s="54" t="inlineStr">
        <is>
          <t>95649A244</t>
        </is>
      </c>
      <c r="C704" s="54" t="inlineStr">
        <is>
          <t>McMaster-Carr</t>
        </is>
      </c>
      <c r="D704" s="54" t="inlineStr">
        <is>
          <t>UHMW Plastic Washer for 1/2" Screw Size, 0.515" ID, 0.885" OD - Pack of 10</t>
        </is>
      </c>
      <c r="E704" s="15" t="n">
        <v>10</v>
      </c>
      <c r="F704" s="17" t="inlineStr">
        <is>
          <t>pack</t>
        </is>
      </c>
      <c r="G704" s="54" t="inlineStr">
        <is>
          <t>McMaster-Carr</t>
        </is>
      </c>
      <c r="H704" s="54" t="inlineStr">
        <is>
          <t>95649A244</t>
        </is>
      </c>
      <c r="I704" s="15" t="inlineStr">
        <is>
          <t>NO</t>
        </is>
      </c>
      <c r="J704" s="56" t="n">
        <v>6.44</v>
      </c>
      <c r="K704" s="57" t="n">
        <v>45348</v>
      </c>
      <c r="L704" s="19" t="n">
        <v>0</v>
      </c>
      <c r="M704" s="20" t="n">
        <v>6.44</v>
      </c>
      <c r="N704" s="21" t="n">
        <v>45089</v>
      </c>
      <c r="O704" s="22" t="inlineStr">
        <is>
          <t>, 6/12/2023, 6.44, 2/15/2024, 6.44</t>
        </is>
      </c>
      <c r="P704" s="24" t="n"/>
    </row>
    <row r="705" ht="33" customHeight="1">
      <c r="A705" s="53" t="inlineStr">
        <is>
          <t>94639A853</t>
        </is>
      </c>
      <c r="B705" s="54" t="inlineStr">
        <is>
          <t>94639A853</t>
        </is>
      </c>
      <c r="C705" s="54" t="inlineStr">
        <is>
          <t>McMaster-Carr</t>
        </is>
      </c>
      <c r="D705" s="54" t="inlineStr">
        <is>
          <t xml:space="preserve">Off-White Nylon Unthreaded Spacer 3/4" OD, 3/4" Long, for 5/16" Screw Size - Pack of 25 </t>
        </is>
      </c>
      <c r="E705" s="15" t="n">
        <v>25</v>
      </c>
      <c r="F705" s="17" t="inlineStr">
        <is>
          <t>pack</t>
        </is>
      </c>
      <c r="G705" s="54" t="inlineStr">
        <is>
          <t>McMaster-Carr</t>
        </is>
      </c>
      <c r="H705" s="54" t="inlineStr">
        <is>
          <t>94639A853</t>
        </is>
      </c>
      <c r="I705" s="15" t="inlineStr">
        <is>
          <t>NO</t>
        </is>
      </c>
      <c r="J705" s="56" t="n">
        <v>16.34</v>
      </c>
      <c r="K705" s="57" t="n">
        <v>45348</v>
      </c>
      <c r="L705" s="19" t="n">
        <v>0</v>
      </c>
      <c r="M705" s="20" t="n">
        <v>16.34</v>
      </c>
      <c r="N705" s="21" t="n">
        <v>45089</v>
      </c>
      <c r="O705" s="22" t="inlineStr">
        <is>
          <t>, 6/12/2023, 16.34, 2/15/2024, 16.34</t>
        </is>
      </c>
      <c r="P705" s="24" t="n"/>
    </row>
    <row r="706" ht="33" customHeight="1">
      <c r="A706" s="53" t="n">
        <v>546545</v>
      </c>
      <c r="B706" s="54" t="inlineStr">
        <is>
          <t>SG-UNF1/2"-20-B</t>
        </is>
      </c>
      <c r="C706" s="54" t="inlineStr">
        <is>
          <t>Festo</t>
        </is>
      </c>
      <c r="D706" s="54" t="inlineStr">
        <is>
          <t xml:space="preserve">Rod clevis </t>
        </is>
      </c>
      <c r="E706" s="15" t="n">
        <v>1</v>
      </c>
      <c r="F706" s="17" t="inlineStr">
        <is>
          <t>each</t>
        </is>
      </c>
      <c r="G706" s="54" t="inlineStr">
        <is>
          <t>Festo</t>
        </is>
      </c>
      <c r="H706" s="54" t="n">
        <v>546545</v>
      </c>
      <c r="I706" s="15" t="inlineStr">
        <is>
          <t>NO</t>
        </is>
      </c>
      <c r="J706" s="56" t="n">
        <v>13.92</v>
      </c>
      <c r="K706" s="57" t="n">
        <v>45348</v>
      </c>
      <c r="L706" s="19" t="n">
        <v>0</v>
      </c>
      <c r="M706" s="20" t="n">
        <v>13.92</v>
      </c>
      <c r="N706" s="21" t="n">
        <v>45089</v>
      </c>
      <c r="O706" s="22" t="inlineStr">
        <is>
          <t>, 6/12/2023, 13.92, 2/15/2024, 13.92</t>
        </is>
      </c>
      <c r="P706" s="24" t="n"/>
    </row>
    <row r="707" ht="33" customHeight="1">
      <c r="A707" s="53" t="n">
        <v>174391</v>
      </c>
      <c r="B707" s="54" t="inlineStr">
        <is>
          <t>SNCB-40</t>
        </is>
      </c>
      <c r="C707" s="54" t="inlineStr">
        <is>
          <t>Festo</t>
        </is>
      </c>
      <c r="D707" s="54" t="inlineStr">
        <is>
          <t xml:space="preserve">Clevis Flange </t>
        </is>
      </c>
      <c r="E707" s="15" t="n">
        <v>1</v>
      </c>
      <c r="F707" s="17" t="inlineStr">
        <is>
          <t>each</t>
        </is>
      </c>
      <c r="G707" s="54" t="inlineStr">
        <is>
          <t>Festo</t>
        </is>
      </c>
      <c r="H707" s="54" t="n">
        <v>174391</v>
      </c>
      <c r="I707" s="15" t="inlineStr">
        <is>
          <t>NO</t>
        </is>
      </c>
      <c r="J707" s="56" t="n">
        <v>30.77</v>
      </c>
      <c r="K707" s="57" t="n">
        <v>45414</v>
      </c>
      <c r="L707" s="19" t="n">
        <v>0</v>
      </c>
      <c r="M707" s="20" t="n">
        <v>30.77</v>
      </c>
      <c r="N707" s="21" t="n">
        <v>45348</v>
      </c>
      <c r="O707" s="22" t="inlineStr">
        <is>
          <t>, 6/12/2023, 30.77, 2/15/2024, 30.77, 5/1/2024, 30.77</t>
        </is>
      </c>
      <c r="P707" s="24" t="n"/>
    </row>
    <row r="708" ht="33" customHeight="1">
      <c r="A708" s="53" t="n">
        <v>543861</v>
      </c>
      <c r="B708" s="54" t="inlineStr">
        <is>
          <t>SME-8M-DS-24V-K-0,3-M8D</t>
        </is>
      </c>
      <c r="C708" s="54" t="inlineStr">
        <is>
          <t>Festo</t>
        </is>
      </c>
      <c r="D708" s="54" t="inlineStr">
        <is>
          <t>Proximity Sensor</t>
        </is>
      </c>
      <c r="E708" s="15" t="n">
        <v>1</v>
      </c>
      <c r="F708" s="17" t="inlineStr">
        <is>
          <t>each</t>
        </is>
      </c>
      <c r="G708" s="54" t="inlineStr">
        <is>
          <t>Festo</t>
        </is>
      </c>
      <c r="H708" s="54" t="n">
        <v>543861</v>
      </c>
      <c r="I708" s="15" t="inlineStr">
        <is>
          <t>NO</t>
        </is>
      </c>
      <c r="J708" s="56" t="n">
        <v>40.78</v>
      </c>
      <c r="K708" s="57" t="n">
        <v>45348</v>
      </c>
      <c r="L708" s="19" t="n">
        <v>0</v>
      </c>
      <c r="M708" s="20" t="n">
        <v>40.78</v>
      </c>
      <c r="N708" s="21" t="n">
        <v>45089</v>
      </c>
      <c r="O708" s="22" t="inlineStr">
        <is>
          <t>, 6/12/2023, 40.78, 2/15/2024, 40.78</t>
        </is>
      </c>
      <c r="P708" s="24" t="n"/>
    </row>
    <row r="709" ht="33" customHeight="1">
      <c r="A709" s="53" t="n">
        <v>547941</v>
      </c>
      <c r="B709" s="54" t="inlineStr">
        <is>
          <t>SMM-8</t>
        </is>
      </c>
      <c r="C709" s="54" t="inlineStr">
        <is>
          <t>Festo</t>
        </is>
      </c>
      <c r="D709" s="54" t="inlineStr">
        <is>
          <t>Positioning Element for Prox. Sensor (qty-2 per sensor) - Pack of 10</t>
        </is>
      </c>
      <c r="E709" s="15" t="n">
        <v>1</v>
      </c>
      <c r="F709" s="17" t="n">
        <v>10</v>
      </c>
      <c r="G709" s="54" t="inlineStr">
        <is>
          <t>Festo</t>
        </is>
      </c>
      <c r="H709" s="54" t="n">
        <v>547941</v>
      </c>
      <c r="I709" s="15" t="inlineStr">
        <is>
          <t>NO</t>
        </is>
      </c>
      <c r="J709" s="56" t="n">
        <v>45.2</v>
      </c>
      <c r="K709" s="57" t="n">
        <v>45348</v>
      </c>
      <c r="L709" s="19" t="n">
        <v>0</v>
      </c>
      <c r="M709" s="20" t="n">
        <v>45.2</v>
      </c>
      <c r="N709" s="21" t="n">
        <v>45089</v>
      </c>
      <c r="O709" s="22" t="inlineStr">
        <is>
          <t>, 6/12/2023, 45.2, 2/15/2024, 45.2</t>
        </is>
      </c>
      <c r="P709" s="24" t="n"/>
    </row>
    <row r="710" ht="33" customHeight="1">
      <c r="A710" s="53" t="n">
        <v>575552</v>
      </c>
      <c r="B710" s="54" t="inlineStr">
        <is>
          <t>VUVS-L25-M52-AD-N14-F8</t>
        </is>
      </c>
      <c r="C710" s="54" t="inlineStr">
        <is>
          <t>Festo</t>
        </is>
      </c>
      <c r="D710" s="54" t="inlineStr">
        <is>
          <t>L25 Air Solenoid Valve, 1/4" FNPT, 5 Port / 2 Way, Internal Pilot, Pneumatic Return, WITHOUT COIL (8030811)</t>
        </is>
      </c>
      <c r="E710" s="15" t="n">
        <v>1</v>
      </c>
      <c r="F710" s="17" t="inlineStr">
        <is>
          <t>each</t>
        </is>
      </c>
      <c r="G710" s="54" t="inlineStr">
        <is>
          <t>Festo</t>
        </is>
      </c>
      <c r="H710" s="54" t="n">
        <v>575552</v>
      </c>
      <c r="I710" s="15" t="inlineStr">
        <is>
          <t>NO</t>
        </is>
      </c>
      <c r="J710" s="56" t="n">
        <v>57.07</v>
      </c>
      <c r="K710" s="57" t="n">
        <v>45414</v>
      </c>
      <c r="L710" s="19" t="n">
        <v>0</v>
      </c>
      <c r="M710" s="20" t="n">
        <v>57.07</v>
      </c>
      <c r="N710" s="21" t="n">
        <v>45306</v>
      </c>
      <c r="O710" s="22" t="inlineStr">
        <is>
          <t>, 1/15/2024, 57.07, 2/15/2024, 57.07, 2/26/2024, 57.07</t>
        </is>
      </c>
      <c r="P710" s="24" t="n"/>
    </row>
    <row r="711" ht="33" customHeight="1">
      <c r="A711" s="65" t="n">
        <v>575702</v>
      </c>
      <c r="B711" s="54" t="inlineStr">
        <is>
          <t>VUVS-L20-M52-AD-N18-F7</t>
        </is>
      </c>
      <c r="C711" s="54" t="inlineStr">
        <is>
          <t>Festo</t>
        </is>
      </c>
      <c r="D711" s="54" t="inlineStr">
        <is>
          <t>L20 Air Solenoid Valve, 1/8" FNPT, 5 Port / 2 Way, Internal Pilot, Pneumatic Return, WITHOUT COIL (8025330)</t>
        </is>
      </c>
      <c r="E711" s="15" t="n">
        <v>1</v>
      </c>
      <c r="F711" s="17" t="inlineStr">
        <is>
          <t>each</t>
        </is>
      </c>
      <c r="G711" s="54" t="inlineStr">
        <is>
          <t>Festo</t>
        </is>
      </c>
      <c r="H711" s="54" t="n">
        <v>575702</v>
      </c>
      <c r="I711" s="15" t="inlineStr">
        <is>
          <t>NO</t>
        </is>
      </c>
      <c r="J711" s="56" t="n">
        <v>52.82</v>
      </c>
      <c r="K711" s="57" t="n">
        <v>45414</v>
      </c>
      <c r="L711" s="19" t="n">
        <v>0</v>
      </c>
      <c r="M711" s="20" t="n">
        <v>52.82</v>
      </c>
      <c r="N711" s="21" t="n">
        <v>45306</v>
      </c>
      <c r="O711" s="22" t="inlineStr">
        <is>
          <t>, 1/15/2024, 52.82, 2/15/2024, 52.82, 2/26/2024, 52.82</t>
        </is>
      </c>
      <c r="P711" s="24" t="n"/>
    </row>
    <row r="712" ht="33" customHeight="1">
      <c r="A712" s="53" t="inlineStr">
        <is>
          <t>S3D8XXDHL4NG</t>
        </is>
      </c>
      <c r="B712" s="54" t="inlineStr">
        <is>
          <t>S3D8XXDHL4NG</t>
        </is>
      </c>
      <c r="C712" s="54" t="inlineStr">
        <is>
          <t>Intralox</t>
        </is>
      </c>
      <c r="D712" s="54" t="inlineStr">
        <is>
          <t>SERIES 800 10.3" (16T) NATURAL ACETAL SPROCKET WITH 2.5" SQUARE BORE</t>
        </is>
      </c>
      <c r="E712" s="15" t="n"/>
      <c r="F712" s="17" t="n"/>
      <c r="G712" s="54" t="inlineStr">
        <is>
          <t>Intralox</t>
        </is>
      </c>
      <c r="H712" s="54" t="inlineStr">
        <is>
          <t>S3D8XXDHL4NG</t>
        </is>
      </c>
      <c r="I712" s="15" t="inlineStr">
        <is>
          <t>NO</t>
        </is>
      </c>
      <c r="J712" s="56" t="n">
        <v>70</v>
      </c>
      <c r="K712" s="57" t="n">
        <v>45091</v>
      </c>
      <c r="L712" s="19" t="n"/>
      <c r="M712" s="20" t="n"/>
      <c r="N712" s="21" t="n"/>
      <c r="O712" s="22" t="n"/>
      <c r="P712" s="24" t="n"/>
    </row>
    <row r="713" ht="33" customHeight="1">
      <c r="A713" s="53" t="inlineStr">
        <is>
          <t>HX-FIX106-34-10</t>
        </is>
      </c>
      <c r="B713" s="54" t="inlineStr">
        <is>
          <t>HX-FIX106-34-10</t>
        </is>
      </c>
      <c r="C713" s="54" t="inlineStr">
        <is>
          <t>NGI</t>
        </is>
      </c>
      <c r="D713" s="54" t="inlineStr">
        <is>
          <t>4" Adjustable Leveler - Stanitary Style - SS Stem &amp; Base - 1x Lag Hole Tab - 10"x5/8-11 Stem</t>
        </is>
      </c>
      <c r="E713" s="15" t="n"/>
      <c r="F713" s="17" t="n"/>
      <c r="G713" s="54" t="inlineStr">
        <is>
          <t>NGI</t>
        </is>
      </c>
      <c r="H713" s="54" t="inlineStr">
        <is>
          <t>HX-FIX106-34-10</t>
        </is>
      </c>
      <c r="I713" s="15" t="inlineStr">
        <is>
          <t>NO</t>
        </is>
      </c>
      <c r="J713" s="56" t="n">
        <v>51.204</v>
      </c>
      <c r="K713" s="57" t="n">
        <v>45091</v>
      </c>
      <c r="L713" s="19" t="n"/>
      <c r="M713" s="20" t="n"/>
      <c r="N713" s="21" t="n"/>
      <c r="O713" s="22" t="n"/>
      <c r="P713" s="24" t="n"/>
    </row>
    <row r="714" ht="33" customHeight="1">
      <c r="A714" s="53" t="inlineStr">
        <is>
          <t>91287A189</t>
        </is>
      </c>
      <c r="B714" s="54" t="inlineStr">
        <is>
          <t>91287A189</t>
        </is>
      </c>
      <c r="C714" s="54" t="inlineStr">
        <is>
          <t>McMaster-Carr</t>
        </is>
      </c>
      <c r="D714" s="54" t="inlineStr">
        <is>
          <t>18-8 Stainless Steel Hex Head Screw M12 x 1.75 mm Thread, 30 mm Long - Pack of 10</t>
        </is>
      </c>
      <c r="E714" s="15" t="n">
        <v>10</v>
      </c>
      <c r="F714" s="17" t="inlineStr">
        <is>
          <t>pack</t>
        </is>
      </c>
      <c r="G714" s="54" t="inlineStr">
        <is>
          <t>McMaster-Carr</t>
        </is>
      </c>
      <c r="H714" s="54" t="inlineStr">
        <is>
          <t>91287A189</t>
        </is>
      </c>
      <c r="I714" s="15" t="inlineStr">
        <is>
          <t>NO</t>
        </is>
      </c>
      <c r="J714" s="56" t="n">
        <v>20.82</v>
      </c>
      <c r="K714" s="57" t="n">
        <v>45348</v>
      </c>
      <c r="L714" s="19" t="n">
        <v>0</v>
      </c>
      <c r="M714" s="20" t="n">
        <v>20.82</v>
      </c>
      <c r="N714" s="21" t="n">
        <v>45337</v>
      </c>
      <c r="O714" s="22" t="inlineStr">
        <is>
          <t>, 6/14/2023, 12.66, 2/15/2024, 20.82</t>
        </is>
      </c>
      <c r="P714" s="24" t="n"/>
    </row>
    <row r="715" ht="55.5" customHeight="1">
      <c r="A715" s="53" t="inlineStr">
        <is>
          <t>S02HW08HF012T300ZZZ</t>
        </is>
      </c>
      <c r="B715" s="54" t="inlineStr">
        <is>
          <t>S02HW08HF012T300ZZZ</t>
        </is>
      </c>
      <c r="C715" s="54" t="inlineStr">
        <is>
          <t>PCI</t>
        </is>
      </c>
      <c r="D715" s="54" t="inlineStr">
        <is>
          <t>EXTRA VALUE CLASS - PULLEY- FLAT FACE 304L STAINLESS STEEL
2.500" DIA. X 0.1200" X 8.500" LONG 0.750" BORE - C-INTERNAL
BEARINGS - STAINLESS STEEL BEARINGS
PAINT - NO PAINT (Pricing at QTY 10, 07/11/23)</t>
        </is>
      </c>
      <c r="E715" s="15" t="n"/>
      <c r="F715" s="17" t="n"/>
      <c r="G715" s="54" t="inlineStr">
        <is>
          <t>PCI</t>
        </is>
      </c>
      <c r="H715" s="54" t="inlineStr">
        <is>
          <t>S02HW08HF012T300ZZZ</t>
        </is>
      </c>
      <c r="I715" s="15" t="inlineStr">
        <is>
          <t>NO</t>
        </is>
      </c>
      <c r="J715" s="56" t="n">
        <v>189.71</v>
      </c>
      <c r="K715" s="57" t="n">
        <v>45118</v>
      </c>
      <c r="L715" s="19" t="n"/>
      <c r="M715" s="20" t="n"/>
      <c r="N715" s="21" t="n"/>
      <c r="O715" s="22" t="n"/>
      <c r="P715" s="24" t="n"/>
    </row>
    <row r="716" ht="97.5" customHeight="1">
      <c r="A716" s="53" t="inlineStr">
        <is>
          <t>S05ZD08HT020T200ZZX</t>
        </is>
      </c>
      <c r="B716" s="54" t="inlineStr">
        <is>
          <t>S05ZD08HT020T200ZZX</t>
        </is>
      </c>
      <c r="C716" s="54" t="inlineStr">
        <is>
          <t>PCI</t>
        </is>
      </c>
      <c r="D716" s="54" t="inlineStr">
        <is>
          <t>EXTRA VALUE CLASS - PULLEY- CROWNED 304L STAINLESS
STEEL- MAX. CIRCULAR RUNOUT: 0.010
5.000" DIA. X 0.2500" X 8.500" LONG 1.250" BORE - STAINLESS
STEEL KEYED HUBS WITH SET SCREWS
0.250" THICK NITRILE 80A DURO OFF WHITE - FOOD GRADE -
FINISH @ 5.500" DIAMETER
PAINT - NO PAINT (Pricing at QTY 1, 07/11/23)</t>
        </is>
      </c>
      <c r="E716" s="15" t="n"/>
      <c r="F716" s="17" t="n"/>
      <c r="G716" s="54" t="inlineStr">
        <is>
          <t>PCI</t>
        </is>
      </c>
      <c r="H716" s="54" t="inlineStr">
        <is>
          <t>S05ZD08HT020T200ZZX</t>
        </is>
      </c>
      <c r="I716" s="15" t="inlineStr">
        <is>
          <t>NO</t>
        </is>
      </c>
      <c r="J716" s="56" t="n">
        <v>779.71</v>
      </c>
      <c r="K716" s="57" t="n">
        <v>45118</v>
      </c>
      <c r="L716" s="19" t="n"/>
      <c r="M716" s="20" t="n"/>
      <c r="N716" s="21" t="n"/>
      <c r="O716" s="22" t="n"/>
      <c r="P716" s="24" t="n"/>
    </row>
    <row r="717" ht="69.75" customHeight="1">
      <c r="A717" s="53" t="inlineStr">
        <is>
          <t>S02HD08HF016T200ZZZ</t>
        </is>
      </c>
      <c r="B717" s="54" t="inlineStr">
        <is>
          <t>S02HD08HF016T200ZZZ</t>
        </is>
      </c>
      <c r="C717" s="54" t="inlineStr">
        <is>
          <t>PCI</t>
        </is>
      </c>
      <c r="D717" s="54" t="inlineStr">
        <is>
          <t>EXTRA VALUE CLASS - PULLEY- FLAT FACE 304L STAINLESS
STEEL- MAX. CIRCULAR RUNOUT: 0.010
2.500" DIA. X 0.2500" X 8.500" LONG 1.000" BORE - STAINLESS
STEEL KEYED SLUGS WITH SET SCREWS
PAINT - NO PAINT (Pricing at QTY 1, 07/11/23)</t>
        </is>
      </c>
      <c r="E717" s="15" t="n"/>
      <c r="F717" s="17" t="n"/>
      <c r="G717" s="54" t="inlineStr">
        <is>
          <t>PCI</t>
        </is>
      </c>
      <c r="H717" s="54" t="inlineStr">
        <is>
          <t>S02HD08HF016T200ZZZ</t>
        </is>
      </c>
      <c r="I717" s="15" t="inlineStr">
        <is>
          <t>NO</t>
        </is>
      </c>
      <c r="J717" s="56" t="n">
        <v>469.68</v>
      </c>
      <c r="K717" s="57" t="n">
        <v>45118</v>
      </c>
      <c r="L717" s="19" t="n"/>
      <c r="M717" s="20" t="n"/>
      <c r="N717" s="21" t="n"/>
      <c r="O717" s="22" t="n"/>
      <c r="P717" s="24" t="n"/>
    </row>
    <row r="718" ht="69.75" customHeight="1">
      <c r="A718" s="53" t="inlineStr">
        <is>
          <t>S03ZD08HC012T300ZZZ</t>
        </is>
      </c>
      <c r="B718" s="54" t="inlineStr">
        <is>
          <t>S03ZD08HC012T300ZZZ</t>
        </is>
      </c>
      <c r="C718" s="54" t="inlineStr">
        <is>
          <t>PCI</t>
        </is>
      </c>
      <c r="D718" s="54" t="inlineStr">
        <is>
          <t>EXTRA VALUE CLASS - PULLEY- CENTER CROWN 304L
STAINLESS STEEL- MAX. CIRCULAR RUNOUT: 0.010
3.000" DIA. X 0.2500" X 8.500" LONG 0.750" BORE - C-INTERNAL
BEARINGS - STAINLESS STEEL BEARINGS
PAINT - NO PAINT (Pricing at QTY 1, 07/11/23)</t>
        </is>
      </c>
      <c r="E718" s="15" t="n"/>
      <c r="F718" s="17" t="n"/>
      <c r="G718" s="54" t="inlineStr">
        <is>
          <t>PCI</t>
        </is>
      </c>
      <c r="H718" s="54" t="inlineStr">
        <is>
          <t>S03ZD08HC012T300ZZZ</t>
        </is>
      </c>
      <c r="I718" s="15" t="inlineStr">
        <is>
          <t>NO</t>
        </is>
      </c>
      <c r="J718" s="56" t="n">
        <v>589.52</v>
      </c>
      <c r="K718" s="57" t="n">
        <v>45118</v>
      </c>
      <c r="L718" s="19" t="n"/>
      <c r="M718" s="20" t="n"/>
      <c r="N718" s="21" t="n"/>
      <c r="O718" s="22" t="n"/>
      <c r="P718" s="24" t="n"/>
    </row>
    <row r="719" ht="33" customHeight="1">
      <c r="A719" s="53" t="inlineStr">
        <is>
          <t>97832A262</t>
        </is>
      </c>
      <c r="B719" s="54" t="inlineStr">
        <is>
          <t>97832A262</t>
        </is>
      </c>
      <c r="C719" s="54" t="inlineStr">
        <is>
          <t>McMaster-Carr</t>
        </is>
      </c>
      <c r="D719" s="54" t="inlineStr">
        <is>
          <t>18-8 Stainless Steel Shoulder Screw
3/4" Shoulder Diameter, 2-1/2" Shoulder Length, 1/2"-13 Thread Size</t>
        </is>
      </c>
      <c r="E719" s="15" t="n">
        <v>1</v>
      </c>
      <c r="F719" s="17" t="inlineStr">
        <is>
          <t>Each</t>
        </is>
      </c>
      <c r="G719" s="54" t="inlineStr">
        <is>
          <t>McMaster-Carr</t>
        </is>
      </c>
      <c r="H719" s="54" t="inlineStr">
        <is>
          <t>97832A262</t>
        </is>
      </c>
      <c r="I719" s="15" t="inlineStr">
        <is>
          <t>NO</t>
        </is>
      </c>
      <c r="J719" s="56" t="n">
        <v>34.2</v>
      </c>
      <c r="K719" s="57" t="n">
        <v>45419</v>
      </c>
      <c r="L719" s="19" t="n">
        <v>0</v>
      </c>
      <c r="M719" s="20" t="n">
        <v>34.2</v>
      </c>
      <c r="N719" s="21" t="n">
        <v>45348</v>
      </c>
      <c r="O719" s="22" t="inlineStr">
        <is>
          <t>, 7/6/2023, 34.2, 2/15/2024, 34.2, 5/7/2024, 34.2</t>
        </is>
      </c>
      <c r="P719" s="24" t="n"/>
    </row>
    <row r="720" ht="33" customHeight="1">
      <c r="A720" s="53" t="inlineStr">
        <is>
          <t>97832A263</t>
        </is>
      </c>
      <c r="B720" s="54" t="inlineStr">
        <is>
          <t>97832A263</t>
        </is>
      </c>
      <c r="C720" s="54" t="inlineStr">
        <is>
          <t>McMaster-Carr</t>
        </is>
      </c>
      <c r="D720" s="54" t="inlineStr">
        <is>
          <t>18-8 Stainless Steel Shoulder Screw
3/4" Shoulder Diameter, 3" Shoulder Length, 1/2"-13 Thread Size - Price Checked - 7/6/23</t>
        </is>
      </c>
      <c r="E720" s="15" t="n"/>
      <c r="F720" s="17" t="inlineStr">
        <is>
          <t>Each</t>
        </is>
      </c>
      <c r="G720" s="54" t="inlineStr">
        <is>
          <t>McMaster-Carr</t>
        </is>
      </c>
      <c r="H720" s="54" t="inlineStr">
        <is>
          <t>97832A263</t>
        </is>
      </c>
      <c r="I720" s="15" t="inlineStr">
        <is>
          <t>NO</t>
        </is>
      </c>
      <c r="J720" s="56" t="n">
        <v>36</v>
      </c>
      <c r="K720" s="57" t="n">
        <v>45419</v>
      </c>
      <c r="L720" s="19" t="n">
        <v>0</v>
      </c>
      <c r="M720" s="20" t="n">
        <v>36</v>
      </c>
      <c r="N720" s="21" t="n">
        <v>45113</v>
      </c>
      <c r="O720" s="22" t="inlineStr">
        <is>
          <t>, 7/6/2023, 36, 2/15/2024, 36, 2/26/2024, 36, 5/7/2024, 36</t>
        </is>
      </c>
      <c r="P720" s="24" t="n"/>
    </row>
    <row r="721" ht="33" customHeight="1">
      <c r="A721" s="53" t="inlineStr">
        <is>
          <t>MTP261</t>
        </is>
      </c>
      <c r="B721" s="54" t="inlineStr">
        <is>
          <t>MTP261</t>
        </is>
      </c>
      <c r="C721" s="54" t="inlineStr">
        <is>
          <t>POBCO, Inc.</t>
        </is>
      </c>
      <c r="D721" s="54" t="inlineStr">
        <is>
          <t>MODULAR TRANSFER PLATES GREY ACETAL ROLLERS 3 ROWS (SINGLE)
Note: COMPETING PART TO 16770</t>
        </is>
      </c>
      <c r="E721" s="15" t="n"/>
      <c r="F721" s="17" t="n"/>
      <c r="G721" s="54" t="inlineStr">
        <is>
          <t>POBCO, Inc.</t>
        </is>
      </c>
      <c r="H721" s="54" t="inlineStr">
        <is>
          <t>MTP261</t>
        </is>
      </c>
      <c r="I721" s="15" t="inlineStr">
        <is>
          <t>NO</t>
        </is>
      </c>
      <c r="J721" s="56" t="n">
        <v>21.75</v>
      </c>
      <c r="K721" s="57" t="n">
        <v>45113</v>
      </c>
      <c r="L721" s="19" t="n"/>
      <c r="M721" s="20" t="n"/>
      <c r="N721" s="21" t="n"/>
      <c r="O721" s="22" t="n"/>
      <c r="P721" s="24" t="n"/>
    </row>
    <row r="722" ht="33" customHeight="1">
      <c r="A722" s="53" t="inlineStr">
        <is>
          <t>MTP258</t>
        </is>
      </c>
      <c r="B722" s="54" t="inlineStr">
        <is>
          <t>MTP258</t>
        </is>
      </c>
      <c r="C722" s="54" t="inlineStr">
        <is>
          <t>POBCO, Inc.</t>
        </is>
      </c>
      <c r="D722" s="54" t="inlineStr">
        <is>
          <t>MODULAR TRANSFER PLATES GREY ACETAL ROLLERS 3 ROWS (DOUBLE)
Note: COMPETING PART TO 16771</t>
        </is>
      </c>
      <c r="E722" s="15" t="n"/>
      <c r="F722" s="17" t="n"/>
      <c r="G722" s="54" t="inlineStr">
        <is>
          <t>POBCO, Inc.</t>
        </is>
      </c>
      <c r="H722" s="54" t="inlineStr">
        <is>
          <t>MTP258</t>
        </is>
      </c>
      <c r="I722" s="15" t="inlineStr">
        <is>
          <t>NO</t>
        </is>
      </c>
      <c r="J722" s="56" t="n">
        <v>26.5</v>
      </c>
      <c r="K722" s="57" t="n">
        <v>45113</v>
      </c>
      <c r="L722" s="19" t="n"/>
      <c r="M722" s="20" t="n"/>
      <c r="N722" s="21" t="n"/>
      <c r="O722" s="22" t="n"/>
      <c r="P722" s="24" t="n"/>
    </row>
    <row r="723" ht="33" customHeight="1">
      <c r="A723" s="53" t="inlineStr">
        <is>
          <t>MTP260</t>
        </is>
      </c>
      <c r="B723" s="54" t="inlineStr">
        <is>
          <t>MTP260</t>
        </is>
      </c>
      <c r="C723" s="54" t="inlineStr">
        <is>
          <t>POBCO, Inc.</t>
        </is>
      </c>
      <c r="D723" s="54" t="inlineStr">
        <is>
          <t>MODULAR TRANSFER PLATES GREY ACETAL ROLLERS 5 ROWS (SINGLE)
Note: COMPETING PART TO 16772</t>
        </is>
      </c>
      <c r="E723" s="15" t="n"/>
      <c r="F723" s="17" t="n"/>
      <c r="G723" s="54" t="inlineStr">
        <is>
          <t>POBCO, Inc.</t>
        </is>
      </c>
      <c r="H723" s="54" t="inlineStr">
        <is>
          <t>MTP260</t>
        </is>
      </c>
      <c r="I723" s="15" t="inlineStr">
        <is>
          <t>NO</t>
        </is>
      </c>
      <c r="J723" s="56" t="n">
        <v>23</v>
      </c>
      <c r="K723" s="57" t="n">
        <v>45113</v>
      </c>
      <c r="L723" s="19" t="n"/>
      <c r="M723" s="20" t="n"/>
      <c r="N723" s="21" t="n"/>
      <c r="O723" s="22" t="n"/>
      <c r="P723" s="24" t="n"/>
    </row>
    <row r="724" ht="33" customHeight="1">
      <c r="A724" s="53" t="inlineStr">
        <is>
          <t>MTP257</t>
        </is>
      </c>
      <c r="B724" s="54" t="inlineStr">
        <is>
          <t>MTP257</t>
        </is>
      </c>
      <c r="C724" s="54" t="inlineStr">
        <is>
          <t>POBCO, Inc.</t>
        </is>
      </c>
      <c r="D724" s="54" t="inlineStr">
        <is>
          <t>MODULAR TRANSFER PLATES GREY ACETAL ROLLERS 5 ROWS (DOUBLE)
Note: COMPETING PART TO 16773</t>
        </is>
      </c>
      <c r="E724" s="15" t="n"/>
      <c r="F724" s="17" t="n"/>
      <c r="G724" s="54" t="inlineStr">
        <is>
          <t>POBCO, Inc.</t>
        </is>
      </c>
      <c r="H724" s="54" t="inlineStr">
        <is>
          <t>MTP257</t>
        </is>
      </c>
      <c r="I724" s="15" t="inlineStr">
        <is>
          <t>NO</t>
        </is>
      </c>
      <c r="J724" s="56" t="n">
        <v>28.75</v>
      </c>
      <c r="K724" s="57" t="n">
        <v>45113</v>
      </c>
      <c r="L724" s="19" t="n"/>
      <c r="M724" s="20" t="n"/>
      <c r="N724" s="21" t="n"/>
      <c r="O724" s="22" t="n"/>
      <c r="P724" s="24" t="n"/>
    </row>
    <row r="725" ht="33" customHeight="1">
      <c r="A725" s="53" t="n">
        <v>880137</v>
      </c>
      <c r="B725" s="54" t="n">
        <v>880137</v>
      </c>
      <c r="C725" s="54" t="inlineStr">
        <is>
          <t>FORBO</t>
        </is>
      </c>
      <c r="D725" s="54" t="inlineStr">
        <is>
          <t>880137 Belt Scraper U BLUE-RAL5015 
Dual durometer design Urethane Scraper blade 8 ft
07.27.2023</t>
        </is>
      </c>
      <c r="E725" s="15" t="n"/>
      <c r="F725" s="17" t="n"/>
      <c r="G725" s="54" t="inlineStr">
        <is>
          <t>FORBO</t>
        </is>
      </c>
      <c r="H725" s="54" t="n">
        <v>880137</v>
      </c>
      <c r="I725" s="15" t="inlineStr">
        <is>
          <t>NO</t>
        </is>
      </c>
      <c r="J725" s="56" t="n">
        <v>172.67</v>
      </c>
      <c r="K725" s="57" t="n">
        <v>45134</v>
      </c>
      <c r="L725" s="19" t="n"/>
      <c r="M725" s="20" t="n"/>
      <c r="N725" s="21" t="n"/>
      <c r="O725" s="22" t="n"/>
      <c r="P725" s="24" t="n"/>
    </row>
    <row r="726" ht="33" customHeight="1">
      <c r="A726" s="53" t="n">
        <v>30935</v>
      </c>
      <c r="B726" s="54" t="n">
        <v>30935</v>
      </c>
      <c r="C726" s="54" t="inlineStr">
        <is>
          <t>Festo</t>
        </is>
      </c>
      <c r="D726" s="54" t="inlineStr">
        <is>
          <t>Plug socket with cable, KMF-1-24DC-2.5-LED</t>
        </is>
      </c>
      <c r="E726" s="15" t="n">
        <v>1</v>
      </c>
      <c r="F726" s="17" t="inlineStr">
        <is>
          <t>each</t>
        </is>
      </c>
      <c r="G726" s="54" t="inlineStr">
        <is>
          <t>Festo</t>
        </is>
      </c>
      <c r="H726" s="54" t="n">
        <v>30935</v>
      </c>
      <c r="I726" s="15" t="inlineStr">
        <is>
          <t>NO</t>
        </is>
      </c>
      <c r="J726" s="56" t="n">
        <v>20.06</v>
      </c>
      <c r="K726" s="57" t="n">
        <v>45420</v>
      </c>
      <c r="L726" s="19" t="n">
        <v>0</v>
      </c>
      <c r="M726" s="20" t="n">
        <v>20.06</v>
      </c>
      <c r="N726" s="21" t="n">
        <v>45348</v>
      </c>
      <c r="O726" s="22" t="inlineStr">
        <is>
          <t>, 9/5/2023, 20.06, 2/15/2024, 20.06, 5/8/2024, 20.06</t>
        </is>
      </c>
      <c r="P726" s="24" t="n"/>
    </row>
    <row r="727" ht="33" customHeight="1">
      <c r="A727" s="53" t="n">
        <v>177876</v>
      </c>
      <c r="B727" s="54" t="n">
        <v>177876</v>
      </c>
      <c r="C727" s="54" t="inlineStr">
        <is>
          <t>Festo</t>
        </is>
      </c>
      <c r="D727" s="54" t="inlineStr">
        <is>
          <t xml:space="preserve">Profile Cylinder, DNC-1 5/8"-12"-PPV-A </t>
        </is>
      </c>
      <c r="E727" s="15" t="n">
        <v>1</v>
      </c>
      <c r="F727" s="17" t="inlineStr">
        <is>
          <t>each</t>
        </is>
      </c>
      <c r="G727" s="54" t="inlineStr">
        <is>
          <t>Festo</t>
        </is>
      </c>
      <c r="H727" s="54" t="n">
        <v>177876</v>
      </c>
      <c r="I727" s="15" t="inlineStr">
        <is>
          <t>NO</t>
        </is>
      </c>
      <c r="J727" s="56" t="n">
        <v>267.63</v>
      </c>
      <c r="K727" s="57" t="n">
        <v>45446</v>
      </c>
      <c r="L727" s="19" t="n">
        <v>0</v>
      </c>
      <c r="M727" s="20" t="n">
        <v>267.63</v>
      </c>
      <c r="N727" s="21" t="n">
        <v>45348</v>
      </c>
      <c r="O727" s="22" t="inlineStr">
        <is>
          <t>, 9/5/2023, 244.14, 2/15/2024, 267.63, 5/8/2024, 267.63, 5/8/2024, 267.63</t>
        </is>
      </c>
      <c r="P727" s="24" t="n"/>
    </row>
    <row r="728" ht="33" customHeight="1">
      <c r="A728" s="53" t="n">
        <v>575562</v>
      </c>
      <c r="B728" s="54" t="n">
        <v>575562</v>
      </c>
      <c r="C728" s="54" t="inlineStr">
        <is>
          <t>Festo</t>
        </is>
      </c>
      <c r="D728" s="54" t="inlineStr">
        <is>
          <t>Air solenoid valve, VUVS-L25-P53E-MD-N14-F8 - 09.05.23</t>
        </is>
      </c>
      <c r="E728" s="15" t="n">
        <v>1</v>
      </c>
      <c r="F728" s="17" t="inlineStr">
        <is>
          <t>each</t>
        </is>
      </c>
      <c r="G728" s="54" t="inlineStr">
        <is>
          <t>Festo</t>
        </is>
      </c>
      <c r="H728" s="54" t="n">
        <v>575562</v>
      </c>
      <c r="I728" s="15" t="inlineStr">
        <is>
          <t>NO</t>
        </is>
      </c>
      <c r="J728" s="56" t="n">
        <v>78.09</v>
      </c>
      <c r="K728" s="57" t="n">
        <v>45348</v>
      </c>
      <c r="L728" s="19" t="n">
        <v>0</v>
      </c>
      <c r="M728" s="20" t="n">
        <v>78.09</v>
      </c>
      <c r="N728" s="21" t="n">
        <v>45174</v>
      </c>
      <c r="O728" s="22" t="inlineStr">
        <is>
          <t>, 9/5/2023, 78.09, 2/15/2024, 78.09</t>
        </is>
      </c>
      <c r="P728" s="24" t="n"/>
    </row>
    <row r="729" ht="33" customHeight="1">
      <c r="A729" s="53" t="inlineStr">
        <is>
          <t>92949A623</t>
        </is>
      </c>
      <c r="B729" s="54" t="inlineStr">
        <is>
          <t>92949A623</t>
        </is>
      </c>
      <c r="C729" s="54" t="inlineStr">
        <is>
          <t>McMaster-Carr</t>
        </is>
      </c>
      <c r="D729" s="54" t="inlineStr">
        <is>
          <t>18-8 Stainless Steel Button Head Hex Drive Screw
3/8"-16 Thread Size, 7/8" Long (Pack of 10) - Price Checked - 09.05.23</t>
        </is>
      </c>
      <c r="E729" s="15" t="n">
        <v>10</v>
      </c>
      <c r="F729" s="17" t="inlineStr">
        <is>
          <t>pack</t>
        </is>
      </c>
      <c r="G729" s="54" t="inlineStr">
        <is>
          <t>McMaster-Carr</t>
        </is>
      </c>
      <c r="H729" s="54" t="inlineStr">
        <is>
          <t>92949A623</t>
        </is>
      </c>
      <c r="I729" s="15" t="inlineStr">
        <is>
          <t>NO</t>
        </is>
      </c>
      <c r="J729" s="56" t="n">
        <v>6.04</v>
      </c>
      <c r="K729" s="57" t="n">
        <v>45348</v>
      </c>
      <c r="L729" s="19" t="n">
        <v>0</v>
      </c>
      <c r="M729" s="20" t="n">
        <v>6.04</v>
      </c>
      <c r="N729" s="21" t="n">
        <v>45174</v>
      </c>
      <c r="O729" s="22" t="inlineStr">
        <is>
          <t>, 9/5/2023, 6.04, 2/15/2024, 6.04</t>
        </is>
      </c>
      <c r="P729" s="24" t="n"/>
    </row>
    <row r="730" ht="33" customHeight="1">
      <c r="A730" s="53" t="n">
        <v>8300847</v>
      </c>
      <c r="B730" s="54" t="n">
        <v>8300847</v>
      </c>
      <c r="C730" s="54" t="inlineStr">
        <is>
          <t>POBCO, Inc.</t>
        </is>
      </c>
      <c r="D730" s="54" t="inlineStr">
        <is>
          <t>Plastic U Handle, 1/4-20, 4.13" On center, Comes standard as black</t>
        </is>
      </c>
      <c r="E730" s="15" t="n">
        <v>1</v>
      </c>
      <c r="F730" s="17" t="inlineStr">
        <is>
          <t>each</t>
        </is>
      </c>
      <c r="G730" s="54" t="inlineStr">
        <is>
          <t>POBCO, Inc.</t>
        </is>
      </c>
      <c r="H730" s="54" t="n">
        <v>8300847</v>
      </c>
      <c r="I730" s="15" t="inlineStr">
        <is>
          <t>NO</t>
        </is>
      </c>
      <c r="J730" s="56" t="n">
        <v>15.95</v>
      </c>
      <c r="K730" s="57" t="n">
        <v>45175</v>
      </c>
      <c r="L730" s="19" t="n"/>
      <c r="M730" s="20" t="n"/>
      <c r="N730" s="21" t="n"/>
      <c r="O730" s="22" t="n"/>
      <c r="P730" s="24" t="n"/>
    </row>
    <row r="731" ht="33" customHeight="1">
      <c r="A731" s="53" t="inlineStr">
        <is>
          <t>VG-JSL075-125-NS-100</t>
        </is>
      </c>
      <c r="B731" s="54" t="inlineStr">
        <is>
          <t>VG-JSL075-125-NS-100</t>
        </is>
      </c>
      <c r="C731" s="54" t="inlineStr">
        <is>
          <t>Emerson</t>
        </is>
      </c>
      <c r="D731" s="55" t="inlineStr">
        <is>
          <t>Nolu-S J-Leg, 1/8" X 3/4", 100 ft. - 1EA  - Price Checked - 9/06/23</t>
        </is>
      </c>
      <c r="E731" s="15" t="n"/>
      <c r="F731" s="17" t="n"/>
      <c r="G731" s="54" t="inlineStr">
        <is>
          <t>Regal Rexnord</t>
        </is>
      </c>
      <c r="H731" s="54" t="inlineStr">
        <is>
          <t>VG-JSL075-125-NS-100</t>
        </is>
      </c>
      <c r="I731" s="15" t="inlineStr">
        <is>
          <t>NO</t>
        </is>
      </c>
      <c r="J731" s="56" t="n">
        <v>228</v>
      </c>
      <c r="K731" s="57" t="n">
        <v>45175</v>
      </c>
      <c r="L731" s="19" t="n"/>
      <c r="M731" s="20" t="n"/>
      <c r="N731" s="21" t="n"/>
      <c r="O731" s="22" t="n"/>
      <c r="P731" s="24" t="n"/>
    </row>
    <row r="732" ht="33" customHeight="1">
      <c r="A732" s="53" t="inlineStr">
        <is>
          <t>3257K28</t>
        </is>
      </c>
      <c r="B732" s="54" t="inlineStr">
        <is>
          <t>3257K28</t>
        </is>
      </c>
      <c r="C732" s="54" t="inlineStr">
        <is>
          <t>McMaster-Carr</t>
        </is>
      </c>
      <c r="D732" s="54" t="inlineStr">
        <is>
          <t>Square Shaft Collar for 2-1/2" Width, 303 Stainless Steel - 09.08.23</t>
        </is>
      </c>
      <c r="E732" s="15" t="n"/>
      <c r="F732" s="17" t="inlineStr">
        <is>
          <t>Each</t>
        </is>
      </c>
      <c r="G732" s="54" t="inlineStr">
        <is>
          <t>McMaster-Carr</t>
        </is>
      </c>
      <c r="H732" s="54" t="inlineStr">
        <is>
          <t>3257K28</t>
        </is>
      </c>
      <c r="I732" s="15" t="inlineStr">
        <is>
          <t>NO</t>
        </is>
      </c>
      <c r="J732" s="56" t="n">
        <v>178.42</v>
      </c>
      <c r="K732" s="57" t="n">
        <v>45348</v>
      </c>
      <c r="L732" s="19" t="n">
        <v>0</v>
      </c>
      <c r="M732" s="20" t="n">
        <v>178.42</v>
      </c>
      <c r="N732" s="21" t="n">
        <v>45337</v>
      </c>
      <c r="O732" s="22" t="inlineStr">
        <is>
          <t>, 9/8/2023, 144.83, 2/15/2024, 178.42</t>
        </is>
      </c>
      <c r="P732" s="24" t="n"/>
    </row>
    <row r="733" ht="33" customHeight="1">
      <c r="A733" s="67" t="inlineStr">
        <is>
          <t>9307K23</t>
        </is>
      </c>
      <c r="B733" s="54" t="inlineStr">
        <is>
          <t>9307K23</t>
        </is>
      </c>
      <c r="C733" s="54" t="inlineStr">
        <is>
          <t>McMaster-Carr</t>
        </is>
      </c>
      <c r="D733" s="54" t="inlineStr">
        <is>
          <t>Buna-N Rubber Grommets
for 5/8" Hole Diameter and 1/8" Material Thickness, 3/8" ID (PACK OF 50) - 09.08.23</t>
        </is>
      </c>
      <c r="E733" s="15" t="n">
        <v>50</v>
      </c>
      <c r="F733" s="17" t="inlineStr">
        <is>
          <t>pack</t>
        </is>
      </c>
      <c r="G733" s="54" t="inlineStr">
        <is>
          <t>McMaster-Carr</t>
        </is>
      </c>
      <c r="H733" s="54" t="inlineStr">
        <is>
          <t>9307K23</t>
        </is>
      </c>
      <c r="I733" s="15" t="inlineStr">
        <is>
          <t>NO</t>
        </is>
      </c>
      <c r="J733" s="56" t="n">
        <v>9.56</v>
      </c>
      <c r="K733" s="57" t="n">
        <v>45348</v>
      </c>
      <c r="L733" s="19" t="n">
        <v>0</v>
      </c>
      <c r="M733" s="20" t="n">
        <v>9.56</v>
      </c>
      <c r="N733" s="21" t="n">
        <v>45177</v>
      </c>
      <c r="O733" s="22" t="inlineStr">
        <is>
          <t>, 9/8/2023, 9.56, 2/15/2024, 9.56</t>
        </is>
      </c>
      <c r="P733" s="24" t="n"/>
    </row>
    <row r="734" ht="33" customHeight="1">
      <c r="A734" s="53" t="inlineStr">
        <is>
          <t>90316A540</t>
        </is>
      </c>
      <c r="B734" s="54" t="inlineStr">
        <is>
          <t>90316A540</t>
        </is>
      </c>
      <c r="C734" s="54" t="inlineStr">
        <is>
          <t>McMaster-Carr</t>
        </is>
      </c>
      <c r="D734" s="54" t="inlineStr">
        <is>
          <t>Flanged Hex Head Screws with Slotted Drive
18-8 Stainless Steel, 1/4"-20 Thread Size, 3/4" Long (PACK OF 25) - 09.08.23</t>
        </is>
      </c>
      <c r="E734" s="15" t="n">
        <v>25</v>
      </c>
      <c r="F734" s="17" t="inlineStr">
        <is>
          <t>pack</t>
        </is>
      </c>
      <c r="G734" s="54" t="inlineStr">
        <is>
          <t>McMaster-Carr</t>
        </is>
      </c>
      <c r="H734" s="54" t="inlineStr">
        <is>
          <t>90316A540</t>
        </is>
      </c>
      <c r="I734" s="15" t="inlineStr">
        <is>
          <t>NO</t>
        </is>
      </c>
      <c r="J734" s="56" t="n">
        <v>11.71</v>
      </c>
      <c r="K734" s="57" t="n">
        <v>45348</v>
      </c>
      <c r="L734" s="19" t="n">
        <v>0</v>
      </c>
      <c r="M734" s="20" t="n">
        <v>11.71</v>
      </c>
      <c r="N734" s="21" t="n">
        <v>45337</v>
      </c>
      <c r="O734" s="22" t="inlineStr">
        <is>
          <t>, 9/8/2023, 9.06, 2/15/2024, 11.71</t>
        </is>
      </c>
      <c r="P734" s="24" t="n"/>
    </row>
    <row r="735" ht="33" customHeight="1">
      <c r="A735" s="67" t="inlineStr">
        <is>
          <t>91287A152</t>
        </is>
      </c>
      <c r="B735" s="54" t="inlineStr">
        <is>
          <t>91287A152</t>
        </is>
      </c>
      <c r="C735" s="54" t="inlineStr">
        <is>
          <t>McMaster-Carr</t>
        </is>
      </c>
      <c r="D735" s="54" t="inlineStr">
        <is>
          <t>18-8 Stainless Steel Hex Head Screw
M8 x 1.25 mm Thread, 20 mm Long (PACK OF 25) - 09.08.23</t>
        </is>
      </c>
      <c r="E735" s="15" t="n">
        <v>25</v>
      </c>
      <c r="F735" s="17" t="inlineStr">
        <is>
          <t>pack</t>
        </is>
      </c>
      <c r="G735" s="54" t="inlineStr">
        <is>
          <t>McMaster-Carr</t>
        </is>
      </c>
      <c r="H735" s="54" t="inlineStr">
        <is>
          <t>91287A152</t>
        </is>
      </c>
      <c r="I735" s="15" t="inlineStr">
        <is>
          <t>NO</t>
        </is>
      </c>
      <c r="J735" s="56" t="n">
        <v>17.75</v>
      </c>
      <c r="K735" s="57" t="n">
        <v>45348</v>
      </c>
      <c r="L735" s="19" t="n">
        <v>0</v>
      </c>
      <c r="M735" s="20" t="n">
        <v>17.75</v>
      </c>
      <c r="N735" s="21" t="n">
        <v>45177</v>
      </c>
      <c r="O735" s="22" t="inlineStr">
        <is>
          <t>, 9/8/2023, 17.75, 2/15/2024, 17.75</t>
        </is>
      </c>
      <c r="P735" s="24" t="n"/>
    </row>
    <row r="736" ht="33" customHeight="1">
      <c r="A736" s="53" t="inlineStr">
        <is>
          <t>91287A187</t>
        </is>
      </c>
      <c r="B736" s="54" t="inlineStr">
        <is>
          <t>91287A187</t>
        </is>
      </c>
      <c r="C736" s="54" t="inlineStr">
        <is>
          <t>McMaster-Carr</t>
        </is>
      </c>
      <c r="D736" s="54" t="inlineStr">
        <is>
          <t>18-8 Stainless Steel Hex Head Screw
M12 x 1.75 mm Thread, 20 mm Long (PACK OF 10) - 09.08.23</t>
        </is>
      </c>
      <c r="E736" s="15" t="n">
        <v>10</v>
      </c>
      <c r="F736" s="17" t="inlineStr">
        <is>
          <t>pack</t>
        </is>
      </c>
      <c r="G736" s="54" t="inlineStr">
        <is>
          <t>McMaster-Carr</t>
        </is>
      </c>
      <c r="H736" s="54" t="inlineStr">
        <is>
          <t>91287A187</t>
        </is>
      </c>
      <c r="I736" s="15" t="inlineStr">
        <is>
          <t>NO</t>
        </is>
      </c>
      <c r="J736" s="56" t="n">
        <v>18.54</v>
      </c>
      <c r="K736" s="57" t="n">
        <v>45348</v>
      </c>
      <c r="L736" s="19" t="n">
        <v>0</v>
      </c>
      <c r="M736" s="20" t="n">
        <v>18.54</v>
      </c>
      <c r="N736" s="21" t="n">
        <v>45177</v>
      </c>
      <c r="O736" s="22" t="inlineStr">
        <is>
          <t>, 9/8/2023, 18.54, 2/15/2024, 18.54</t>
        </is>
      </c>
      <c r="P736" s="24" t="n"/>
    </row>
    <row r="737" ht="33" customHeight="1">
      <c r="A737" s="53" t="inlineStr">
        <is>
          <t>92196A542-</t>
        </is>
      </c>
      <c r="B737" s="54" t="inlineStr">
        <is>
          <t>92196A542</t>
        </is>
      </c>
      <c r="C737" s="54" t="inlineStr">
        <is>
          <t>McMaster-Carr</t>
        </is>
      </c>
      <c r="D737" s="54" t="inlineStr">
        <is>
          <t>18-8 Stainless Steel Socket Head Screw
1/4"-20 Thread Size, 1" Long (PACK OF 50) - 09.08.23</t>
        </is>
      </c>
      <c r="E737" s="15" t="n">
        <v>50</v>
      </c>
      <c r="F737" s="17" t="inlineStr">
        <is>
          <t>pack</t>
        </is>
      </c>
      <c r="G737" s="54" t="inlineStr">
        <is>
          <t>McMaster-Carr</t>
        </is>
      </c>
      <c r="H737" s="54" t="inlineStr">
        <is>
          <t>92196A542</t>
        </is>
      </c>
      <c r="I737" s="15" t="inlineStr">
        <is>
          <t>NO</t>
        </is>
      </c>
      <c r="J737" s="56" t="n">
        <v>34.74</v>
      </c>
      <c r="K737" s="57" t="n">
        <v>45348</v>
      </c>
      <c r="L737" s="19" t="n">
        <v>0</v>
      </c>
      <c r="M737" s="20" t="n">
        <v>34.74</v>
      </c>
      <c r="N737" s="21" t="n">
        <v>45177</v>
      </c>
      <c r="O737" s="22" t="inlineStr">
        <is>
          <t>, 9/8/2023, 34.74, 2/15/2024, 34.74</t>
        </is>
      </c>
      <c r="P737" s="24" t="n"/>
    </row>
    <row r="738" ht="33" customHeight="1">
      <c r="A738" s="53" t="inlineStr">
        <is>
          <t>92620A839</t>
        </is>
      </c>
      <c r="B738" s="54" t="inlineStr">
        <is>
          <t>92620A839</t>
        </is>
      </c>
      <c r="C738" s="54" t="inlineStr">
        <is>
          <t>McMaster-Carr</t>
        </is>
      </c>
      <c r="D738" s="54" t="inlineStr">
        <is>
          <t>Zinc Yellow-Chromate Plated Hex Head Screw
Grade 8 Steel, 3/4"-10 Thread Size, 1-1/2" Long (PACK OF 5) - 09.08.23</t>
        </is>
      </c>
      <c r="E738" s="15" t="n">
        <v>5</v>
      </c>
      <c r="F738" s="17" t="inlineStr">
        <is>
          <t>pack</t>
        </is>
      </c>
      <c r="G738" s="54" t="inlineStr">
        <is>
          <t>McMaster-Carr</t>
        </is>
      </c>
      <c r="H738" s="54" t="inlineStr">
        <is>
          <t>92620A839</t>
        </is>
      </c>
      <c r="I738" s="15" t="inlineStr">
        <is>
          <t>NO</t>
        </is>
      </c>
      <c r="J738" s="56" t="n">
        <v>17.41</v>
      </c>
      <c r="K738" s="57" t="n">
        <v>45348</v>
      </c>
      <c r="L738" s="19" t="n">
        <v>0</v>
      </c>
      <c r="M738" s="20" t="n">
        <v>17.41</v>
      </c>
      <c r="N738" s="21" t="n">
        <v>45177</v>
      </c>
      <c r="O738" s="22" t="inlineStr">
        <is>
          <t>, 9/8/2023, 17.41, 2/15/2024, 17.41</t>
        </is>
      </c>
      <c r="P738" s="24" t="n"/>
    </row>
    <row r="739" ht="33" customHeight="1">
      <c r="A739" s="53" t="inlineStr">
        <is>
          <t>92949A262</t>
        </is>
      </c>
      <c r="B739" s="54" t="inlineStr">
        <is>
          <t>92949A262</t>
        </is>
      </c>
      <c r="C739" s="54" t="inlineStr">
        <is>
          <t>McMaster-Carr</t>
        </is>
      </c>
      <c r="D739" s="54" t="inlineStr">
        <is>
          <t>18-8 Stainless Steel Button Head Hex Drive Screw
10-32 Thread Size, 5/16" Long (PACK OF 100) - 09.08.23</t>
        </is>
      </c>
      <c r="E739" s="15" t="n">
        <v>100</v>
      </c>
      <c r="F739" s="17" t="inlineStr">
        <is>
          <t>pack</t>
        </is>
      </c>
      <c r="G739" s="54" t="inlineStr">
        <is>
          <t>McMaster-Carr</t>
        </is>
      </c>
      <c r="H739" s="54" t="inlineStr">
        <is>
          <t>92949A262</t>
        </is>
      </c>
      <c r="I739" s="15" t="inlineStr">
        <is>
          <t>NO</t>
        </is>
      </c>
      <c r="J739" s="56" t="n">
        <v>9.85</v>
      </c>
      <c r="K739" s="57" t="n">
        <v>45348</v>
      </c>
      <c r="L739" s="19" t="n">
        <v>0</v>
      </c>
      <c r="M739" s="20" t="n">
        <v>9.85</v>
      </c>
      <c r="N739" s="21" t="n">
        <v>45337</v>
      </c>
      <c r="O739" s="22" t="inlineStr">
        <is>
          <t>, 9/8/2023, 10.27, 2/15/2024, 9.85</t>
        </is>
      </c>
      <c r="P739" s="24" t="n"/>
    </row>
    <row r="740" ht="33" customHeight="1">
      <c r="A740" s="53" t="inlineStr">
        <is>
          <t>97042A316</t>
        </is>
      </c>
      <c r="B740" s="54" t="inlineStr">
        <is>
          <t>97042A316</t>
        </is>
      </c>
      <c r="C740" s="54" t="inlineStr">
        <is>
          <t>McMaster-Carr</t>
        </is>
      </c>
      <c r="D740" s="54" t="inlineStr">
        <is>
          <t>18-8 Stainless Steel Threaded on One End Stud
3/8"-16 Thread, 1-1/2" Long - 09.08.23</t>
        </is>
      </c>
      <c r="E740" s="15" t="n"/>
      <c r="F740" s="17" t="inlineStr">
        <is>
          <t>Each</t>
        </is>
      </c>
      <c r="G740" s="54" t="inlineStr">
        <is>
          <t>McMaster-Carr</t>
        </is>
      </c>
      <c r="H740" s="54" t="inlineStr">
        <is>
          <t>97042A316</t>
        </is>
      </c>
      <c r="I740" s="15" t="inlineStr">
        <is>
          <t>NO</t>
        </is>
      </c>
      <c r="J740" s="56" t="n">
        <v>6.57</v>
      </c>
      <c r="K740" s="57" t="n">
        <v>45348</v>
      </c>
      <c r="L740" s="19" t="n">
        <v>0</v>
      </c>
      <c r="M740" s="20" t="n">
        <v>6.57</v>
      </c>
      <c r="N740" s="21" t="n">
        <v>45177</v>
      </c>
      <c r="O740" s="22" t="inlineStr">
        <is>
          <t>, 9/8/2023, 6.57, 2/15/2024, 6.57</t>
        </is>
      </c>
      <c r="P740" s="24" t="n"/>
    </row>
    <row r="741" ht="33" customHeight="1">
      <c r="A741" s="53" t="inlineStr">
        <is>
          <t>92198A126</t>
        </is>
      </c>
      <c r="B741" s="54" t="inlineStr">
        <is>
          <t>92198A126</t>
        </is>
      </c>
      <c r="C741" s="54" t="inlineStr">
        <is>
          <t>McMaster-Carr</t>
        </is>
      </c>
      <c r="D741" s="54" t="inlineStr">
        <is>
          <t>18-8 Stainless Steel Hex Head Screw
1/2"-13 Thread Size, 1-5/8" Long (Pack of 5) - 09.11.23</t>
        </is>
      </c>
      <c r="E741" s="15" t="n">
        <v>5</v>
      </c>
      <c r="F741" s="17" t="inlineStr">
        <is>
          <t>pack</t>
        </is>
      </c>
      <c r="G741" s="54" t="inlineStr">
        <is>
          <t>McMaster-Carr</t>
        </is>
      </c>
      <c r="H741" s="54" t="inlineStr">
        <is>
          <t>92198A126</t>
        </is>
      </c>
      <c r="I741" s="15" t="inlineStr">
        <is>
          <t>NO</t>
        </is>
      </c>
      <c r="J741" s="56" t="n">
        <v>4.24</v>
      </c>
      <c r="K741" s="57" t="n">
        <v>45348</v>
      </c>
      <c r="L741" s="19" t="n">
        <v>0</v>
      </c>
      <c r="M741" s="20" t="n">
        <v>4.24</v>
      </c>
      <c r="N741" s="21" t="n">
        <v>45337</v>
      </c>
      <c r="O741" s="22" t="inlineStr">
        <is>
          <t>, 9/11/2023, 4.95, 2/15/2024, 4.24</t>
        </is>
      </c>
      <c r="P741" s="24" t="n"/>
    </row>
    <row r="742" ht="33" customHeight="1">
      <c r="A742" s="53" t="inlineStr">
        <is>
          <t>92240A667</t>
        </is>
      </c>
      <c r="B742" s="54" t="inlineStr">
        <is>
          <t>92240A667</t>
        </is>
      </c>
      <c r="C742" s="54" t="inlineStr">
        <is>
          <t>McMaster-Carr</t>
        </is>
      </c>
      <c r="D742" s="54" t="inlineStr">
        <is>
          <t>18-8 Stainless Steel Hex Head Screw
7/16"-14 Thread Size, 3/4" Long (Pack of 10) - 09.11.23</t>
        </is>
      </c>
      <c r="E742" s="15" t="n">
        <v>10</v>
      </c>
      <c r="F742" s="17" t="inlineStr">
        <is>
          <t>pack</t>
        </is>
      </c>
      <c r="G742" s="54" t="inlineStr">
        <is>
          <t>McMaster-Carr</t>
        </is>
      </c>
      <c r="H742" s="54" t="inlineStr">
        <is>
          <t>92240A667</t>
        </is>
      </c>
      <c r="I742" s="15" t="inlineStr">
        <is>
          <t>NO</t>
        </is>
      </c>
      <c r="J742" s="56" t="n">
        <v>5.25</v>
      </c>
      <c r="K742" s="57" t="n">
        <v>45348</v>
      </c>
      <c r="L742" s="19" t="n">
        <v>0</v>
      </c>
      <c r="M742" s="20" t="n">
        <v>5.25</v>
      </c>
      <c r="N742" s="21" t="n">
        <v>45337</v>
      </c>
      <c r="O742" s="22" t="inlineStr">
        <is>
          <t>, 9/11/2023, 5.52, 2/15/2024, 5.25</t>
        </is>
      </c>
      <c r="P742" s="24" t="n"/>
    </row>
    <row r="743" ht="33" customHeight="1">
      <c r="A743" s="53" t="inlineStr">
        <is>
          <t>92356A542</t>
        </is>
      </c>
      <c r="B743" s="54" t="inlineStr">
        <is>
          <t>92356A542</t>
        </is>
      </c>
      <c r="C743" s="54" t="inlineStr">
        <is>
          <t>McMaster-Carr</t>
        </is>
      </c>
      <c r="D743" s="54" t="inlineStr">
        <is>
          <t>18-8 Stainless Steel Square-Neck Carriage Bolt
1/4"-20 Thread Size, 1" Long (Pack of 25) - 09.11.23</t>
        </is>
      </c>
      <c r="E743" s="15" t="n">
        <v>25</v>
      </c>
      <c r="F743" s="17" t="inlineStr">
        <is>
          <t>pack</t>
        </is>
      </c>
      <c r="G743" s="54" t="inlineStr">
        <is>
          <t>McMaster-Carr</t>
        </is>
      </c>
      <c r="H743" s="54" t="inlineStr">
        <is>
          <t>92356A542</t>
        </is>
      </c>
      <c r="I743" s="15" t="inlineStr">
        <is>
          <t>NO</t>
        </is>
      </c>
      <c r="J743" s="56" t="n">
        <v>6.08</v>
      </c>
      <c r="K743" s="57" t="n">
        <v>45348</v>
      </c>
      <c r="L743" s="19" t="n">
        <v>0</v>
      </c>
      <c r="M743" s="20" t="n">
        <v>6.08</v>
      </c>
      <c r="N743" s="21" t="n">
        <v>45337</v>
      </c>
      <c r="O743" s="22" t="inlineStr">
        <is>
          <t>, 9/11/2023, 6.76, 2/15/2024, 6.08</t>
        </is>
      </c>
      <c r="P743" s="24" t="n"/>
    </row>
    <row r="744" ht="33" customHeight="1">
      <c r="A744" s="53" t="inlineStr">
        <is>
          <t>92356A546</t>
        </is>
      </c>
      <c r="B744" s="54" t="inlineStr">
        <is>
          <t>92356A546</t>
        </is>
      </c>
      <c r="C744" s="54" t="inlineStr">
        <is>
          <t>McMaster-Carr</t>
        </is>
      </c>
      <c r="D744" s="54" t="inlineStr">
        <is>
          <t>18-8 Stainless Steel Square-Neck Carriage Bolt
1/4"-20 Thread Size, 1-1/2" Long (Pack of 25) - 09.11.23</t>
        </is>
      </c>
      <c r="E744" s="15" t="n">
        <v>25</v>
      </c>
      <c r="F744" s="17" t="inlineStr">
        <is>
          <t>pack</t>
        </is>
      </c>
      <c r="G744" s="54" t="inlineStr">
        <is>
          <t>McMaster-Carr</t>
        </is>
      </c>
      <c r="H744" s="54" t="inlineStr">
        <is>
          <t>92356A546</t>
        </is>
      </c>
      <c r="I744" s="15" t="inlineStr">
        <is>
          <t>NO</t>
        </is>
      </c>
      <c r="J744" s="56" t="n">
        <v>7.63</v>
      </c>
      <c r="K744" s="57" t="n">
        <v>45348</v>
      </c>
      <c r="L744" s="19" t="n">
        <v>0</v>
      </c>
      <c r="M744" s="20" t="n">
        <v>7.63</v>
      </c>
      <c r="N744" s="21" t="n">
        <v>45337</v>
      </c>
      <c r="O744" s="22" t="inlineStr">
        <is>
          <t>, 9/11/2023, 8.27, 2/15/2024, 7.63</t>
        </is>
      </c>
      <c r="P744" s="24" t="n"/>
    </row>
    <row r="745" ht="33" customHeight="1">
      <c r="A745" s="53" t="inlineStr">
        <is>
          <t>92356A115</t>
        </is>
      </c>
      <c r="B745" s="54" t="inlineStr">
        <is>
          <t>92356A115</t>
        </is>
      </c>
      <c r="C745" s="54" t="inlineStr">
        <is>
          <t>McMaster-Carr</t>
        </is>
      </c>
      <c r="D745" s="54" t="inlineStr">
        <is>
          <t>18-8 Stainless Steel Square-Neck Carriage Bolt
1/4"-20 Thread Size, 7/8" Long (Pack of 25) - 09.11.23</t>
        </is>
      </c>
      <c r="E745" s="15" t="n">
        <v>50</v>
      </c>
      <c r="F745" s="17" t="inlineStr">
        <is>
          <t>pack</t>
        </is>
      </c>
      <c r="G745" s="54" t="inlineStr">
        <is>
          <t>McMaster-Carr</t>
        </is>
      </c>
      <c r="H745" s="54" t="inlineStr">
        <is>
          <t>92356A115</t>
        </is>
      </c>
      <c r="I745" s="15" t="inlineStr">
        <is>
          <t>NO</t>
        </is>
      </c>
      <c r="J745" s="56" t="n">
        <v>13.75</v>
      </c>
      <c r="K745" s="57" t="n">
        <v>45348</v>
      </c>
      <c r="L745" s="19" t="n">
        <v>0</v>
      </c>
      <c r="M745" s="20" t="n">
        <v>13.75</v>
      </c>
      <c r="N745" s="21" t="n">
        <v>45180</v>
      </c>
      <c r="O745" s="22" t="inlineStr">
        <is>
          <t>, 9/11/2023, 13.75, 2/15/2024, 13.75</t>
        </is>
      </c>
      <c r="P745" s="24" t="n"/>
    </row>
    <row r="746" ht="33" customHeight="1">
      <c r="A746" s="53" t="inlineStr">
        <is>
          <t>HX-FIX106-34-6</t>
        </is>
      </c>
      <c r="B746" s="54" t="inlineStr">
        <is>
          <t>HX-FIX106-34-6</t>
        </is>
      </c>
      <c r="C746" s="54" t="inlineStr">
        <is>
          <t>NGI</t>
        </is>
      </c>
      <c r="D746" s="54" t="inlineStr">
        <is>
          <t>4" Adjustable Leveler - Stanitary Style - SS Stem &amp; Base - 1x Lag Hole Tab - 6"x3/4-10 Stem</t>
        </is>
      </c>
      <c r="E746" s="15" t="n">
        <v>1</v>
      </c>
      <c r="F746" s="17" t="inlineStr">
        <is>
          <t>each</t>
        </is>
      </c>
      <c r="G746" s="54" t="inlineStr">
        <is>
          <t>NGI</t>
        </is>
      </c>
      <c r="H746" s="54" t="inlineStr">
        <is>
          <t>HX-FIX106-34-6</t>
        </is>
      </c>
      <c r="I746" s="15" t="inlineStr">
        <is>
          <t>NO</t>
        </is>
      </c>
      <c r="J746" s="56" t="n">
        <v>45.95</v>
      </c>
      <c r="K746" s="57" t="n">
        <v>45293</v>
      </c>
      <c r="L746" s="19" t="n"/>
      <c r="M746" s="20" t="n"/>
      <c r="N746" s="21" t="n"/>
      <c r="O746" s="22" t="n"/>
      <c r="P746" s="24" t="n"/>
    </row>
    <row r="747" ht="33" customHeight="1">
      <c r="A747" s="53" t="inlineStr">
        <is>
          <t>92240A750</t>
        </is>
      </c>
      <c r="B747" s="54" t="inlineStr">
        <is>
          <t>92240A750</t>
        </is>
      </c>
      <c r="C747" s="54" t="inlineStr">
        <is>
          <t>McMaster-Carr</t>
        </is>
      </c>
      <c r="D747" s="54" t="inlineStr">
        <is>
          <t>18-8 Stainless Steel Hex Head Screw
1/2"-13 Thread Size, 1/2" Long (Pack of 10) - 09.11.23</t>
        </is>
      </c>
      <c r="E747" s="15" t="n">
        <v>10</v>
      </c>
      <c r="F747" s="17" t="inlineStr">
        <is>
          <t>pack</t>
        </is>
      </c>
      <c r="G747" s="54" t="inlineStr">
        <is>
          <t>McMaster-Carr</t>
        </is>
      </c>
      <c r="H747" s="54" t="inlineStr">
        <is>
          <t>92240A750</t>
        </is>
      </c>
      <c r="I747" s="15" t="inlineStr">
        <is>
          <t>NO</t>
        </is>
      </c>
      <c r="J747" s="56" t="n">
        <v>5.95</v>
      </c>
      <c r="K747" s="57" t="n">
        <v>45348</v>
      </c>
      <c r="L747" s="19" t="n">
        <v>0</v>
      </c>
      <c r="M747" s="20" t="n">
        <v>5.95</v>
      </c>
      <c r="N747" s="21" t="n">
        <v>45337</v>
      </c>
      <c r="O747" s="22" t="inlineStr">
        <is>
          <t>, 9/11/2023, 6.47, 2/15/2024, 5.95</t>
        </is>
      </c>
      <c r="P747" s="24" t="n"/>
    </row>
    <row r="748" ht="33" customHeight="1">
      <c r="A748" s="53" t="inlineStr">
        <is>
          <t>92620A714</t>
        </is>
      </c>
      <c r="B748" s="54" t="inlineStr">
        <is>
          <t>92620A714</t>
        </is>
      </c>
      <c r="C748" s="54" t="inlineStr">
        <is>
          <t>McMaster-Carr</t>
        </is>
      </c>
      <c r="D748" s="54" t="inlineStr">
        <is>
          <t>Zinc Yellow-Chromate Plated Hex Head Screw
Grade 8 Steel, 1/2"-13 Thread Size, 1-1/4" Long (Pack of 10) - 09.11.23</t>
        </is>
      </c>
      <c r="E748" s="15" t="n">
        <v>10</v>
      </c>
      <c r="F748" s="17" t="inlineStr">
        <is>
          <t>pack</t>
        </is>
      </c>
      <c r="G748" s="54" t="inlineStr">
        <is>
          <t>McMaster-Carr</t>
        </is>
      </c>
      <c r="H748" s="54" t="inlineStr">
        <is>
          <t>92620A714</t>
        </is>
      </c>
      <c r="I748" s="15" t="inlineStr">
        <is>
          <t>NO</t>
        </is>
      </c>
      <c r="J748" s="56" t="n">
        <v>9.48</v>
      </c>
      <c r="K748" s="57" t="n">
        <v>45348</v>
      </c>
      <c r="L748" s="19" t="n">
        <v>0</v>
      </c>
      <c r="M748" s="20" t="n">
        <v>9.48</v>
      </c>
      <c r="N748" s="21" t="n">
        <v>45180</v>
      </c>
      <c r="O748" s="22" t="inlineStr">
        <is>
          <t>, 9/11/2023, 9.48, 2/15/2024, 9.48</t>
        </is>
      </c>
      <c r="P748" s="24" t="n"/>
    </row>
    <row r="749" ht="33" customHeight="1">
      <c r="A749" s="53" t="inlineStr">
        <is>
          <t>94639A859</t>
        </is>
      </c>
      <c r="B749" s="54" t="inlineStr">
        <is>
          <t>94639A859</t>
        </is>
      </c>
      <c r="C749" s="54" t="inlineStr">
        <is>
          <t>McMaster-Carr</t>
        </is>
      </c>
      <c r="D749" s="54" t="inlineStr">
        <is>
          <t>Off-White Nylon Unthreaded Spacer
3/4" OD, 1" Long, for 5/16" Screw Size (Pack of 25) - 09.11.23</t>
        </is>
      </c>
      <c r="E749" s="15" t="n">
        <v>25</v>
      </c>
      <c r="F749" s="17" t="inlineStr">
        <is>
          <t>pack</t>
        </is>
      </c>
      <c r="G749" s="54" t="inlineStr">
        <is>
          <t>McMaster-Carr</t>
        </is>
      </c>
      <c r="H749" s="54" t="inlineStr">
        <is>
          <t>94639A859</t>
        </is>
      </c>
      <c r="I749" s="15" t="inlineStr">
        <is>
          <t>NO</t>
        </is>
      </c>
      <c r="J749" s="56" t="n">
        <v>20.94</v>
      </c>
      <c r="K749" s="57" t="n">
        <v>45348</v>
      </c>
      <c r="L749" s="19" t="n">
        <v>0</v>
      </c>
      <c r="M749" s="20" t="n">
        <v>20.94</v>
      </c>
      <c r="N749" s="21" t="n">
        <v>45180</v>
      </c>
      <c r="O749" s="22" t="inlineStr">
        <is>
          <t>, 9/11/2023, 20.94, 2/15/2024, 20.94</t>
        </is>
      </c>
      <c r="P749" s="24" t="n"/>
    </row>
    <row r="750" ht="33" customHeight="1">
      <c r="A750" s="53" t="inlineStr">
        <is>
          <t>97135A250</t>
        </is>
      </c>
      <c r="B750" s="54" t="inlineStr">
        <is>
          <t>97135A250</t>
        </is>
      </c>
      <c r="C750" s="54" t="inlineStr">
        <is>
          <t>McMaster-Carr</t>
        </is>
      </c>
      <c r="D750" s="54" t="inlineStr">
        <is>
          <t>High-Strength Steel Nylon-Insert Locknut
Grade 8, Zinc Yellow-Chromate Plated, 1/2"-13 Thread Size (Pack of 10) - 09.11.23</t>
        </is>
      </c>
      <c r="E750" s="15" t="n">
        <v>10</v>
      </c>
      <c r="F750" s="17" t="inlineStr">
        <is>
          <t>pack</t>
        </is>
      </c>
      <c r="G750" s="54" t="inlineStr">
        <is>
          <t>McMaster-Carr</t>
        </is>
      </c>
      <c r="H750" s="54" t="inlineStr">
        <is>
          <t>97135A250</t>
        </is>
      </c>
      <c r="I750" s="15" t="inlineStr">
        <is>
          <t>NO</t>
        </is>
      </c>
      <c r="J750" s="56" t="n">
        <v>6.24</v>
      </c>
      <c r="K750" s="57" t="n">
        <v>45348</v>
      </c>
      <c r="L750" s="19" t="n">
        <v>0</v>
      </c>
      <c r="M750" s="20" t="n">
        <v>6.24</v>
      </c>
      <c r="N750" s="21" t="n">
        <v>45180</v>
      </c>
      <c r="O750" s="22" t="inlineStr">
        <is>
          <t>, 9/11/2023, 6.24, 2/15/2024, 6.24</t>
        </is>
      </c>
      <c r="P750" s="24" t="n"/>
    </row>
    <row r="751" ht="33" customHeight="1">
      <c r="A751" s="53" t="inlineStr">
        <is>
          <t>98023A033</t>
        </is>
      </c>
      <c r="B751" s="54" t="inlineStr">
        <is>
          <t>98023A033</t>
        </is>
      </c>
      <c r="C751" s="54" t="inlineStr">
        <is>
          <t>McMaster-Carr</t>
        </is>
      </c>
      <c r="D751" s="54" t="inlineStr">
        <is>
          <t>Zinc Yellow-Chromate Plated Grade 8 Steel Washer
for 1/2" Screw Size, 0.531" ID, 1.062" OD (Pack of 25) - 09.11.23</t>
        </is>
      </c>
      <c r="E751" s="15" t="n">
        <v>25</v>
      </c>
      <c r="F751" s="17" t="inlineStr">
        <is>
          <t>pack</t>
        </is>
      </c>
      <c r="G751" s="54" t="inlineStr">
        <is>
          <t>McMaster-Carr</t>
        </is>
      </c>
      <c r="H751" s="54" t="inlineStr">
        <is>
          <t>98023A033</t>
        </is>
      </c>
      <c r="I751" s="15" t="inlineStr">
        <is>
          <t>NO</t>
        </is>
      </c>
      <c r="J751" s="56" t="n">
        <v>12.19</v>
      </c>
      <c r="K751" s="57" t="n">
        <v>45348</v>
      </c>
      <c r="L751" s="19" t="n">
        <v>0</v>
      </c>
      <c r="M751" s="20" t="n">
        <v>12.19</v>
      </c>
      <c r="N751" s="21" t="n">
        <v>45180</v>
      </c>
      <c r="O751" s="22" t="inlineStr">
        <is>
          <t>, 9/11/2023, 12.19, 2/15/2024, 12.19</t>
        </is>
      </c>
      <c r="P751" s="24" t="n"/>
    </row>
    <row r="752" ht="42" customHeight="1">
      <c r="A752" s="53" t="inlineStr">
        <is>
          <t>C3J4058XXXKP</t>
        </is>
      </c>
      <c r="B752" s="54" t="inlineStr">
        <is>
          <t>C3J4058XXXKP</t>
        </is>
      </c>
      <c r="C752" s="54" t="inlineStr">
        <is>
          <t>Intralox</t>
        </is>
      </c>
      <c r="D752" s="54" t="inlineStr">
        <is>
          <t>BLUE NYLON A26 0.75" X 20 DEGREE BEARING SUPPORT
AND 304 STAINLESS STEEL 0.75" DIAMETER
DYNAMIC NOSE ROLLER 18" WIDE - 9/12/23</t>
        </is>
      </c>
      <c r="E752" s="15" t="n"/>
      <c r="F752" s="17" t="n"/>
      <c r="G752" s="54" t="inlineStr">
        <is>
          <t>Intralox</t>
        </is>
      </c>
      <c r="H752" s="54" t="inlineStr">
        <is>
          <t>C3J4058XXXKP</t>
        </is>
      </c>
      <c r="I752" s="15" t="inlineStr">
        <is>
          <t>NO</t>
        </is>
      </c>
      <c r="J752" s="56" t="n">
        <v>220.95</v>
      </c>
      <c r="K752" s="57" t="n">
        <v>45181</v>
      </c>
      <c r="L752" s="19" t="n"/>
      <c r="M752" s="20" t="n"/>
      <c r="N752" s="21" t="n"/>
      <c r="O752" s="22" t="n"/>
      <c r="P752" s="24" t="n"/>
    </row>
    <row r="753" ht="33" customHeight="1">
      <c r="A753" s="53" t="inlineStr">
        <is>
          <t>S3G9XXCEK5NG-00</t>
        </is>
      </c>
      <c r="B753" s="54" t="inlineStr">
        <is>
          <t>S3G9XXCEK5NG-00</t>
        </is>
      </c>
      <c r="C753" s="54" t="inlineStr">
        <is>
          <t>Intralox</t>
        </is>
      </c>
      <c r="D753" s="54" t="inlineStr">
        <is>
          <t>SERIES 1000 3.1" (16T) GREY GLASS 
MOLDED SPROCKET WITH 1-1/4" ROUND BORE</t>
        </is>
      </c>
      <c r="E753" s="15" t="n"/>
      <c r="F753" s="17" t="n"/>
      <c r="G753" s="54" t="inlineStr">
        <is>
          <t>Intralox</t>
        </is>
      </c>
      <c r="H753" s="54" t="inlineStr">
        <is>
          <t>S3G9XXCEK5NG-00</t>
        </is>
      </c>
      <c r="I753" s="15" t="inlineStr">
        <is>
          <t>NO</t>
        </is>
      </c>
      <c r="J753" s="56" t="n">
        <v>62.98</v>
      </c>
      <c r="K753" s="57" t="n">
        <v>45181</v>
      </c>
      <c r="L753" s="19" t="n"/>
      <c r="M753" s="20" t="n"/>
      <c r="N753" s="21" t="n"/>
      <c r="O753" s="22" t="n"/>
      <c r="P753" s="24" t="n"/>
    </row>
    <row r="754" ht="33" customHeight="1">
      <c r="A754" s="53" t="inlineStr">
        <is>
          <t>90145A714</t>
        </is>
      </c>
      <c r="B754" s="54" t="inlineStr">
        <is>
          <t>90145A714</t>
        </is>
      </c>
      <c r="C754" s="54" t="inlineStr">
        <is>
          <t>McMaster-Carr</t>
        </is>
      </c>
      <c r="D754" s="54" t="inlineStr">
        <is>
          <t>18-8 Stainless Steel Dowel Pin
1/2" Diameter, 1-1/4" Long - 09.26.23</t>
        </is>
      </c>
      <c r="E754" s="15" t="n">
        <v>1</v>
      </c>
      <c r="F754" s="17" t="inlineStr">
        <is>
          <t>pack</t>
        </is>
      </c>
      <c r="G754" s="54" t="inlineStr">
        <is>
          <t>McMaster-Carr</t>
        </is>
      </c>
      <c r="H754" s="54" t="inlineStr">
        <is>
          <t>90145A714</t>
        </is>
      </c>
      <c r="I754" s="15" t="inlineStr">
        <is>
          <t>NO</t>
        </is>
      </c>
      <c r="J754" s="56" t="n">
        <v>3.61</v>
      </c>
      <c r="K754" s="57" t="n">
        <v>45348</v>
      </c>
      <c r="L754" s="19" t="n">
        <v>0</v>
      </c>
      <c r="M754" s="20" t="n">
        <v>3.61</v>
      </c>
      <c r="N754" s="21" t="n">
        <v>45195</v>
      </c>
      <c r="O754" s="22" t="inlineStr">
        <is>
          <t>, 9/26/2023, 3.61, 2/15/2024, 3.61</t>
        </is>
      </c>
      <c r="P754" s="24" t="n"/>
    </row>
    <row r="755" ht="33" customHeight="1">
      <c r="A755" s="53" t="inlineStr">
        <is>
          <t>1650A436</t>
        </is>
      </c>
      <c r="B755" s="54" t="inlineStr">
        <is>
          <t>1650A436</t>
        </is>
      </c>
      <c r="C755" s="54" t="inlineStr">
        <is>
          <t>McMaster-Carr</t>
        </is>
      </c>
      <c r="D755" s="54" t="inlineStr">
        <is>
          <t>Weld-on Pull Handle
303 Stainless Steel, 4-15/16" Wide, 2-15/16" Projection - 09.26.23</t>
        </is>
      </c>
      <c r="E755" s="15" t="n"/>
      <c r="F755" s="17" t="inlineStr">
        <is>
          <t>Each</t>
        </is>
      </c>
      <c r="G755" s="54" t="inlineStr">
        <is>
          <t>McMaster-Carr</t>
        </is>
      </c>
      <c r="H755" s="54" t="inlineStr">
        <is>
          <t>1650A436</t>
        </is>
      </c>
      <c r="I755" s="15" t="inlineStr">
        <is>
          <t>NO</t>
        </is>
      </c>
      <c r="J755" s="56" t="n">
        <v>28.29</v>
      </c>
      <c r="K755" s="57" t="n">
        <v>45348</v>
      </c>
      <c r="L755" s="19" t="n">
        <v>0.249558303886926</v>
      </c>
      <c r="M755" s="20" t="n">
        <v>28.29</v>
      </c>
      <c r="N755" s="21" t="n">
        <v>45341</v>
      </c>
      <c r="O755" s="22" t="inlineStr">
        <is>
          <t>, 9/26/2023, 20.94, 2/15/2024, 22.64</t>
        </is>
      </c>
      <c r="P755" s="24" t="n"/>
    </row>
    <row r="756" ht="33" customHeight="1">
      <c r="A756" s="53" t="inlineStr">
        <is>
          <t>9473T189</t>
        </is>
      </c>
      <c r="B756" s="54" t="inlineStr">
        <is>
          <t>9473T189</t>
        </is>
      </c>
      <c r="C756" s="54" t="inlineStr">
        <is>
          <t>McMaster-Carr</t>
        </is>
      </c>
      <c r="D756" s="54" t="inlineStr">
        <is>
          <t>Quick&amp;Secure Modular DIN-Rail Terminal Block
Grounding with 1 Circuit, 4.2mm Wide, 4 Terminals - 10.03.23</t>
        </is>
      </c>
      <c r="E756" s="15" t="n"/>
      <c r="F756" s="17" t="inlineStr">
        <is>
          <t>Each</t>
        </is>
      </c>
      <c r="G756" s="54" t="inlineStr">
        <is>
          <t>McMaster-Carr</t>
        </is>
      </c>
      <c r="H756" s="54" t="inlineStr">
        <is>
          <t>9473T189</t>
        </is>
      </c>
      <c r="I756" s="15" t="inlineStr">
        <is>
          <t>NO</t>
        </is>
      </c>
      <c r="J756" s="56" t="n">
        <v>8.050000000000001</v>
      </c>
      <c r="K756" s="57" t="n">
        <v>45348</v>
      </c>
      <c r="L756" s="19" t="n">
        <v>0</v>
      </c>
      <c r="M756" s="20" t="n">
        <v>8.050000000000001</v>
      </c>
      <c r="N756" s="21" t="n">
        <v>45202</v>
      </c>
      <c r="O756" s="22" t="inlineStr">
        <is>
          <t>, 10/3/2023, 8.05, 2/19/2024, 8.05</t>
        </is>
      </c>
      <c r="P756" s="24" t="n"/>
    </row>
    <row r="757" ht="33" customHeight="1">
      <c r="A757" s="53" t="inlineStr">
        <is>
          <t>90860A111</t>
        </is>
      </c>
      <c r="B757" s="54" t="inlineStr">
        <is>
          <t>90860A111</t>
        </is>
      </c>
      <c r="C757" s="54" t="inlineStr">
        <is>
          <t>McMaster-Carr</t>
        </is>
      </c>
      <c r="D757" s="54" t="inlineStr">
        <is>
          <t xml:space="preserve">18-8 Stainless Steel Round-Base Weld Nut
1/4"-20 Thread Size, 3/8" Barrel Height (Pack of 10) </t>
        </is>
      </c>
      <c r="E757" s="15" t="n">
        <v>10</v>
      </c>
      <c r="F757" s="17" t="inlineStr">
        <is>
          <t>pack</t>
        </is>
      </c>
      <c r="G757" s="54" t="inlineStr">
        <is>
          <t>McMaster-Carr</t>
        </is>
      </c>
      <c r="H757" s="54" t="inlineStr">
        <is>
          <t>90860A111</t>
        </is>
      </c>
      <c r="I757" s="15" t="inlineStr">
        <is>
          <t>NO</t>
        </is>
      </c>
      <c r="J757" s="56" t="n">
        <v>20.6</v>
      </c>
      <c r="K757" s="57" t="n">
        <v>45419</v>
      </c>
      <c r="L757" s="19" t="n">
        <v>0</v>
      </c>
      <c r="M757" s="20" t="n">
        <v>20.6</v>
      </c>
      <c r="N757" s="21" t="n">
        <v>45348</v>
      </c>
      <c r="O757" s="22" t="inlineStr">
        <is>
          <t>, 10/3/2023, 20.6, 2/15/2024, 20.6, 5/7/2024, 20.6</t>
        </is>
      </c>
      <c r="P757" s="24" t="n"/>
    </row>
    <row r="758" ht="33" customHeight="1">
      <c r="A758" s="53" t="inlineStr">
        <is>
          <t>92210A539</t>
        </is>
      </c>
      <c r="B758" s="54" t="inlineStr">
        <is>
          <t>92210A539</t>
        </is>
      </c>
      <c r="C758" s="54" t="inlineStr">
        <is>
          <t>McMaster-Carr</t>
        </is>
      </c>
      <c r="D758" s="54" t="inlineStr">
        <is>
          <t>18-8 Stainless Steel Hex Drive Flat Head Screw
82 Degree Countersink Angle, 1/4"-20 Thread Size, 5/8" Long (Pack of 50) - 10.03.23</t>
        </is>
      </c>
      <c r="E758" s="15" t="n">
        <v>50</v>
      </c>
      <c r="F758" s="17" t="inlineStr">
        <is>
          <t>pack</t>
        </is>
      </c>
      <c r="G758" s="54" t="inlineStr">
        <is>
          <t>McMaster-Carr</t>
        </is>
      </c>
      <c r="H758" s="54" t="inlineStr">
        <is>
          <t>92210A539</t>
        </is>
      </c>
      <c r="I758" s="15" t="inlineStr">
        <is>
          <t>NO</t>
        </is>
      </c>
      <c r="J758" s="56" t="n">
        <v>9.949999999999999</v>
      </c>
      <c r="K758" s="57" t="n">
        <v>45348</v>
      </c>
      <c r="L758" s="19" t="n">
        <v>0</v>
      </c>
      <c r="M758" s="20" t="n">
        <v>9.949999999999999</v>
      </c>
      <c r="N758" s="21" t="n">
        <v>45337</v>
      </c>
      <c r="O758" s="22" t="inlineStr">
        <is>
          <t>, 10/3/2023, 10.68, 2/15/2024, 9.95</t>
        </is>
      </c>
      <c r="P758" s="24" t="n"/>
    </row>
    <row r="759" ht="33" customHeight="1">
      <c r="A759" s="53" t="inlineStr">
        <is>
          <t>13RS050063</t>
        </is>
      </c>
      <c r="B759" s="54" t="inlineStr">
        <is>
          <t>13RS098552</t>
        </is>
      </c>
      <c r="C759" s="54" t="inlineStr">
        <is>
          <t>Microplastics</t>
        </is>
      </c>
      <c r="D759" s="54" t="inlineStr">
        <is>
          <t>Microplastics Nylon Spacer x .5" Dia. x .63" Lg. with .285 Thru Hole (Bag of 500)</t>
        </is>
      </c>
      <c r="E759" s="15" t="n"/>
      <c r="F759" s="17" t="n"/>
      <c r="G759" s="54" t="inlineStr">
        <is>
          <t>Microplastics</t>
        </is>
      </c>
      <c r="H759" s="54" t="inlineStr">
        <is>
          <t>13RS098552</t>
        </is>
      </c>
      <c r="I759" s="15" t="inlineStr">
        <is>
          <t>NO</t>
        </is>
      </c>
      <c r="J759" s="56" t="n">
        <v>62.5</v>
      </c>
      <c r="K759" s="57" t="n">
        <v>45209</v>
      </c>
      <c r="L759" s="19" t="n"/>
      <c r="M759" s="20" t="n"/>
      <c r="N759" s="21" t="n"/>
      <c r="O759" s="22" t="n"/>
      <c r="P759" s="24" t="n"/>
    </row>
    <row r="760" ht="33" customHeight="1">
      <c r="A760" s="53" t="inlineStr">
        <is>
          <t>JSRSS0518L9</t>
        </is>
      </c>
      <c r="B760" s="54" t="inlineStr">
        <is>
          <t>JSRSS0518L9</t>
        </is>
      </c>
      <c r="C760" s="54" t="inlineStr">
        <is>
          <t>POBCO, Inc.</t>
        </is>
      </c>
      <c r="D760" s="54" t="inlineStr">
        <is>
          <t>Jointed Adjusting Rod, Stainless Steel, 1/2" Dia. X 7", 5/16-18 Tap - Price Confirmed: 10.03.23</t>
        </is>
      </c>
      <c r="E760" s="15" t="n"/>
      <c r="F760" s="17" t="n"/>
      <c r="G760" s="54" t="inlineStr">
        <is>
          <t>POBCO, Inc.</t>
        </is>
      </c>
      <c r="H760" s="54" t="inlineStr">
        <is>
          <t>JSRSS0518L9</t>
        </is>
      </c>
      <c r="I760" s="15" t="inlineStr">
        <is>
          <t>NO</t>
        </is>
      </c>
      <c r="J760" s="56" t="n">
        <v>36</v>
      </c>
      <c r="K760" s="57" t="n">
        <v>45202</v>
      </c>
      <c r="L760" s="19" t="n"/>
      <c r="M760" s="20" t="n"/>
      <c r="N760" s="21" t="n"/>
      <c r="O760" s="22" t="n"/>
      <c r="P760" s="24" t="n"/>
    </row>
    <row r="761" ht="33" customHeight="1">
      <c r="A761" s="53" t="inlineStr">
        <is>
          <t>AB 92-116</t>
        </is>
      </c>
      <c r="B761" s="54" t="inlineStr">
        <is>
          <t>92-116</t>
        </is>
      </c>
      <c r="C761" s="54" t="inlineStr">
        <is>
          <t>Allen Bradley</t>
        </is>
      </c>
      <c r="D761" s="54" t="inlineStr">
        <is>
          <t>Reflectors For Photo Sensor - Price Checked - 9/08/23 (QUOTE FOR QTY-21)</t>
        </is>
      </c>
      <c r="E761" s="15" t="n"/>
      <c r="F761" s="17" t="n"/>
      <c r="G761" s="54" t="inlineStr">
        <is>
          <t>Electric Supply &amp; Equipment Co</t>
        </is>
      </c>
      <c r="H761" s="54" t="inlineStr">
        <is>
          <t>AB 92-116</t>
        </is>
      </c>
      <c r="I761" s="15" t="inlineStr">
        <is>
          <t>NO</t>
        </is>
      </c>
      <c r="J761" s="56" t="n">
        <v>15.88</v>
      </c>
      <c r="K761" s="57" t="n">
        <v>45177</v>
      </c>
      <c r="L761" s="19" t="n"/>
      <c r="M761" s="20" t="n"/>
      <c r="N761" s="21" t="n"/>
      <c r="O761" s="22" t="n"/>
      <c r="P761" s="24" t="n"/>
    </row>
    <row r="762" ht="33" customHeight="1">
      <c r="A762" s="53" t="inlineStr">
        <is>
          <t>AB 42EF-P2MPB-F4</t>
        </is>
      </c>
      <c r="B762" s="54" t="inlineStr">
        <is>
          <t>42EF-P2MPB-F4</t>
        </is>
      </c>
      <c r="C762" s="54" t="inlineStr">
        <is>
          <t>Allen Bradley</t>
        </is>
      </c>
      <c r="D762" s="54" t="inlineStr">
        <is>
          <t>RightSight Photosensor, 18 mm Cylindrical, Front Through Hole, Polarized Retroreflective, Visible Red, 3, 000 mm, Not Adjustable Sensitivity, PNP, DC Complementary LO/DO, 4 Pin Micro QD on Pigtail - Price Checked - 9/08/23 (QUOTE FOR QTY-21)</t>
        </is>
      </c>
      <c r="E762" s="15" t="n"/>
      <c r="F762" s="17" t="n"/>
      <c r="G762" s="54" t="inlineStr">
        <is>
          <t>Electric Supply &amp; Equipment Co</t>
        </is>
      </c>
      <c r="H762" s="54" t="inlineStr">
        <is>
          <t>AB 42EF-P2MPB-F4</t>
        </is>
      </c>
      <c r="I762" s="15" t="inlineStr">
        <is>
          <t>NO</t>
        </is>
      </c>
      <c r="J762" s="56" t="n">
        <v>93.41</v>
      </c>
      <c r="K762" s="57" t="n">
        <v>45177</v>
      </c>
      <c r="L762" s="19" t="n"/>
      <c r="M762" s="20" t="n"/>
      <c r="N762" s="21" t="n"/>
      <c r="O762" s="22" t="n"/>
      <c r="P762" s="24" t="n"/>
    </row>
    <row r="763" ht="33" customHeight="1">
      <c r="A763" s="53" t="inlineStr">
        <is>
          <t>6942K642</t>
        </is>
      </c>
      <c r="B763" s="54" t="inlineStr">
        <is>
          <t>6942K642</t>
        </is>
      </c>
      <c r="C763" s="54" t="inlineStr">
        <is>
          <t>McMaster-Carr</t>
        </is>
      </c>
      <c r="D763" s="54" t="inlineStr">
        <is>
          <t>Stainless Steel Corrosion-Resistant Washdown Enclosure
with Hinged Cover and Screw-Down Clamps, 20" x 24" x 9-1/16"</t>
        </is>
      </c>
      <c r="E763" s="15" t="n"/>
      <c r="F763" s="17" t="inlineStr">
        <is>
          <t>Each</t>
        </is>
      </c>
      <c r="G763" s="54" t="inlineStr">
        <is>
          <t>McMaster-Carr</t>
        </is>
      </c>
      <c r="H763" s="54" t="inlineStr">
        <is>
          <t>6942K642</t>
        </is>
      </c>
      <c r="I763" s="15" t="inlineStr">
        <is>
          <t>NO</t>
        </is>
      </c>
      <c r="J763" s="56" t="n">
        <v>1256.67</v>
      </c>
      <c r="K763" s="57" t="n">
        <v>45348</v>
      </c>
      <c r="L763" s="19" t="n">
        <v>0</v>
      </c>
      <c r="M763" s="20" t="n">
        <v>1256.67</v>
      </c>
      <c r="N763" s="21" t="n">
        <v>45306</v>
      </c>
      <c r="O763" s="22" t="inlineStr">
        <is>
          <t>, 1/15/2024, 1256.67, 2/15/2024, 1256.67</t>
        </is>
      </c>
      <c r="P763" s="24" t="n"/>
    </row>
    <row r="764" ht="33" customHeight="1">
      <c r="A764" s="53" t="inlineStr">
        <is>
          <t>AB 440K-A11238</t>
        </is>
      </c>
      <c r="B764" s="54" t="inlineStr">
        <is>
          <t>440K-A11238</t>
        </is>
      </c>
      <c r="C764" s="54" t="inlineStr">
        <is>
          <t>Allen Bradley</t>
        </is>
      </c>
      <c r="D764" s="54" t="inlineStr">
        <is>
          <t>Actuator, Standard Rigid, Trojan T15</t>
        </is>
      </c>
      <c r="E764" s="15" t="n"/>
      <c r="F764" s="17" t="n"/>
      <c r="G764" s="54" t="inlineStr">
        <is>
          <t>mc-mc.com</t>
        </is>
      </c>
      <c r="H764" s="54" t="inlineStr">
        <is>
          <t>ALBR440KA11238</t>
        </is>
      </c>
      <c r="I764" s="15" t="inlineStr">
        <is>
          <t>NO</t>
        </is>
      </c>
      <c r="J764" s="56" t="n">
        <v>16.3</v>
      </c>
      <c r="K764" s="57" t="n">
        <v>45209</v>
      </c>
      <c r="L764" s="19" t="n"/>
      <c r="M764" s="20" t="n"/>
      <c r="N764" s="21" t="n"/>
      <c r="O764" s="22" t="n"/>
      <c r="P764" s="24" t="n"/>
    </row>
    <row r="765" ht="33" customHeight="1">
      <c r="A765" s="53" t="inlineStr">
        <is>
          <t>AB 440K-A27010</t>
        </is>
      </c>
      <c r="B765" s="54" t="inlineStr">
        <is>
          <t>440K-A27010</t>
        </is>
      </c>
      <c r="C765" s="54" t="inlineStr">
        <is>
          <t>Allen Bradley</t>
        </is>
      </c>
      <c r="D765" s="54" t="inlineStr">
        <is>
          <t>Actuator, Fully Flex, with Alignment Guide, Trojan T15</t>
        </is>
      </c>
      <c r="E765" s="15" t="n"/>
      <c r="F765" s="17" t="n"/>
      <c r="G765" s="54" t="inlineStr">
        <is>
          <t>mc-mc.com</t>
        </is>
      </c>
      <c r="H765" s="54" t="inlineStr">
        <is>
          <t>ALBR440KA27010</t>
        </is>
      </c>
      <c r="I765" s="15" t="inlineStr">
        <is>
          <t>NO</t>
        </is>
      </c>
      <c r="J765" s="56" t="n">
        <v>40.94</v>
      </c>
      <c r="K765" s="57" t="n">
        <v>45293</v>
      </c>
      <c r="L765" s="19" t="n"/>
      <c r="M765" s="20" t="n"/>
      <c r="N765" s="21" t="n"/>
      <c r="O765" s="22" t="n"/>
      <c r="P765" s="24" t="n"/>
    </row>
    <row r="766" ht="33" customHeight="1">
      <c r="A766" s="53" t="inlineStr">
        <is>
          <t>440K-T11283</t>
        </is>
      </c>
      <c r="B766" s="54" t="inlineStr">
        <is>
          <t>440K-T11283</t>
        </is>
      </c>
      <c r="C766" s="54" t="inlineStr">
        <is>
          <t>Allen Bradley</t>
        </is>
      </c>
      <c r="D766" s="54" t="inlineStr">
        <is>
          <t>Tongue Interlock, Trojan T15, GD2 Metal Head, 1 N.C. Safety, 1 N.O Aux, Break Before Make, 1 N.C. Safety Contact, 1 N.O. Auxillary Contact, Fully Flex, M20 Conduit, 1/2in. NPT adptr, Tongue Interlock Switch, Plastic</t>
        </is>
      </c>
      <c r="E766" s="15" t="n"/>
      <c r="F766" s="17" t="n"/>
      <c r="G766" s="54" t="inlineStr">
        <is>
          <t>Electric Supply &amp; Equipment Co</t>
        </is>
      </c>
      <c r="H766" s="54" t="inlineStr">
        <is>
          <t>ALBR440KT11283</t>
        </is>
      </c>
      <c r="I766" s="15" t="inlineStr">
        <is>
          <t>NO</t>
        </is>
      </c>
      <c r="J766" s="56" t="n">
        <v>153.91</v>
      </c>
      <c r="K766" s="57" t="n">
        <v>45209</v>
      </c>
      <c r="L766" s="19" t="n"/>
      <c r="M766" s="20" t="n"/>
      <c r="N766" s="21" t="n"/>
      <c r="O766" s="22" t="n"/>
      <c r="P766" s="24" t="n"/>
    </row>
    <row r="767" ht="33" customHeight="1">
      <c r="A767" s="53" t="inlineStr">
        <is>
          <t>AB 45LMS-D8LGC1-D4</t>
        </is>
      </c>
      <c r="B767" s="54" t="inlineStr">
        <is>
          <t>AB 45LMS-D8LGC1-D4</t>
        </is>
      </c>
      <c r="C767" s="54" t="inlineStr">
        <is>
          <t>Allen Bradley</t>
        </is>
      </c>
      <c r="D767" s="54" t="inlineStr">
        <is>
          <t>Laser Measurement Sensor, 45LMS, Diffuse, Class 1 Laser, Light Operate - Dark Operate, 4-20 mA Analog and IO-Link Push-Pull, Teach Button, 0.2-8 m Measurement Range, 4-Pin Micro M12 QD</t>
        </is>
      </c>
      <c r="E767" s="15" t="n"/>
      <c r="F767" s="17" t="n"/>
      <c r="G767" s="54" t="inlineStr">
        <is>
          <t>Electric Supply &amp; Equipment Co</t>
        </is>
      </c>
      <c r="H767" s="54" t="inlineStr">
        <is>
          <t>AB 45LMS-D8LGC1-D4</t>
        </is>
      </c>
      <c r="I767" s="15" t="inlineStr">
        <is>
          <t>NO</t>
        </is>
      </c>
      <c r="J767" s="56" t="n">
        <v>528.92</v>
      </c>
      <c r="K767" s="57" t="n">
        <v>45195</v>
      </c>
      <c r="L767" s="19" t="n"/>
      <c r="M767" s="20" t="n"/>
      <c r="N767" s="21" t="n"/>
      <c r="O767" s="22" t="n"/>
      <c r="P767" s="24" t="n"/>
    </row>
    <row r="768" ht="33" customHeight="1">
      <c r="A768" s="53" t="inlineStr">
        <is>
          <t>93625A200</t>
        </is>
      </c>
      <c r="B768" s="54" t="inlineStr">
        <is>
          <t>93625A200</t>
        </is>
      </c>
      <c r="C768" s="54" t="inlineStr">
        <is>
          <t>McMaster-Carr</t>
        </is>
      </c>
      <c r="D768" s="54" t="inlineStr">
        <is>
          <t>18-8 Stainless Steel Nylon-Insert Locknut
M5 x 0.8 mm Thread, 8 mm Wide, 5 mm High (Bag of 100)</t>
        </is>
      </c>
      <c r="E768" s="15" t="n">
        <v>100</v>
      </c>
      <c r="F768" s="17" t="inlineStr">
        <is>
          <t>pack</t>
        </is>
      </c>
      <c r="G768" s="54" t="inlineStr">
        <is>
          <t>McMaster-Carr</t>
        </is>
      </c>
      <c r="H768" s="54" t="inlineStr">
        <is>
          <t>93625A200</t>
        </is>
      </c>
      <c r="I768" s="15" t="inlineStr">
        <is>
          <t>NO</t>
        </is>
      </c>
      <c r="J768" s="56" t="n">
        <v>8.77</v>
      </c>
      <c r="K768" s="57" t="n">
        <v>45348</v>
      </c>
      <c r="L768" s="19" t="n">
        <v>0</v>
      </c>
      <c r="M768" s="20" t="n">
        <v>8.77</v>
      </c>
      <c r="N768" s="21" t="n">
        <v>45216</v>
      </c>
      <c r="O768" s="22" t="inlineStr">
        <is>
          <t>, 10/17/2023, 8.77, 2/15/2024, 8.77</t>
        </is>
      </c>
      <c r="P768" s="24" t="n"/>
    </row>
    <row r="769" ht="33" customHeight="1">
      <c r="A769" s="53" t="inlineStr">
        <is>
          <t>5320N15</t>
        </is>
      </c>
      <c r="B769" s="54" t="inlineStr">
        <is>
          <t>5320N15</t>
        </is>
      </c>
      <c r="C769" s="54" t="inlineStr">
        <is>
          <t>McMaster-Carr</t>
        </is>
      </c>
      <c r="D769" s="54" t="inlineStr">
        <is>
          <t>1-3/8" Diameter Corrosion-Resistant Conveyor Roller
5/16" Hex Axle, for 18" Between Frame Width</t>
        </is>
      </c>
      <c r="E769" s="15" t="n">
        <v>1</v>
      </c>
      <c r="F769" s="17" t="inlineStr">
        <is>
          <t>Each</t>
        </is>
      </c>
      <c r="G769" s="54" t="inlineStr">
        <is>
          <t>McMaster-Carr</t>
        </is>
      </c>
      <c r="H769" s="54" t="inlineStr">
        <is>
          <t>5320N15</t>
        </is>
      </c>
      <c r="I769" s="15" t="inlineStr">
        <is>
          <t>NO</t>
        </is>
      </c>
      <c r="J769" s="56" t="n">
        <v>123.29</v>
      </c>
      <c r="K769" s="57" t="n">
        <v>45419</v>
      </c>
      <c r="L769" s="19" t="n">
        <v>-0.0760641486810551</v>
      </c>
      <c r="M769" s="20" t="n">
        <v>133.44</v>
      </c>
      <c r="N769" s="21" t="n">
        <v>45348</v>
      </c>
      <c r="O769" s="22" t="inlineStr">
        <is>
          <t>, 10/17/2023, 135.04, 2/15/2024, 133.44, 5/7/2024, 123.29</t>
        </is>
      </c>
      <c r="P769" s="24" t="n"/>
    </row>
    <row r="770" ht="33" customHeight="1">
      <c r="A770" s="53" t="inlineStr">
        <is>
          <t>6435K63</t>
        </is>
      </c>
      <c r="B770" s="54" t="inlineStr">
        <is>
          <t>6435K63</t>
        </is>
      </c>
      <c r="C770" s="54" t="inlineStr">
        <is>
          <t>McMaster-Carr</t>
        </is>
      </c>
      <c r="D770" s="54" t="inlineStr">
        <is>
          <t>Clamping Shaft Collar
for 7/16" Diameter, 303 Stainless Steel</t>
        </is>
      </c>
      <c r="E770" s="15" t="n">
        <v>1</v>
      </c>
      <c r="F770" s="17" t="inlineStr">
        <is>
          <t>Each</t>
        </is>
      </c>
      <c r="G770" s="54" t="inlineStr">
        <is>
          <t>McMaster-Carr</t>
        </is>
      </c>
      <c r="H770" s="54" t="inlineStr">
        <is>
          <t>6435K63</t>
        </is>
      </c>
      <c r="I770" s="15" t="inlineStr">
        <is>
          <t>NO</t>
        </is>
      </c>
      <c r="J770" s="56" t="n">
        <v>15.29</v>
      </c>
      <c r="K770" s="57" t="n">
        <v>45419</v>
      </c>
      <c r="L770" s="19" t="n">
        <v>0</v>
      </c>
      <c r="M770" s="20" t="n">
        <v>15.29</v>
      </c>
      <c r="N770" s="21" t="n">
        <v>45419</v>
      </c>
      <c r="O770" s="22" t="inlineStr">
        <is>
          <t>, 10/17/2023, 10.2, 2/15/2024, 15.29, 5/7/2024, 15.29</t>
        </is>
      </c>
      <c r="P770" s="24" t="n"/>
    </row>
    <row r="771" ht="33" customHeight="1">
      <c r="A771" s="53" t="inlineStr">
        <is>
          <t>55485K78</t>
        </is>
      </c>
      <c r="B771" s="54" t="inlineStr">
        <is>
          <t>55485K78</t>
        </is>
      </c>
      <c r="C771" s="54" t="inlineStr">
        <is>
          <t>McMaster-Carr</t>
        </is>
      </c>
      <c r="D771" s="54" t="inlineStr">
        <is>
          <t>Continuous-Flex Soft Tygon PVC Plastic Tubing for Air and Water, Clear, 3/8" ID, 5/8" OD (Priced Per Foot)</t>
        </is>
      </c>
      <c r="E771" s="15" t="n"/>
      <c r="F771" s="17" t="inlineStr">
        <is>
          <t>ft.</t>
        </is>
      </c>
      <c r="G771" s="54" t="inlineStr">
        <is>
          <t>McMaster-Carr</t>
        </is>
      </c>
      <c r="H771" s="54" t="inlineStr">
        <is>
          <t>55485K78</t>
        </is>
      </c>
      <c r="I771" s="15" t="inlineStr">
        <is>
          <t>NO</t>
        </is>
      </c>
      <c r="J771" s="56" t="n">
        <v>18.27</v>
      </c>
      <c r="K771" s="57" t="n">
        <v>45419</v>
      </c>
      <c r="L771" s="19" t="n">
        <v>0</v>
      </c>
      <c r="M771" s="20" t="n">
        <v>18.27</v>
      </c>
      <c r="N771" s="21" t="n">
        <v>45218</v>
      </c>
      <c r="O771" s="22" t="inlineStr">
        <is>
          <t>, 10/19/2023, 18.27, 2/15/2024, 18.27, 2/26/2024, 18.27</t>
        </is>
      </c>
      <c r="P771" s="24" t="n"/>
    </row>
    <row r="772" ht="33" customHeight="1">
      <c r="A772" s="53" t="inlineStr">
        <is>
          <t>45945K61</t>
        </is>
      </c>
      <c r="B772" s="54" t="inlineStr">
        <is>
          <t>45945K61</t>
        </is>
      </c>
      <c r="C772" s="54" t="inlineStr">
        <is>
          <t>McMaster-Carr</t>
        </is>
      </c>
      <c r="D772" s="54" t="inlineStr">
        <is>
          <t>Worm-Drive Clamp with Smooth Band for Soft Hose and Tube, 316 Stainless Steel, 7/16" to 11/16" Clamp ID</t>
        </is>
      </c>
      <c r="E772" s="15" t="n">
        <v>1</v>
      </c>
      <c r="F772" s="17" t="inlineStr">
        <is>
          <t>pack</t>
        </is>
      </c>
      <c r="G772" s="54" t="inlineStr">
        <is>
          <t>McMaster-Carr</t>
        </is>
      </c>
      <c r="H772" s="54" t="inlineStr">
        <is>
          <t>45945K61</t>
        </is>
      </c>
      <c r="I772" s="15" t="inlineStr">
        <is>
          <t>NO</t>
        </is>
      </c>
      <c r="J772" s="56" t="n">
        <v>6.13</v>
      </c>
      <c r="K772" s="57" t="n">
        <v>45348</v>
      </c>
      <c r="L772" s="19" t="n">
        <v>0</v>
      </c>
      <c r="M772" s="20" t="n">
        <v>6.13</v>
      </c>
      <c r="N772" s="21" t="n">
        <v>45218</v>
      </c>
      <c r="O772" s="22" t="inlineStr">
        <is>
          <t>, 10/19/2023, 6.13, 2/15/2024, 6.13</t>
        </is>
      </c>
      <c r="P772" s="24" t="n"/>
    </row>
    <row r="773" ht="33" customHeight="1">
      <c r="A773" s="53" t="inlineStr">
        <is>
          <t>7880T225</t>
        </is>
      </c>
      <c r="B773" s="54" t="inlineStr">
        <is>
          <t>7880T225</t>
        </is>
      </c>
      <c r="C773" s="54" t="inlineStr">
        <is>
          <t>McMaster-Carr</t>
        </is>
      </c>
      <c r="D773" s="54" t="inlineStr">
        <is>
          <t>Push-to-Connect Tube Fitting for Air and Water
Long 90 Degree Elbow, 3/8" Tube OD x 1/2 NPT Male</t>
        </is>
      </c>
      <c r="E773" s="15" t="n"/>
      <c r="F773" s="17" t="inlineStr">
        <is>
          <t>Each</t>
        </is>
      </c>
      <c r="G773" s="54" t="inlineStr">
        <is>
          <t>McMaster-Carr</t>
        </is>
      </c>
      <c r="H773" s="54" t="inlineStr">
        <is>
          <t>7880T225</t>
        </is>
      </c>
      <c r="I773" s="15" t="inlineStr">
        <is>
          <t>NO</t>
        </is>
      </c>
      <c r="J773" s="56" t="n">
        <v>8.18</v>
      </c>
      <c r="K773" s="57" t="n">
        <v>45348</v>
      </c>
      <c r="L773" s="19" t="n">
        <v>0</v>
      </c>
      <c r="M773" s="20" t="n">
        <v>8.18</v>
      </c>
      <c r="N773" s="21" t="n">
        <v>45289</v>
      </c>
      <c r="O773" s="22" t="inlineStr">
        <is>
          <t>, 12/29/2023, 8.18, 2/15/2024, 8.18</t>
        </is>
      </c>
      <c r="P773" s="24" t="n"/>
    </row>
    <row r="774" ht="33" customHeight="1">
      <c r="A774" s="53" t="inlineStr">
        <is>
          <t>91845A330</t>
        </is>
      </c>
      <c r="B774" s="54" t="inlineStr">
        <is>
          <t>91845A330</t>
        </is>
      </c>
      <c r="C774" s="54" t="inlineStr">
        <is>
          <t>McMaster-Carr</t>
        </is>
      </c>
      <c r="D774" s="54" t="inlineStr">
        <is>
          <t>18-8 Stainless Steel Hex Nut
3/4"-10 Thread Size (Pack of 10)</t>
        </is>
      </c>
      <c r="E774" s="15" t="n">
        <v>10</v>
      </c>
      <c r="F774" s="17" t="inlineStr">
        <is>
          <t>pack</t>
        </is>
      </c>
      <c r="G774" s="54" t="inlineStr">
        <is>
          <t>McMaster-Carr</t>
        </is>
      </c>
      <c r="H774" s="54" t="inlineStr">
        <is>
          <t>91845A330</t>
        </is>
      </c>
      <c r="I774" s="15" t="inlineStr">
        <is>
          <t>NO</t>
        </is>
      </c>
      <c r="J774" s="56" t="n">
        <v>7.98</v>
      </c>
      <c r="K774" s="57" t="n">
        <v>45348</v>
      </c>
      <c r="L774" s="19" t="n">
        <v>0</v>
      </c>
      <c r="M774" s="20" t="n">
        <v>7.98</v>
      </c>
      <c r="N774" s="21" t="n">
        <v>45337</v>
      </c>
      <c r="O774" s="22" t="inlineStr">
        <is>
          <t>, 12/29/2023, 9.38, 2/15/2024, 7.98</t>
        </is>
      </c>
      <c r="P774" s="24" t="n"/>
    </row>
    <row r="775" ht="33" customHeight="1">
      <c r="A775" s="53" t="inlineStr">
        <is>
          <t>92125A211</t>
        </is>
      </c>
      <c r="B775" s="54" t="inlineStr">
        <is>
          <t>92125A211</t>
        </is>
      </c>
      <c r="C775" s="54" t="inlineStr">
        <is>
          <t>McMaster-Carr</t>
        </is>
      </c>
      <c r="D775" s="54" t="inlineStr">
        <is>
          <t>18-8 Stainless Steel Hex Drive Flat Head Screw
M5 x 0.8 mm Thread, 14 mm Long (Pack of 50)</t>
        </is>
      </c>
      <c r="E775" s="15" t="n">
        <v>50</v>
      </c>
      <c r="F775" s="17" t="inlineStr">
        <is>
          <t>pack</t>
        </is>
      </c>
      <c r="G775" s="54" t="inlineStr">
        <is>
          <t>McMaster-Carr</t>
        </is>
      </c>
      <c r="H775" s="54" t="inlineStr">
        <is>
          <t>92125A211</t>
        </is>
      </c>
      <c r="I775" s="15" t="inlineStr">
        <is>
          <t>NO</t>
        </is>
      </c>
      <c r="J775" s="56" t="n">
        <v>10.77</v>
      </c>
      <c r="K775" s="57" t="n">
        <v>45348</v>
      </c>
      <c r="L775" s="19" t="n">
        <v>0</v>
      </c>
      <c r="M775" s="20" t="n">
        <v>10.77</v>
      </c>
      <c r="N775" s="21" t="n">
        <v>45289</v>
      </c>
      <c r="O775" s="22" t="inlineStr">
        <is>
          <t>, 12/29/2023, 10.77, 2/15/2024, 10.77</t>
        </is>
      </c>
      <c r="P775" s="24" t="n"/>
    </row>
    <row r="776" ht="33" customHeight="1">
      <c r="A776" s="53" t="inlineStr">
        <is>
          <t>AB 440G-A27011</t>
        </is>
      </c>
      <c r="B776" s="54" t="inlineStr">
        <is>
          <t>AB 440G-A27011</t>
        </is>
      </c>
      <c r="C776" s="54" t="inlineStr">
        <is>
          <t>Allen Bradley</t>
        </is>
      </c>
      <c r="D776" s="54" t="inlineStr">
        <is>
          <t>GD2 STARDARD ACTUATOR</t>
        </is>
      </c>
      <c r="E776" s="15" t="n"/>
      <c r="F776" s="17" t="n"/>
      <c r="G776" s="54" t="inlineStr">
        <is>
          <t>Electric Supply &amp; Equipment Co</t>
        </is>
      </c>
      <c r="H776" s="54" t="inlineStr">
        <is>
          <t>AB 440G-A27011</t>
        </is>
      </c>
      <c r="I776" s="15" t="inlineStr">
        <is>
          <t>NO</t>
        </is>
      </c>
      <c r="J776" s="56" t="n">
        <v>14.08</v>
      </c>
      <c r="K776" s="57" t="n">
        <v>45293</v>
      </c>
      <c r="L776" s="19" t="n"/>
      <c r="M776" s="20" t="n"/>
      <c r="N776" s="21" t="n"/>
      <c r="O776" s="22" t="n"/>
      <c r="P776" s="24" t="n"/>
    </row>
    <row r="777" ht="33" customHeight="1">
      <c r="A777" s="53" t="inlineStr">
        <is>
          <t>7880T202</t>
        </is>
      </c>
      <c r="B777" s="54" t="inlineStr">
        <is>
          <t>7880T202</t>
        </is>
      </c>
      <c r="C777" s="54" t="inlineStr">
        <is>
          <t>McMaster-Carr</t>
        </is>
      </c>
      <c r="D777" s="54" t="inlineStr">
        <is>
          <t>Push-to-Connect Tube Fitting for Air and Water
90 Degree Elbow, 3/8" Tube OD x 1/2 NPT Male</t>
        </is>
      </c>
      <c r="E777" s="15" t="n"/>
      <c r="F777" s="17" t="inlineStr">
        <is>
          <t>Each</t>
        </is>
      </c>
      <c r="G777" s="54" t="inlineStr">
        <is>
          <t>McMaster-Carr</t>
        </is>
      </c>
      <c r="H777" s="54" t="inlineStr">
        <is>
          <t>7880T202</t>
        </is>
      </c>
      <c r="I777" s="15" t="inlineStr">
        <is>
          <t>NO</t>
        </is>
      </c>
      <c r="J777" s="56" t="n">
        <v>4.6</v>
      </c>
      <c r="K777" s="57" t="n">
        <v>45348</v>
      </c>
      <c r="L777" s="19" t="n">
        <v>0</v>
      </c>
      <c r="M777" s="20" t="n">
        <v>4.6</v>
      </c>
      <c r="N777" s="21" t="n">
        <v>45293</v>
      </c>
      <c r="O777" s="22" t="inlineStr">
        <is>
          <t>, 1/2/2024, 4.6, 2/15/2024, 4.6</t>
        </is>
      </c>
      <c r="P777" s="24" t="n"/>
    </row>
    <row r="778" ht="33" customHeight="1">
      <c r="A778" s="53" t="inlineStr">
        <is>
          <t>92314A827</t>
        </is>
      </c>
      <c r="B778" s="54" t="inlineStr">
        <is>
          <t>92314A827</t>
        </is>
      </c>
      <c r="C778" s="54" t="inlineStr">
        <is>
          <t>McMaster-Carr</t>
        </is>
      </c>
      <c r="D778" s="54" t="inlineStr">
        <is>
          <t>18-8 Stainless Steel Hex Head Screws
10-32 Thread Size, 3/8" Long (Pack of 50)</t>
        </is>
      </c>
      <c r="E778" s="15" t="n">
        <v>50</v>
      </c>
      <c r="F778" s="17" t="inlineStr">
        <is>
          <t>pack</t>
        </is>
      </c>
      <c r="G778" s="54" t="inlineStr">
        <is>
          <t>McMaster-Carr</t>
        </is>
      </c>
      <c r="H778" s="54" t="inlineStr">
        <is>
          <t>92314A827</t>
        </is>
      </c>
      <c r="I778" s="15" t="inlineStr">
        <is>
          <t>NO</t>
        </is>
      </c>
      <c r="J778" s="56" t="n">
        <v>8.33</v>
      </c>
      <c r="K778" s="57" t="n">
        <v>45348</v>
      </c>
      <c r="L778" s="19" t="n">
        <v>0</v>
      </c>
      <c r="M778" s="20" t="n">
        <v>8.33</v>
      </c>
      <c r="N778" s="21" t="n">
        <v>45341</v>
      </c>
      <c r="O778" s="22" t="inlineStr">
        <is>
          <t>, 1/2/2024, 8.33, 2/15/2024, 8.33</t>
        </is>
      </c>
      <c r="P778" s="24" t="n"/>
    </row>
    <row r="779" ht="33" customHeight="1">
      <c r="A779" s="53" t="inlineStr">
        <is>
          <t>97646A252</t>
        </is>
      </c>
      <c r="B779" s="54" t="inlineStr">
        <is>
          <t>97646A252</t>
        </is>
      </c>
      <c r="C779" s="54" t="inlineStr">
        <is>
          <t>McMaster-Carr</t>
        </is>
      </c>
      <c r="D779" s="54" t="inlineStr">
        <is>
          <t>18-8 Stainless Steel Serrated-Flange Hex Head Screw
5/16"-18 Thread Size, 1/2" Long (Pack of 10)</t>
        </is>
      </c>
      <c r="E779" s="15" t="n">
        <v>10</v>
      </c>
      <c r="F779" s="17" t="inlineStr">
        <is>
          <t>pack</t>
        </is>
      </c>
      <c r="G779" s="54" t="inlineStr">
        <is>
          <t>McMaster-Carr</t>
        </is>
      </c>
      <c r="H779" s="54" t="inlineStr">
        <is>
          <t>97646A252</t>
        </is>
      </c>
      <c r="I779" s="15" t="inlineStr">
        <is>
          <t>NO</t>
        </is>
      </c>
      <c r="J779" s="56" t="n">
        <v>9.16</v>
      </c>
      <c r="K779" s="57" t="n">
        <v>45407</v>
      </c>
      <c r="L779" s="19" t="n">
        <v>0</v>
      </c>
      <c r="M779" s="20" t="n">
        <v>9.16</v>
      </c>
      <c r="N779" s="21" t="n">
        <v>45371</v>
      </c>
      <c r="O779" s="22" t="inlineStr">
        <is>
          <t>, 1/2/2024, 9.16, 2/15/2024, 9.16, 3/20/2024, 9.16, 4/25/2024, 9.16</t>
        </is>
      </c>
      <c r="P779" s="24" t="n"/>
    </row>
    <row r="780" ht="111.75" customHeight="1">
      <c r="A780" s="53" t="inlineStr">
        <is>
          <t>SC-002534-1/4</t>
        </is>
      </c>
      <c r="B780" s="54" t="inlineStr">
        <is>
          <t>SC-002534-1/4</t>
        </is>
      </c>
      <c r="C780" s="54" t="inlineStr">
        <is>
          <t>Pneumatic Cylinders &amp; Couplers</t>
        </is>
      </c>
      <c r="D780" s="54" t="inlineStr">
        <is>
          <t>Pneumatic C&amp;C Ref: S20D14.001X1FFC1MPNS
2" Bore x 14" Stroke, Stainless Pneumatic Cylinder
5/8" Diameter Piston Rod, 1/2-20 Male Rod Thread
Special MX1 Extended Tie Rods Both Ends Mnt
BB = 1/2" (No Front Plate w/ Hex Nuts)
Fixed Cushions Both Ends
1/4" NPT Ports Both Ends Pos #1
Magnetic Piston (Req's 8x CFN5/16-24AS Acorn Nuts per Cylinder)</t>
        </is>
      </c>
      <c r="E780" s="15" t="n"/>
      <c r="F780" s="17" t="n"/>
      <c r="G780" s="54" t="inlineStr">
        <is>
          <t>Motion Ai</t>
        </is>
      </c>
      <c r="H780" s="54" t="inlineStr">
        <is>
          <t>SC-002534-1/4</t>
        </is>
      </c>
      <c r="I780" s="15" t="inlineStr">
        <is>
          <t>NO</t>
        </is>
      </c>
      <c r="J780" s="56" t="n">
        <v>833.4400000000001</v>
      </c>
      <c r="K780" s="57" t="n">
        <v>45294</v>
      </c>
      <c r="L780" s="19" t="n"/>
      <c r="M780" s="20" t="n"/>
      <c r="N780" s="21" t="n"/>
      <c r="O780" s="22" t="n"/>
      <c r="P780" s="24" t="n"/>
    </row>
    <row r="781" ht="55.5" customHeight="1">
      <c r="A781" s="53" t="inlineStr">
        <is>
          <t>MV0000202695</t>
        </is>
      </c>
      <c r="B781" s="54" t="inlineStr">
        <is>
          <t>MV0000202695</t>
        </is>
      </c>
      <c r="C781" s="54" t="inlineStr">
        <is>
          <t>Stober Drives</t>
        </is>
      </c>
      <c r="D781" s="54" t="inlineStr">
        <is>
          <t>KSS202WG0350MS2R - Stainless Steel Gear Reducer
34.55 Ratio - For Servo Motor - Mounting Position 1/2/5/6
Hollow Shaft for Wobble Free Bushing (Order Bushing Separate)
Motor Connection: D165 95/115 for VPH-X115 213973 (115mm Servo Bolt Circle)</t>
        </is>
      </c>
      <c r="E781" s="15" t="n"/>
      <c r="F781" s="17" t="n"/>
      <c r="G781" s="54" t="inlineStr">
        <is>
          <t>Stober Drives</t>
        </is>
      </c>
      <c r="H781" s="54" t="inlineStr">
        <is>
          <t>MV0000202695</t>
        </is>
      </c>
      <c r="I781" s="15" t="inlineStr">
        <is>
          <t>NO</t>
        </is>
      </c>
      <c r="J781" s="56" t="n">
        <v>3117.52</v>
      </c>
      <c r="K781" s="57" t="n">
        <v>45295</v>
      </c>
      <c r="L781" s="19" t="n"/>
      <c r="M781" s="20" t="n"/>
      <c r="N781" s="21" t="n"/>
      <c r="O781" s="22" t="n"/>
      <c r="P781" s="24" t="n"/>
    </row>
    <row r="782" ht="55.5" customHeight="1">
      <c r="A782" s="53" t="inlineStr">
        <is>
          <t>MV0000043367</t>
        </is>
      </c>
      <c r="B782" s="54" t="inlineStr">
        <is>
          <t>MV0000043367</t>
        </is>
      </c>
      <c r="C782" s="54" t="inlineStr">
        <is>
          <t>Stober Drives</t>
        </is>
      </c>
      <c r="D782" s="54" t="inlineStr">
        <is>
          <t>KSS202WG0280MS2R050 - Stainless Steel Gear Reducer
27.95 Ratio - 72.0 RPM - 1.81HP Max - Mounting Position 1/2/5/6
Hollow Shaft for Wobble Free Bushing (Order Bushing Separate)
Motor Connection: NEMA 050 (56C Face)</t>
        </is>
      </c>
      <c r="E782" s="15" t="n"/>
      <c r="F782" s="17" t="n"/>
      <c r="G782" s="54" t="inlineStr">
        <is>
          <t>Stober Drives</t>
        </is>
      </c>
      <c r="H782" s="54" t="inlineStr">
        <is>
          <t>MV0000043367</t>
        </is>
      </c>
      <c r="I782" s="15" t="inlineStr">
        <is>
          <t>NO</t>
        </is>
      </c>
      <c r="J782" s="56" t="n">
        <v>3113.4</v>
      </c>
      <c r="K782" s="57" t="n">
        <v>45295</v>
      </c>
      <c r="L782" s="19" t="n"/>
      <c r="M782" s="20" t="n"/>
      <c r="N782" s="21" t="n"/>
      <c r="O782" s="22" t="n"/>
      <c r="P782" s="24" t="n"/>
    </row>
    <row r="783" ht="55.5" customHeight="1">
      <c r="A783" s="53" t="inlineStr">
        <is>
          <t>MV0000078241</t>
        </is>
      </c>
      <c r="B783" s="54" t="inlineStr">
        <is>
          <t>MV0000078241</t>
        </is>
      </c>
      <c r="C783" s="54" t="inlineStr">
        <is>
          <t>Stober Drives</t>
        </is>
      </c>
      <c r="D783" s="54" t="inlineStr">
        <is>
          <t>KSS302WG0060MS3R180  - Stainless Steel Gear Reducer
6.00 Ratio - 292.0 RPM - 9.36HP Max - Mounting Position 1/2/5/6
Hollow Shaft for Wobble Free Bushing (Order Bushing Separate)
Motor Connection: NEMA 180 (183TC Face)</t>
        </is>
      </c>
      <c r="E783" s="15" t="n"/>
      <c r="F783" s="17" t="n"/>
      <c r="G783" s="54" t="inlineStr">
        <is>
          <t>Stober Drives</t>
        </is>
      </c>
      <c r="H783" s="54" t="inlineStr">
        <is>
          <t>MV0000078241</t>
        </is>
      </c>
      <c r="I783" s="15" t="inlineStr">
        <is>
          <t>NO</t>
        </is>
      </c>
      <c r="J783" s="56" t="n">
        <v>3577.8</v>
      </c>
      <c r="K783" s="57" t="n">
        <v>45295</v>
      </c>
      <c r="L783" s="19" t="n"/>
      <c r="M783" s="20" t="n"/>
      <c r="N783" s="21" t="n"/>
      <c r="O783" s="22" t="n"/>
      <c r="P783" s="24" t="n"/>
    </row>
    <row r="784" ht="33" customHeight="1">
      <c r="A784" s="53" t="inlineStr">
        <is>
          <t>90298A930</t>
        </is>
      </c>
      <c r="B784" s="54" t="inlineStr">
        <is>
          <t>90298A930</t>
        </is>
      </c>
      <c r="C784" s="54" t="inlineStr">
        <is>
          <t>McMaster-Carr</t>
        </is>
      </c>
      <c r="D784" s="54" t="inlineStr">
        <is>
          <t>18-8 Stainless Steel Shoulder Screw
with Passivated Finish, 5/8" Shoulder Diameter, 3/4" Shoulder Length</t>
        </is>
      </c>
      <c r="E784" s="15" t="n"/>
      <c r="F784" s="17" t="inlineStr">
        <is>
          <t>Each</t>
        </is>
      </c>
      <c r="G784" s="54" t="inlineStr">
        <is>
          <t>McMaster-Carr</t>
        </is>
      </c>
      <c r="H784" s="54" t="inlineStr">
        <is>
          <t>90298A930</t>
        </is>
      </c>
      <c r="I784" s="15" t="inlineStr">
        <is>
          <t>NO</t>
        </is>
      </c>
      <c r="J784" s="56" t="n">
        <v>31.94</v>
      </c>
      <c r="K784" s="57" t="n">
        <v>45348</v>
      </c>
      <c r="L784" s="19" t="n">
        <v>0</v>
      </c>
      <c r="M784" s="20" t="n">
        <v>31.94</v>
      </c>
      <c r="N784" s="21" t="n">
        <v>45296</v>
      </c>
      <c r="O784" s="22" t="inlineStr">
        <is>
          <t>, 1/5/2024, 31.94, 2/15/2024, 31.94</t>
        </is>
      </c>
      <c r="P784" s="24" t="n"/>
    </row>
    <row r="785" ht="33" customHeight="1">
      <c r="A785" s="53" t="inlineStr">
        <is>
          <t>S3E1I6CEK5LS</t>
        </is>
      </c>
      <c r="B785" s="54" t="inlineStr">
        <is>
          <t>S3E1I6CEK5LS</t>
        </is>
      </c>
      <c r="C785" s="54" t="inlineStr">
        <is>
          <t>Intralox</t>
        </is>
      </c>
      <c r="D785" s="54" t="inlineStr">
        <is>
          <t>SERIES 1100 3.1" (16T) EZ TRACKING/EZ CLEAN GREY ACETAL SPROCKET WITH 1.25" ROUND BORE</t>
        </is>
      </c>
      <c r="E785" s="15" t="n">
        <v>1</v>
      </c>
      <c r="F785" s="17" t="inlineStr">
        <is>
          <t>each</t>
        </is>
      </c>
      <c r="G785" s="54" t="inlineStr">
        <is>
          <t>Intralox</t>
        </is>
      </c>
      <c r="H785" s="54" t="inlineStr">
        <is>
          <t>S3E1I6CEK5LS</t>
        </is>
      </c>
      <c r="I785" s="15" t="inlineStr">
        <is>
          <t>NO</t>
        </is>
      </c>
      <c r="J785" s="56" t="n">
        <v>18.04</v>
      </c>
      <c r="K785" s="57" t="n">
        <v>45447</v>
      </c>
      <c r="L785" s="19" t="n">
        <v>0</v>
      </c>
      <c r="M785" s="31" t="n">
        <v>18.04</v>
      </c>
      <c r="N785" s="21" t="n">
        <v>45310</v>
      </c>
      <c r="O785" s="22" t="inlineStr">
        <is>
          <t>, 6/4/2024, 18.04</t>
        </is>
      </c>
      <c r="P785" s="24" t="n"/>
    </row>
    <row r="786" ht="33" customHeight="1">
      <c r="A786" s="53" t="inlineStr">
        <is>
          <t>94639A895</t>
        </is>
      </c>
      <c r="B786" s="54" t="inlineStr">
        <is>
          <t>94639A895</t>
        </is>
      </c>
      <c r="C786" s="54" t="inlineStr">
        <is>
          <t>McMaster-Carr</t>
        </is>
      </c>
      <c r="D786" s="54" t="inlineStr">
        <is>
          <t>Off-White Nylon Unthreaded Spacer
1-1/2" OD, 1-1/2" Long, for 3/4" Screw Size (Pack of 5)</t>
        </is>
      </c>
      <c r="E786" s="15" t="n">
        <v>5</v>
      </c>
      <c r="F786" s="17" t="inlineStr">
        <is>
          <t>pack</t>
        </is>
      </c>
      <c r="G786" s="54" t="inlineStr">
        <is>
          <t>McMaster-Carr</t>
        </is>
      </c>
      <c r="H786" s="54" t="inlineStr">
        <is>
          <t>94639A895</t>
        </is>
      </c>
      <c r="I786" s="15" t="inlineStr">
        <is>
          <t>NO</t>
        </is>
      </c>
      <c r="J786" s="56" t="n">
        <v>16.1</v>
      </c>
      <c r="K786" s="57" t="n">
        <v>45348</v>
      </c>
      <c r="L786" s="19" t="n">
        <v>0</v>
      </c>
      <c r="M786" s="20" t="n">
        <v>16.1</v>
      </c>
      <c r="N786" s="21" t="n">
        <v>45336</v>
      </c>
      <c r="O786" s="22" t="inlineStr">
        <is>
          <t>, 2/14/2024, 16.1</t>
        </is>
      </c>
      <c r="P786" s="24" t="n"/>
    </row>
    <row r="787" ht="33" customHeight="1">
      <c r="A787" s="53" t="n">
        <v>32534</v>
      </c>
      <c r="B787" s="54" t="n">
        <v>32534</v>
      </c>
      <c r="C787" s="54" t="inlineStr">
        <is>
          <t>System Plastic</t>
        </is>
      </c>
      <c r="D787" s="54" t="inlineStr">
        <is>
          <t>Roller Flange, 3/4" Shaft Size, 2 3/4" Flange DIA</t>
        </is>
      </c>
      <c r="E787" s="15" t="n"/>
      <c r="F787" s="17" t="n"/>
      <c r="G787" s="54" t="inlineStr">
        <is>
          <t>Regal Rexnord</t>
        </is>
      </c>
      <c r="H787" s="54" t="n">
        <v>32534</v>
      </c>
      <c r="I787" s="15" t="inlineStr">
        <is>
          <t>NO</t>
        </is>
      </c>
      <c r="J787" s="56" t="n">
        <v>0.72</v>
      </c>
      <c r="K787" s="57" t="n">
        <v>45349</v>
      </c>
      <c r="L787" s="19" t="n">
        <v>0</v>
      </c>
      <c r="M787" s="20" t="n">
        <v>0.72</v>
      </c>
      <c r="N787" s="21" t="n">
        <v>45336</v>
      </c>
      <c r="O787" s="22" t="inlineStr">
        <is>
          <t>, 2/27/2024, 0.72</t>
        </is>
      </c>
      <c r="P787" s="24" t="n"/>
    </row>
    <row r="788" ht="33" customHeight="1">
      <c r="A788" s="53" t="inlineStr">
        <is>
          <t>32892RN</t>
        </is>
      </c>
      <c r="B788" s="54" t="inlineStr">
        <is>
          <t>32892RN</t>
        </is>
      </c>
      <c r="C788" s="54" t="inlineStr">
        <is>
          <t>System Plastic</t>
        </is>
      </c>
      <c r="D788" s="54" t="inlineStr">
        <is>
          <t>Return Roller w/Rubber, 57MM OD, 3/4" Shaft DIA, 82.5MM Length, Orange</t>
        </is>
      </c>
      <c r="E788" s="15" t="n"/>
      <c r="F788" s="17" t="n"/>
      <c r="G788" s="54" t="inlineStr">
        <is>
          <t>Regal Rexnord</t>
        </is>
      </c>
      <c r="H788" s="54" t="inlineStr">
        <is>
          <t>32892RN</t>
        </is>
      </c>
      <c r="I788" s="15" t="inlineStr">
        <is>
          <t>NO</t>
        </is>
      </c>
      <c r="J788" s="56" t="n">
        <v>7.08</v>
      </c>
      <c r="K788" s="57" t="n">
        <v>45336</v>
      </c>
      <c r="L788" s="19" t="n"/>
      <c r="M788" s="20" t="n"/>
      <c r="N788" s="21" t="n"/>
      <c r="O788" s="22" t="n"/>
      <c r="P788" s="24" t="n"/>
    </row>
    <row r="789" ht="33" customHeight="1">
      <c r="A789" s="53" t="n"/>
      <c r="B789" s="54" t="n"/>
      <c r="C789" s="54" t="n"/>
      <c r="D789" s="54" t="n"/>
      <c r="E789" s="15" t="n"/>
      <c r="F789" s="17" t="n"/>
      <c r="G789" s="54" t="n"/>
      <c r="H789" s="54" t="n"/>
      <c r="I789" s="15" t="n"/>
      <c r="J789" s="56" t="n"/>
      <c r="K789" s="57" t="n"/>
      <c r="L789" s="19" t="n"/>
      <c r="M789" s="20" t="n"/>
      <c r="N789" s="21" t="n"/>
      <c r="O789" s="22" t="n"/>
      <c r="P789" s="24" t="n"/>
    </row>
    <row r="790" ht="33" customHeight="1">
      <c r="A790" s="53" t="n"/>
      <c r="B790" s="54" t="n"/>
      <c r="C790" s="54" t="n"/>
      <c r="D790" s="54" t="n"/>
      <c r="E790" s="15" t="n"/>
      <c r="F790" s="17" t="n"/>
      <c r="G790" s="54" t="n"/>
      <c r="H790" s="54" t="n"/>
      <c r="I790" s="15" t="n"/>
      <c r="J790" s="56" t="n"/>
      <c r="K790" s="57" t="n"/>
      <c r="L790" s="19" t="n"/>
      <c r="M790" s="20" t="n"/>
      <c r="N790" s="21" t="n"/>
      <c r="O790" s="22" t="n"/>
      <c r="P790" s="24" t="n"/>
    </row>
    <row r="791" ht="33" customFormat="1" customHeight="1" s="79">
      <c r="A791" s="68" t="n"/>
      <c r="B791" s="69" t="n"/>
      <c r="C791" s="69" t="n"/>
      <c r="D791" s="69" t="n"/>
      <c r="E791" s="70" t="n"/>
      <c r="F791" s="71" t="n"/>
      <c r="G791" s="69" t="n"/>
      <c r="H791" s="69" t="n"/>
      <c r="I791" s="70" t="n"/>
      <c r="J791" s="72" t="n"/>
      <c r="K791" s="73" t="n"/>
      <c r="L791" s="74" t="n"/>
      <c r="M791" s="75" t="n"/>
      <c r="N791" s="76" t="n"/>
      <c r="O791" s="77" t="n"/>
      <c r="P791" s="78" t="n"/>
    </row>
    <row r="792" ht="33" customFormat="1" customHeight="1" s="79">
      <c r="A792" s="68" t="n"/>
      <c r="B792" s="69" t="n"/>
      <c r="C792" s="69" t="n"/>
      <c r="D792" s="80" t="inlineStr">
        <is>
          <t>TESTING DATA BELOW</t>
        </is>
      </c>
      <c r="E792" s="70" t="n"/>
      <c r="F792" s="71" t="n"/>
      <c r="G792" s="69" t="n"/>
      <c r="H792" s="69" t="n"/>
      <c r="I792" s="70" t="n"/>
      <c r="J792" s="72" t="n"/>
      <c r="K792" s="73" t="n"/>
      <c r="L792" s="74" t="n"/>
      <c r="M792" s="75" t="n"/>
      <c r="N792" s="76" t="n"/>
      <c r="O792" s="77" t="n"/>
      <c r="P792" s="78" t="n"/>
    </row>
    <row r="793" ht="33" customHeight="1">
      <c r="A793" s="53" t="n"/>
      <c r="B793" s="54" t="n"/>
      <c r="C793" s="54" t="n"/>
      <c r="D793" s="54" t="n"/>
      <c r="E793" s="15" t="n"/>
      <c r="F793" s="17" t="n"/>
      <c r="G793" s="54" t="n"/>
      <c r="H793" s="54" t="n"/>
      <c r="I793" s="15" t="n"/>
      <c r="J793" s="56" t="n"/>
      <c r="K793" s="57" t="n"/>
      <c r="L793" s="19" t="n"/>
      <c r="M793" s="20" t="n"/>
      <c r="N793" s="21" t="n"/>
      <c r="O793" s="22" t="n"/>
      <c r="P793" s="24" t="n"/>
    </row>
    <row r="794" ht="33" customHeight="1">
      <c r="A794" s="53" t="inlineStr">
        <is>
          <t>93625A200</t>
        </is>
      </c>
      <c r="B794" s="54" t="inlineStr">
        <is>
          <t>93625A200</t>
        </is>
      </c>
      <c r="C794" s="54" t="inlineStr">
        <is>
          <t>McMaster-Carr</t>
        </is>
      </c>
      <c r="D794" s="54" t="inlineStr">
        <is>
          <t>18-8 Stainless Steel Nylon-Insert Locknut
M5 x 0.8 mm Thread, 8 mm Wide, 5 mm High (Bag of 100)</t>
        </is>
      </c>
      <c r="E794" s="15" t="n">
        <v>100</v>
      </c>
      <c r="F794" s="17" t="inlineStr">
        <is>
          <t>pack</t>
        </is>
      </c>
      <c r="G794" s="54" t="inlineStr">
        <is>
          <t>McMaster-Carr</t>
        </is>
      </c>
      <c r="H794" s="54" t="inlineStr">
        <is>
          <t>93625A200</t>
        </is>
      </c>
      <c r="I794" s="15" t="inlineStr">
        <is>
          <t>NO</t>
        </is>
      </c>
      <c r="J794" s="56" t="n">
        <v>8.77</v>
      </c>
      <c r="K794" s="57" t="n">
        <v>45348</v>
      </c>
      <c r="L794" s="19" t="n">
        <v>0</v>
      </c>
      <c r="M794" s="20" t="n">
        <v>8.77</v>
      </c>
      <c r="N794" s="21" t="n">
        <v>45216</v>
      </c>
      <c r="O794" s="22" t="inlineStr">
        <is>
          <t>, 10/17/2023, 8.77, 2/15/2024, 8.77</t>
        </is>
      </c>
      <c r="P794" s="24" t="n"/>
    </row>
    <row r="795" ht="30.75" customHeight="1">
      <c r="A795" s="53" t="inlineStr">
        <is>
          <t>5320N15</t>
        </is>
      </c>
      <c r="B795" s="54" t="inlineStr">
        <is>
          <t>5320N15</t>
        </is>
      </c>
      <c r="C795" s="54" t="inlineStr">
        <is>
          <t>McMaster-Carr</t>
        </is>
      </c>
      <c r="D795" s="54" t="inlineStr">
        <is>
          <t>1-3/8" Diameter Corrosion-Resistant Conveyor Roller
5/16" Hex Axle, for 18" Between Frame Width</t>
        </is>
      </c>
      <c r="E795" s="15" t="n">
        <v>1</v>
      </c>
      <c r="F795" s="17" t="inlineStr">
        <is>
          <t>Each</t>
        </is>
      </c>
      <c r="G795" s="54" t="inlineStr">
        <is>
          <t>McMaster-Carr</t>
        </is>
      </c>
      <c r="H795" s="54" t="inlineStr">
        <is>
          <t>5320N15</t>
        </is>
      </c>
      <c r="I795" s="15" t="inlineStr">
        <is>
          <t>NO</t>
        </is>
      </c>
      <c r="J795" s="56" t="n">
        <v>123.29</v>
      </c>
      <c r="K795" s="57" t="n">
        <v>45425</v>
      </c>
      <c r="L795" s="19" t="n">
        <v>-0.0760641486810551</v>
      </c>
      <c r="M795" s="20" t="n">
        <v>123.29</v>
      </c>
      <c r="N795" s="21" t="n">
        <v>45419</v>
      </c>
      <c r="O795" s="22" t="inlineStr">
        <is>
          <t>, 10/17/2023, 135.04, 2/15/2024, 133.44, 5/7/2024, 123.29</t>
        </is>
      </c>
      <c r="P795" s="24" t="n"/>
    </row>
    <row r="796" ht="53.25" customHeight="1">
      <c r="A796" s="53" t="inlineStr">
        <is>
          <t>klkl</t>
        </is>
      </c>
      <c r="B796" s="54" t="inlineStr">
        <is>
          <t>6435K63</t>
        </is>
      </c>
      <c r="C796" s="54" t="inlineStr">
        <is>
          <t>McMaster-Carr</t>
        </is>
      </c>
      <c r="D796" s="54" t="inlineStr">
        <is>
          <t>Clamping Shaft Collar
for 7/16" Diameter, 303 Stainless Steel add text 
more entered text</t>
        </is>
      </c>
      <c r="E796" s="15" t="n">
        <v>1</v>
      </c>
      <c r="F796" s="17" t="inlineStr">
        <is>
          <t>Each</t>
        </is>
      </c>
      <c r="G796" s="54" t="inlineStr">
        <is>
          <t>McMaster-Carr</t>
        </is>
      </c>
      <c r="H796" s="54" t="inlineStr">
        <is>
          <t>6435K63</t>
        </is>
      </c>
      <c r="I796" s="15" t="inlineStr">
        <is>
          <t>NO</t>
        </is>
      </c>
      <c r="J796" s="56" t="n">
        <v>15.29</v>
      </c>
      <c r="K796" s="57" t="n">
        <v>45448</v>
      </c>
      <c r="L796" s="19" t="n">
        <v>0</v>
      </c>
      <c r="M796" s="31" t="n">
        <v>15.29</v>
      </c>
      <c r="N796" s="21" t="n">
        <v>45425</v>
      </c>
      <c r="O796" s="22" t="inlineStr">
        <is>
          <t>, 10/17/2023, 10.2, 2/15/2024, 15.29, 5/7/2024, 15.29, 6/5/2024, 15.29</t>
        </is>
      </c>
      <c r="P796" s="24" t="n"/>
    </row>
    <row r="797" ht="33" customHeight="1">
      <c r="A797" s="53" t="inlineStr">
        <is>
          <t>55485K78</t>
        </is>
      </c>
      <c r="B797" s="54" t="inlineStr">
        <is>
          <t>55485K78</t>
        </is>
      </c>
      <c r="C797" s="54" t="inlineStr">
        <is>
          <t>McMaster-Carr</t>
        </is>
      </c>
      <c r="D797" s="54" t="inlineStr">
        <is>
          <t>Continuous-Flex Soft Tygon PVC Plastic Tubing for Air and Water, Clear, 3/8" ID, 5/8" OD (Priced Per Foot)</t>
        </is>
      </c>
      <c r="E797" s="15" t="n"/>
      <c r="F797" s="17" t="inlineStr">
        <is>
          <t>ft.</t>
        </is>
      </c>
      <c r="G797" s="54" t="inlineStr">
        <is>
          <t>McMaster-Carr</t>
        </is>
      </c>
      <c r="H797" s="54" t="inlineStr">
        <is>
          <t>55485K78</t>
        </is>
      </c>
      <c r="I797" s="15" t="inlineStr">
        <is>
          <t>NO</t>
        </is>
      </c>
      <c r="J797" s="56" t="n">
        <v>18.27</v>
      </c>
      <c r="K797" s="57" t="n">
        <v>45425</v>
      </c>
      <c r="L797" s="19" t="n">
        <v>0</v>
      </c>
      <c r="M797" s="20" t="n">
        <v>18.27</v>
      </c>
      <c r="N797" s="21" t="n">
        <v>45218</v>
      </c>
      <c r="O797" s="22" t="inlineStr">
        <is>
          <t>, 10/19/2023, 18.27, 2/15/2024, 18.27, 2/26/2024, 18.27, 5/7/2024, 18.27</t>
        </is>
      </c>
      <c r="P797" s="24" t="n"/>
    </row>
    <row r="798" ht="33" customHeight="1">
      <c r="A798" s="53" t="inlineStr">
        <is>
          <t>45945K61</t>
        </is>
      </c>
      <c r="B798" s="54" t="inlineStr">
        <is>
          <t>45945K61</t>
        </is>
      </c>
      <c r="C798" s="54" t="inlineStr">
        <is>
          <t>McMaster-Carr</t>
        </is>
      </c>
      <c r="D798" s="54" t="inlineStr">
        <is>
          <t>Worm-Drive Clamp with Smooth Band for Soft Hose and Tube, 316 Stainless Steel, 7/16" to 11/16" Clamp ID</t>
        </is>
      </c>
      <c r="E798" s="15" t="n">
        <v>1</v>
      </c>
      <c r="F798" s="17" t="inlineStr">
        <is>
          <t>pack</t>
        </is>
      </c>
      <c r="G798" s="54" t="inlineStr">
        <is>
          <t>McMaster-Carr</t>
        </is>
      </c>
      <c r="H798" s="54" t="inlineStr">
        <is>
          <t>45945K61</t>
        </is>
      </c>
      <c r="I798" s="15" t="inlineStr">
        <is>
          <t>NO</t>
        </is>
      </c>
      <c r="J798" s="56" t="n">
        <v>6.13</v>
      </c>
      <c r="K798" s="57" t="n">
        <v>45425</v>
      </c>
      <c r="L798" s="19" t="n">
        <v>0</v>
      </c>
      <c r="M798" s="20" t="n">
        <v>6.13</v>
      </c>
      <c r="N798" s="21" t="n">
        <v>45218</v>
      </c>
      <c r="O798" s="22" t="inlineStr">
        <is>
          <t>, 10/19/2023, 6.13, 2/15/2024, 6.13, 2/26/2024, 6.13</t>
        </is>
      </c>
      <c r="P798" s="24" t="n"/>
    </row>
    <row r="799" ht="33" customHeight="1">
      <c r="A799" s="53" t="inlineStr">
        <is>
          <t>7880T225</t>
        </is>
      </c>
      <c r="B799" s="54" t="inlineStr">
        <is>
          <t>7880T225</t>
        </is>
      </c>
      <c r="C799" s="54" t="inlineStr">
        <is>
          <t>McMaster-Carr</t>
        </is>
      </c>
      <c r="D799" s="54" t="inlineStr">
        <is>
          <t>Push-to-Connect Tube Fitting for Air and Water
Long 90 Degree Elbow, 3/8" Tube OD x 1/2 NPT Male</t>
        </is>
      </c>
      <c r="E799" s="15" t="n"/>
      <c r="F799" s="17" t="inlineStr">
        <is>
          <t>Each</t>
        </is>
      </c>
      <c r="G799" s="54" t="inlineStr">
        <is>
          <t>McMaster-Carr</t>
        </is>
      </c>
      <c r="H799" s="54" t="inlineStr">
        <is>
          <t>7880T225</t>
        </is>
      </c>
      <c r="I799" s="15" t="inlineStr">
        <is>
          <t>NO</t>
        </is>
      </c>
      <c r="J799" s="56" t="n">
        <v>8.18</v>
      </c>
      <c r="K799" s="57" t="n">
        <v>45425</v>
      </c>
      <c r="L799" s="19" t="n">
        <v>0</v>
      </c>
      <c r="M799" s="20" t="n">
        <v>8.18</v>
      </c>
      <c r="N799" s="21" t="n">
        <v>45289</v>
      </c>
      <c r="O799" s="22" t="inlineStr">
        <is>
          <t>, 12/29/2023, 8.18, 2/15/2024, 8.18, 2/26/2024, 8.18</t>
        </is>
      </c>
      <c r="P799" s="24" t="n"/>
    </row>
    <row r="800" ht="33" customHeight="1">
      <c r="A800" s="53" t="inlineStr">
        <is>
          <t>91845A330</t>
        </is>
      </c>
      <c r="B800" s="54" t="inlineStr">
        <is>
          <t>91845A330</t>
        </is>
      </c>
      <c r="C800" s="54" t="inlineStr">
        <is>
          <t>McMaster-Carr</t>
        </is>
      </c>
      <c r="D800" s="54" t="inlineStr">
        <is>
          <t>18-8 Stainless Steel Hex Nut
3/4"-10 Thread Size (Pack of 10)</t>
        </is>
      </c>
      <c r="E800" s="15" t="n">
        <v>10</v>
      </c>
      <c r="F800" s="17" t="inlineStr">
        <is>
          <t>pack</t>
        </is>
      </c>
      <c r="G800" s="54" t="inlineStr">
        <is>
          <t>McMaster-Carr</t>
        </is>
      </c>
      <c r="H800" s="54" t="inlineStr">
        <is>
          <t>91845A330</t>
        </is>
      </c>
      <c r="I800" s="15" t="inlineStr">
        <is>
          <t>NO</t>
        </is>
      </c>
      <c r="J800" s="56" t="n">
        <v>7.98</v>
      </c>
      <c r="K800" s="57" t="n">
        <v>45425</v>
      </c>
      <c r="L800" s="19" t="n">
        <v>0</v>
      </c>
      <c r="M800" s="20" t="n">
        <v>7.98</v>
      </c>
      <c r="N800" s="21" t="n">
        <v>45337</v>
      </c>
      <c r="O800" s="22" t="inlineStr">
        <is>
          <t>, 12/29/2023, 9.38, 2/15/2024, 7.98, 2/26/2024, 7.98</t>
        </is>
      </c>
      <c r="P800" s="24" t="n"/>
    </row>
    <row r="801" ht="33" customHeight="1">
      <c r="A801" s="53" t="inlineStr">
        <is>
          <t>92125A211</t>
        </is>
      </c>
      <c r="B801" s="54" t="inlineStr">
        <is>
          <t>92125A211</t>
        </is>
      </c>
      <c r="C801" s="54" t="inlineStr">
        <is>
          <t>McMaster-Carr</t>
        </is>
      </c>
      <c r="D801" s="54" t="inlineStr">
        <is>
          <t>18-8 Stainless Steel Hex Drive Flat Head Screw
M5 x 0.8 mm Thread, 14 mm Long (Pack of 50)</t>
        </is>
      </c>
      <c r="E801" s="15" t="n">
        <v>50</v>
      </c>
      <c r="F801" s="17" t="inlineStr">
        <is>
          <t>pack</t>
        </is>
      </c>
      <c r="G801" s="54" t="inlineStr">
        <is>
          <t>McMaster-Carr</t>
        </is>
      </c>
      <c r="H801" s="54" t="inlineStr">
        <is>
          <t>92125A211</t>
        </is>
      </c>
      <c r="I801" s="15" t="inlineStr">
        <is>
          <t>NO</t>
        </is>
      </c>
      <c r="J801" s="56" t="n">
        <v>10.77</v>
      </c>
      <c r="K801" s="57" t="n">
        <v>45425</v>
      </c>
      <c r="L801" s="19" t="n">
        <v>0</v>
      </c>
      <c r="M801" s="20" t="n">
        <v>10.77</v>
      </c>
      <c r="N801" s="21" t="n">
        <v>45289</v>
      </c>
      <c r="O801" s="22" t="inlineStr">
        <is>
          <t>, 12/29/2023, 10.77, 2/15/2024, 10.77, 2/26/2024, 10.77</t>
        </is>
      </c>
      <c r="P801" s="24" t="n"/>
    </row>
    <row r="802" ht="33" customHeight="1">
      <c r="A802" s="53" t="n">
        <v>1221</v>
      </c>
      <c r="B802" s="54" t="inlineStr">
        <is>
          <t>SG-UNF1/2"-20-B</t>
        </is>
      </c>
      <c r="C802" s="54" t="inlineStr">
        <is>
          <t>Festo</t>
        </is>
      </c>
      <c r="D802" s="54" t="inlineStr">
        <is>
          <t>Rod clevis 
-------------------
Lagacy Part! Replacement Part: DDACI</t>
        </is>
      </c>
      <c r="E802" s="15" t="n">
        <v>1</v>
      </c>
      <c r="F802" s="17" t="inlineStr">
        <is>
          <t>each</t>
        </is>
      </c>
      <c r="G802" s="54" t="n">
        <v>12</v>
      </c>
      <c r="H802" s="54" t="n">
        <v>546545</v>
      </c>
      <c r="I802" s="15" t="inlineStr">
        <is>
          <t>DDACI</t>
        </is>
      </c>
      <c r="J802" s="56" t="inlineStr">
        <is>
          <t>Legacy</t>
        </is>
      </c>
      <c r="K802" s="57" t="n">
        <v>45425</v>
      </c>
      <c r="L802" s="19" t="n">
        <v>0</v>
      </c>
      <c r="M802" s="20" t="n">
        <v>13.92</v>
      </c>
      <c r="N802" s="21" t="n">
        <v>45089</v>
      </c>
      <c r="O802" s="22" t="inlineStr">
        <is>
          <t>, 6/12/2023, 13.92, 2/15/2024, 13.92, 2/26/2024, 13.92</t>
        </is>
      </c>
      <c r="P802" s="24" t="n"/>
    </row>
    <row r="803" ht="33" customHeight="1">
      <c r="A803" s="53" t="n">
        <v>444</v>
      </c>
      <c r="B803" s="54" t="inlineStr">
        <is>
          <t>SNCB-40</t>
        </is>
      </c>
      <c r="C803" s="54" t="inlineStr">
        <is>
          <t>Festo</t>
        </is>
      </c>
      <c r="D803" s="54" t="inlineStr">
        <is>
          <t>Clevis Flange 
----------Lagacy Part! Replacement Part: 125ACI----------</t>
        </is>
      </c>
      <c r="E803" s="15" t="n">
        <v>1</v>
      </c>
      <c r="F803" s="17" t="inlineStr">
        <is>
          <t>each</t>
        </is>
      </c>
      <c r="G803" s="54" t="n">
        <v>2</v>
      </c>
      <c r="H803" s="54" t="n">
        <v>174391</v>
      </c>
      <c r="I803" s="15" t="inlineStr">
        <is>
          <t>125ACI</t>
        </is>
      </c>
      <c r="J803" s="56" t="inlineStr">
        <is>
          <t>Legacy</t>
        </is>
      </c>
      <c r="K803" s="57" t="n">
        <v>45425</v>
      </c>
      <c r="L803" s="19" t="n">
        <v>0</v>
      </c>
      <c r="M803" s="20" t="n">
        <v>30.77</v>
      </c>
      <c r="N803" s="21" t="n">
        <v>45348</v>
      </c>
      <c r="O803" s="22" t="inlineStr">
        <is>
          <t>, 6/12/2023, 30.77, 2/15/2024, 30.77, 5/1/2024, 30.77</t>
        </is>
      </c>
      <c r="P803" s="24" t="n"/>
    </row>
    <row r="804" ht="39.75" customHeight="1">
      <c r="A804" s="53" t="n">
        <v>123123</v>
      </c>
      <c r="B804" s="54" t="inlineStr">
        <is>
          <t>SME-8M-DS-24V-K-0,3-M8D</t>
        </is>
      </c>
      <c r="C804" s="54" t="inlineStr">
        <is>
          <t>Festo</t>
        </is>
      </c>
      <c r="D804" s="54" t="inlineStr">
        <is>
          <t>Proximity Sensor
*---------- Lagacy Part! Replacement Part: 32ACI ----------*</t>
        </is>
      </c>
      <c r="E804" s="15" t="n">
        <v>1</v>
      </c>
      <c r="F804" s="17" t="inlineStr">
        <is>
          <t>each</t>
        </is>
      </c>
      <c r="G804" s="54" t="n">
        <v>2</v>
      </c>
      <c r="H804" s="54" t="n">
        <v>543861</v>
      </c>
      <c r="I804" s="15" t="inlineStr">
        <is>
          <t>32ACI</t>
        </is>
      </c>
      <c r="J804" s="56" t="inlineStr">
        <is>
          <t>Legacy</t>
        </is>
      </c>
      <c r="K804" s="57" t="n">
        <v>45425</v>
      </c>
      <c r="L804" s="19" t="n">
        <v>0</v>
      </c>
      <c r="M804" s="20" t="n">
        <v>40.78</v>
      </c>
      <c r="N804" s="21" t="n">
        <v>45089</v>
      </c>
      <c r="O804" s="22" t="inlineStr">
        <is>
          <t>, 6/12/2023, 40.78, 2/15/2024, 40.78, 2/26/2024, 40.78</t>
        </is>
      </c>
      <c r="P804" s="24" t="n"/>
    </row>
    <row r="805" ht="33" customHeight="1">
      <c r="A805" s="53" t="n">
        <v>547941</v>
      </c>
      <c r="B805" s="54" t="inlineStr">
        <is>
          <t>SMM-8</t>
        </is>
      </c>
      <c r="C805" s="54" t="inlineStr">
        <is>
          <t>Festo</t>
        </is>
      </c>
      <c r="D805" s="54" t="inlineStr">
        <is>
          <t>Positioning Element for Prox. Sensor (qty-2 per sensor) - Pack of 10</t>
        </is>
      </c>
      <c r="E805" s="15" t="n">
        <v>1</v>
      </c>
      <c r="F805" s="17" t="n">
        <v>10</v>
      </c>
      <c r="G805" s="54" t="inlineStr">
        <is>
          <t>Festo</t>
        </is>
      </c>
      <c r="H805" s="54" t="n">
        <v>547941</v>
      </c>
      <c r="I805" s="15" t="inlineStr">
        <is>
          <t>NO</t>
        </is>
      </c>
      <c r="J805" s="56" t="n">
        <v>45.2</v>
      </c>
      <c r="K805" s="57" t="n">
        <v>45425</v>
      </c>
      <c r="L805" s="19" t="n">
        <v>0</v>
      </c>
      <c r="M805" s="20" t="n">
        <v>45.2</v>
      </c>
      <c r="N805" s="21" t="n">
        <v>45089</v>
      </c>
      <c r="O805" s="22" t="inlineStr">
        <is>
          <t>, 6/12/2023, 45.2, 2/15/2024, 45.2, 2/26/2024, 45.2, 5/13/2024, 45.2</t>
        </is>
      </c>
      <c r="P805" s="24" t="n"/>
    </row>
    <row r="806" ht="33" customHeight="1">
      <c r="A806" s="53" t="n">
        <v>575552</v>
      </c>
      <c r="B806" s="54" t="inlineStr">
        <is>
          <t>VUVS-L25-M52-AD-N14-F8</t>
        </is>
      </c>
      <c r="C806" s="54" t="inlineStr">
        <is>
          <t>Festo</t>
        </is>
      </c>
      <c r="D806" s="54" t="inlineStr">
        <is>
          <t>L25 Air Solenoid Valve, 1/4" FNPT, 5 Port / 2 Way, Internal Pilot, Pneumatic Return, WITHOUT COIL (8030811)</t>
        </is>
      </c>
      <c r="E806" s="15" t="n">
        <v>1</v>
      </c>
      <c r="F806" s="17" t="inlineStr">
        <is>
          <t>each</t>
        </is>
      </c>
      <c r="G806" s="54" t="inlineStr">
        <is>
          <t>Festo</t>
        </is>
      </c>
      <c r="H806" s="54" t="n">
        <v>575552</v>
      </c>
      <c r="I806" s="15" t="inlineStr">
        <is>
          <t>NO</t>
        </is>
      </c>
      <c r="J806" s="56" t="n">
        <v>57.07</v>
      </c>
      <c r="K806" s="57" t="n">
        <v>45425</v>
      </c>
      <c r="L806" s="19" t="n">
        <v>0</v>
      </c>
      <c r="M806" s="20" t="n">
        <v>57.07</v>
      </c>
      <c r="N806" s="21" t="n">
        <v>45306</v>
      </c>
      <c r="O806" s="22" t="inlineStr">
        <is>
          <t>, 1/15/2024, 57.07, 2/15/2024, 57.07, 2/26/2024, 57.07, 5/2/2024, 57.07</t>
        </is>
      </c>
      <c r="P806" s="24" t="n"/>
    </row>
    <row r="807" ht="33" customHeight="1">
      <c r="A807" s="65" t="n">
        <v>14144</v>
      </c>
      <c r="B807" s="54" t="inlineStr">
        <is>
          <t>VUVS-L20-M52-AD-N18-F7</t>
        </is>
      </c>
      <c r="C807" s="54" t="inlineStr">
        <is>
          <t>Festo</t>
        </is>
      </c>
      <c r="D807" s="54" t="inlineStr">
        <is>
          <t>L20 Air Solenoid Valve, 1/8" FNPT, 5 Port / 2 Way, Internal Pilot, Pneumatic Return, WITHOUT COIL (8025330) Add on Text
Just saying</t>
        </is>
      </c>
      <c r="E807" s="15" t="n">
        <v>1</v>
      </c>
      <c r="F807" s="17" t="inlineStr">
        <is>
          <t>each</t>
        </is>
      </c>
      <c r="G807" s="54" t="inlineStr">
        <is>
          <t>Festo</t>
        </is>
      </c>
      <c r="H807" s="54" t="n">
        <v>575702</v>
      </c>
      <c r="I807" s="15" t="inlineStr">
        <is>
          <t>NO</t>
        </is>
      </c>
      <c r="J807" s="56" t="n">
        <v>52.82</v>
      </c>
      <c r="K807" s="57" t="n">
        <v>45448</v>
      </c>
      <c r="L807" s="19" t="n">
        <v>0</v>
      </c>
      <c r="M807" s="31" t="n">
        <v>52.82</v>
      </c>
      <c r="N807" s="21" t="n">
        <v>45425</v>
      </c>
      <c r="O807" s="22" t="inlineStr">
        <is>
          <t>, 1/15/2024, 52.82, 2/15/2024, 52.82, 2/26/2024, 52.82, 5/2/2024, 52.82, 6/5/2024, 52.82</t>
        </is>
      </c>
      <c r="P807" s="24" t="n"/>
    </row>
    <row r="808" ht="33" customHeight="1">
      <c r="A808" s="53" t="inlineStr">
        <is>
          <t>3109-60-14</t>
        </is>
      </c>
      <c r="B808" s="54" t="inlineStr">
        <is>
          <t>3109-60-14</t>
        </is>
      </c>
      <c r="C808" s="54" t="inlineStr">
        <is>
          <t>Legris</t>
        </is>
      </c>
      <c r="D808" s="54" t="inlineStr">
        <is>
          <t>3/8" Tube x 1/4" NPT Male Swivel 90 Connector (Pack of 10)</t>
        </is>
      </c>
      <c r="E808" s="15" t="n">
        <v>10</v>
      </c>
      <c r="F808" s="17" t="inlineStr">
        <is>
          <t>pk</t>
        </is>
      </c>
      <c r="G808" s="54" t="inlineStr">
        <is>
          <t>Zoro</t>
        </is>
      </c>
      <c r="H808" s="54" t="inlineStr">
        <is>
          <t>G0532752</t>
        </is>
      </c>
      <c r="I808" s="15" t="inlineStr">
        <is>
          <t>NO</t>
        </is>
      </c>
      <c r="J808" s="56" t="n">
        <v>78.69</v>
      </c>
      <c r="K808" s="57" t="n">
        <v>45425</v>
      </c>
      <c r="L808" s="19" t="n">
        <v>0</v>
      </c>
      <c r="M808" s="20" t="n">
        <v>28.74</v>
      </c>
      <c r="N808" s="21" t="n">
        <v>45414</v>
      </c>
      <c r="O808" s="22" t="inlineStr">
        <is>
          <t>, 2/19/2024, 82.85, 2/26/2024, 78.69, 5/2/2024, 28.74</t>
        </is>
      </c>
      <c r="P808" s="24" t="n"/>
    </row>
    <row r="809" ht="33" customHeight="1">
      <c r="A809" s="53" t="inlineStr">
        <is>
          <t>3109-60-18</t>
        </is>
      </c>
      <c r="B809" s="54" t="inlineStr">
        <is>
          <t>3109-60-18</t>
        </is>
      </c>
      <c r="C809" s="54" t="inlineStr">
        <is>
          <t>Legris</t>
        </is>
      </c>
      <c r="D809" s="54" t="inlineStr">
        <is>
          <t>3/8" Tube x 3/8" NPT Male Swivel 90 Connector (Pack of 10)</t>
        </is>
      </c>
      <c r="E809" s="15" t="n">
        <v>10</v>
      </c>
      <c r="F809" s="17" t="inlineStr">
        <is>
          <t>pk</t>
        </is>
      </c>
      <c r="G809" s="54" t="inlineStr">
        <is>
          <t>Zoro</t>
        </is>
      </c>
      <c r="H809" s="54" t="inlineStr">
        <is>
          <t>G3009885</t>
        </is>
      </c>
      <c r="I809" s="15" t="inlineStr">
        <is>
          <t>NO</t>
        </is>
      </c>
      <c r="J809" s="56" t="n">
        <v>86.75</v>
      </c>
      <c r="K809" s="57" t="n">
        <v>45425</v>
      </c>
      <c r="L809" s="19" t="n">
        <v>-0.0312674483528755</v>
      </c>
      <c r="M809" s="20" t="n">
        <v>89.55</v>
      </c>
      <c r="N809" s="21" t="n">
        <v>45341</v>
      </c>
      <c r="O809" s="22" t="inlineStr">
        <is>
          <t>, 2/19/2024, 89.55</t>
        </is>
      </c>
      <c r="P809" s="24" t="n"/>
    </row>
    <row r="810" ht="33" customHeight="1">
      <c r="A810" s="53" t="inlineStr">
        <is>
          <t>7015-56-11</t>
        </is>
      </c>
      <c r="B810" s="54" t="inlineStr">
        <is>
          <t>7015-56-11</t>
        </is>
      </c>
      <c r="C810" s="54" t="inlineStr">
        <is>
          <t>Legris</t>
        </is>
      </c>
      <c r="D810" s="54" t="inlineStr">
        <is>
          <t>1/4" Tube x 1/8" NPT Meter Out Flow Control Regulator</t>
        </is>
      </c>
      <c r="E810" s="15" t="n">
        <v>1</v>
      </c>
      <c r="F810" s="17" t="inlineStr">
        <is>
          <t>each</t>
        </is>
      </c>
      <c r="G810" s="54" t="inlineStr">
        <is>
          <t>Zoro</t>
        </is>
      </c>
      <c r="H810" s="54" t="inlineStr">
        <is>
          <t>G2810342</t>
        </is>
      </c>
      <c r="I810" s="15" t="inlineStr">
        <is>
          <t>NO</t>
        </is>
      </c>
      <c r="J810" s="56" t="n">
        <v>23.59</v>
      </c>
      <c r="K810" s="57" t="n">
        <v>45456</v>
      </c>
      <c r="L810" s="19" t="n">
        <v>-0.0166736140058357</v>
      </c>
      <c r="M810" s="20" t="n">
        <v>23.35</v>
      </c>
      <c r="N810" s="21" t="n">
        <v>45348</v>
      </c>
      <c r="O810" s="22" t="inlineStr">
        <is>
          <t>, 1/15/2024, 22.89, 2/15/2024, 23.99, 2/26/2024, 23.35</t>
        </is>
      </c>
      <c r="P810" s="24" t="n"/>
    </row>
    <row r="811" ht="33" customHeight="1">
      <c r="A811" s="53" t="inlineStr">
        <is>
          <t>7015-56-14</t>
        </is>
      </c>
      <c r="B811" s="54" t="inlineStr">
        <is>
          <t>7015-56-14</t>
        </is>
      </c>
      <c r="C811" s="54" t="inlineStr">
        <is>
          <t>Legris</t>
        </is>
      </c>
      <c r="D811" s="54" t="inlineStr">
        <is>
          <t>1/4" Tube x 1/4" NPT Meter Out Flow Control Regulator</t>
        </is>
      </c>
      <c r="E811" s="15" t="n">
        <v>1</v>
      </c>
      <c r="F811" s="17" t="inlineStr">
        <is>
          <t>each</t>
        </is>
      </c>
      <c r="G811" s="54" t="inlineStr">
        <is>
          <t>Zoro</t>
        </is>
      </c>
      <c r="H811" s="54" t="inlineStr">
        <is>
          <t>G2326012</t>
        </is>
      </c>
      <c r="I811" s="15" t="inlineStr">
        <is>
          <t>NO</t>
        </is>
      </c>
      <c r="J811" s="56" t="n">
        <v>24.79</v>
      </c>
      <c r="K811" s="57" t="n">
        <v>45425</v>
      </c>
      <c r="L811" s="19" t="n">
        <v>-0.0158793171893609</v>
      </c>
      <c r="M811" s="20" t="n">
        <v>28.74</v>
      </c>
      <c r="N811" s="21" t="n">
        <v>45414</v>
      </c>
      <c r="O811" s="22" t="inlineStr">
        <is>
          <t>, 2/15/2024, 27.99, 2/26/2024, 25.19, 5/1/2024, 25.19</t>
        </is>
      </c>
      <c r="P811" s="24" t="n"/>
    </row>
    <row r="812" ht="33" customHeight="1">
      <c r="A812" s="53" t="n">
        <v>4445</v>
      </c>
      <c r="B812" s="54" t="inlineStr">
        <is>
          <t>7015-60-14</t>
        </is>
      </c>
      <c r="C812" s="54" t="inlineStr">
        <is>
          <t>Legris</t>
        </is>
      </c>
      <c r="D812" s="54" t="inlineStr">
        <is>
          <t>3/8" Tube x 1/4" NPT Meter Out Flow Control Regulator CC</t>
        </is>
      </c>
      <c r="E812" s="15" t="n">
        <v>1</v>
      </c>
      <c r="F812" s="17" t="inlineStr">
        <is>
          <t>each</t>
        </is>
      </c>
      <c r="G812" s="54" t="inlineStr">
        <is>
          <t>Zoro</t>
        </is>
      </c>
      <c r="H812" s="54" t="inlineStr">
        <is>
          <t>G3290831</t>
        </is>
      </c>
      <c r="I812" s="15" t="inlineStr">
        <is>
          <t>NO</t>
        </is>
      </c>
      <c r="J812" s="56" t="n">
        <v>41.99</v>
      </c>
      <c r="K812" s="57" t="n">
        <v>45448</v>
      </c>
      <c r="L812" s="19" t="n">
        <v>0.051063829787234</v>
      </c>
      <c r="M812" s="31" t="n">
        <v>41.99</v>
      </c>
      <c r="N812" s="21" t="n">
        <v>45425</v>
      </c>
      <c r="O812" s="22" t="inlineStr">
        <is>
          <t>, 1/15/2024, 41.91, 2/15/2024, 41.89, 2/26/2024, 39.95, 6/5/2024, 41.99</t>
        </is>
      </c>
      <c r="P812" s="24" t="n"/>
    </row>
    <row r="813" ht="33" customHeight="1">
      <c r="A813" s="53" t="inlineStr">
        <is>
          <t>7015-60-18</t>
        </is>
      </c>
      <c r="B813" s="54" t="inlineStr">
        <is>
          <t>7015-60-18</t>
        </is>
      </c>
      <c r="C813" s="54" t="inlineStr">
        <is>
          <t>Legris</t>
        </is>
      </c>
      <c r="D813" s="54" t="inlineStr">
        <is>
          <t>3/8" Tube x 3/8" NPT Meter Out Flow Control Regulator</t>
        </is>
      </c>
      <c r="E813" s="15" t="n"/>
      <c r="F813" s="17" t="n"/>
      <c r="G813" s="54" t="inlineStr">
        <is>
          <t>Zoro</t>
        </is>
      </c>
      <c r="H813" s="54" t="inlineStr">
        <is>
          <t>G0987463</t>
        </is>
      </c>
      <c r="I813" s="15" t="inlineStr">
        <is>
          <t>NO</t>
        </is>
      </c>
      <c r="J813" s="56" t="n">
        <v>54.29</v>
      </c>
      <c r="K813" s="57" t="n">
        <v>45425</v>
      </c>
      <c r="L813" s="19" t="n"/>
      <c r="M813" s="20" t="n"/>
      <c r="N813" s="21" t="n"/>
      <c r="O813" s="22" t="n"/>
      <c r="P813" s="24" t="n"/>
    </row>
    <row r="814" ht="33" customHeight="1">
      <c r="A814" s="53" t="n">
        <v>1211</v>
      </c>
      <c r="B814" s="54" t="inlineStr">
        <is>
          <t>7660-56-20</t>
        </is>
      </c>
      <c r="C814" s="54" t="inlineStr">
        <is>
          <t>Legris</t>
        </is>
      </c>
      <c r="D814" s="54" t="inlineStr">
        <is>
          <t>1/4" Tube x #10-32 UNF Meter Out Flow Control Regulator
*---------- Lagacy Part! Replacement Part: B232 ----------*</t>
        </is>
      </c>
      <c r="E814" s="15" t="n"/>
      <c r="F814" s="17" t="n"/>
      <c r="G814" s="54" t="inlineStr">
        <is>
          <t>Zoro</t>
        </is>
      </c>
      <c r="H814" s="54" t="inlineStr">
        <is>
          <t>G0973725</t>
        </is>
      </c>
      <c r="I814" s="15" t="inlineStr">
        <is>
          <t>B232</t>
        </is>
      </c>
      <c r="J814" s="56" t="inlineStr">
        <is>
          <t>Legacy</t>
        </is>
      </c>
      <c r="K814" s="57" t="n">
        <v>45448</v>
      </c>
      <c r="L814" s="19" t="n"/>
      <c r="M814" s="20" t="n"/>
      <c r="N814" s="21" t="n"/>
      <c r="O814" s="22" t="inlineStr">
        <is>
          <t>, 2/26/2024, 25.97, 5/13/2024, Legacy</t>
        </is>
      </c>
      <c r="P814" s="24" t="n"/>
    </row>
    <row r="815" ht="40.5" customHeight="1">
      <c r="A815" s="14" t="n">
        <v>5454</v>
      </c>
      <c r="B815" s="15" t="inlineStr">
        <is>
          <t>6MN05</t>
        </is>
      </c>
      <c r="C815" s="15" t="inlineStr">
        <is>
          <t>APPROVED VENDOR</t>
        </is>
      </c>
      <c r="D815" s="15" t="inlineStr">
        <is>
          <t>Male Connector, Push To Connect, Tube Size 3/8 In, Pipe Size 1/4 In, Tube x MNPT Connection, Material of Construction Nickel Plated Brass, Outside Dia .188 In, Thread Size 1/4 In, Pressure (PSI) 250, Temp Range 0 To 160 Deg F</t>
        </is>
      </c>
      <c r="E815" s="15" t="n">
        <v>10</v>
      </c>
      <c r="F815" s="17" t="inlineStr">
        <is>
          <t>pack</t>
        </is>
      </c>
      <c r="G815" s="15" t="inlineStr">
        <is>
          <t>Grainger</t>
        </is>
      </c>
      <c r="H815" s="15" t="inlineStr">
        <is>
          <t>6MN05</t>
        </is>
      </c>
      <c r="I815" s="15" t="inlineStr">
        <is>
          <t>NO</t>
        </is>
      </c>
      <c r="J815" s="18" t="n">
        <v>52.47</v>
      </c>
      <c r="K815" s="21" t="n">
        <v>45448</v>
      </c>
      <c r="L815" s="19" t="n">
        <v>0</v>
      </c>
      <c r="M815" s="31" t="n">
        <v>52.47</v>
      </c>
      <c r="N815" s="21" t="n">
        <v>45448</v>
      </c>
      <c r="O815" s="22" t="inlineStr">
        <is>
          <t>, 2/15/2024, 28.63, 2/26/2024, 52.47, 6/5/2024, 0</t>
        </is>
      </c>
      <c r="P815" s="24" t="n"/>
    </row>
    <row r="816" ht="40.5" customHeight="1">
      <c r="A816" s="14" t="n">
        <v>4545</v>
      </c>
      <c r="B816" s="15" t="inlineStr">
        <is>
          <t>W169PLP-6-4</t>
        </is>
      </c>
      <c r="C816" s="15" t="inlineStr">
        <is>
          <t>PARKER</t>
        </is>
      </c>
      <c r="D816"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816" s="15" t="n">
        <v>10</v>
      </c>
      <c r="F816" s="17" t="inlineStr">
        <is>
          <t>per pack</t>
        </is>
      </c>
      <c r="G816" s="15" t="inlineStr">
        <is>
          <t>Grainger</t>
        </is>
      </c>
      <c r="H816" s="15" t="inlineStr">
        <is>
          <t>1AJP6</t>
        </is>
      </c>
      <c r="I816" s="15" t="inlineStr">
        <is>
          <t>NO</t>
        </is>
      </c>
      <c r="J816" s="18" t="n">
        <v>0</v>
      </c>
      <c r="K816" s="21" t="n">
        <v>45448</v>
      </c>
      <c r="L816" s="19" t="n"/>
      <c r="M816" s="31" t="n">
        <v>69.31</v>
      </c>
      <c r="N816" s="21" t="n">
        <v>45425</v>
      </c>
      <c r="O816" s="22" t="inlineStr">
        <is>
          <t>, 2/15/2024, 54.08, 2/26/2024, 9.86, 5/13/2024, 94.2, 6/5/2024, 0</t>
        </is>
      </c>
      <c r="P816" s="24" t="n"/>
    </row>
    <row r="817" ht="40.5" customHeight="1">
      <c r="A817" s="14" t="n">
        <v>1222</v>
      </c>
      <c r="B817" s="15" t="inlineStr">
        <is>
          <t>N38-NA</t>
        </is>
      </c>
      <c r="C817" s="15" t="inlineStr">
        <is>
          <t>ATP</t>
        </is>
      </c>
      <c r="D817" s="15" t="inlineStr">
        <is>
          <t>Tubing, Inside Dia. .275 In, Outside Dia. 3/8 In, Material of Construction Nylon, Wall Thickness .050 In, Temp. Range -60 to 200 F, Max. Pressure 250 PSI, Burst Pressure 750 PSI, Length 100 Ft., Color Natural</t>
        </is>
      </c>
      <c r="E817" s="15" t="n">
        <v>1</v>
      </c>
      <c r="F817" s="17" t="inlineStr">
        <is>
          <t>each</t>
        </is>
      </c>
      <c r="G817" s="15" t="inlineStr">
        <is>
          <t>Grainger</t>
        </is>
      </c>
      <c r="H817" s="15" t="inlineStr">
        <is>
          <t>4HM10</t>
        </is>
      </c>
      <c r="I817" s="15" t="inlineStr">
        <is>
          <t>NO</t>
        </is>
      </c>
      <c r="J817" s="18" t="n">
        <v>10.05</v>
      </c>
      <c r="K817" s="21" t="n">
        <v>45425</v>
      </c>
      <c r="L817" s="19" t="n">
        <v>-0.856898761213157</v>
      </c>
      <c r="M817" s="20" t="n">
        <v>134.63</v>
      </c>
      <c r="N817" s="21" t="n">
        <v>45348</v>
      </c>
      <c r="O817" s="22" t="inlineStr">
        <is>
          <t>, 2/15/2024, 70.23, 2/26/2024, 134.63</t>
        </is>
      </c>
      <c r="P817" s="24" t="n"/>
    </row>
    <row r="818" ht="33" customHeight="1">
      <c r="A818" s="53" t="n">
        <v>88</v>
      </c>
      <c r="B818" s="54" t="inlineStr">
        <is>
          <t>S3E1I6CKK5LS</t>
        </is>
      </c>
      <c r="C818" s="54" t="inlineStr">
        <is>
          <t>Intralox</t>
        </is>
      </c>
      <c r="D818" s="54" t="inlineStr">
        <is>
          <t>SERIES 1100 4.6" (24T) EZ TRACKING / EZ CLEAN GREY ACETAL SPROCKET WITH 1-1/4" ROUND BORE***
DDFDFSdf
DFDFD</t>
        </is>
      </c>
      <c r="E818" s="15" t="n">
        <v>0</v>
      </c>
      <c r="F818" s="17" t="inlineStr">
        <is>
          <t>each</t>
        </is>
      </c>
      <c r="G818" s="54" t="inlineStr">
        <is>
          <t>Other</t>
        </is>
      </c>
      <c r="H818" s="54" t="inlineStr">
        <is>
          <t>S3E1I6CKK5LS</t>
        </is>
      </c>
      <c r="I818" s="15" t="inlineStr">
        <is>
          <t>NO</t>
        </is>
      </c>
      <c r="J818" s="56" t="n">
        <v>25.25</v>
      </c>
      <c r="K818" s="57" t="n">
        <v>45448</v>
      </c>
      <c r="L818" s="19" t="n">
        <v>0</v>
      </c>
      <c r="M818" s="31" t="n">
        <v>25.25</v>
      </c>
      <c r="N818" s="21" t="n">
        <v>45448</v>
      </c>
      <c r="O818" s="22" t="inlineStr">
        <is>
          <t>, 6/5/2024, 25.25</t>
        </is>
      </c>
      <c r="P818" s="24" t="n"/>
    </row>
    <row r="819" ht="33" customHeight="1">
      <c r="A819" s="53" t="n">
        <v>32</v>
      </c>
      <c r="B819" s="54" t="inlineStr">
        <is>
          <t>S3E1I6CKK5LS</t>
        </is>
      </c>
      <c r="C819" s="54" t="inlineStr">
        <is>
          <t>Intralox</t>
        </is>
      </c>
      <c r="D819" s="54" t="inlineStr">
        <is>
          <t>SERIES 1100 4.6" (24T) EZ TRACKING / EZ CLEAN GREY ACETAL SPROCKET WITH 1-1/4" ROUND BORE
-------------------
Lagacy Part! Replacement Part: DD32</t>
        </is>
      </c>
      <c r="E819" s="15" t="n">
        <v>1</v>
      </c>
      <c r="F819" s="17" t="inlineStr">
        <is>
          <t>each</t>
        </is>
      </c>
      <c r="G819" s="54" t="inlineStr">
        <is>
          <t>Other</t>
        </is>
      </c>
      <c r="H819" s="54" t="inlineStr">
        <is>
          <t>S3E1I6CKK5LS</t>
        </is>
      </c>
      <c r="I819" s="15" t="inlineStr">
        <is>
          <t>DD32</t>
        </is>
      </c>
      <c r="J819" s="56" t="n">
        <v>25.25</v>
      </c>
      <c r="K819" s="57" t="n">
        <v>45447</v>
      </c>
      <c r="L819" s="19" t="n">
        <v>0</v>
      </c>
      <c r="M819" s="20" t="n"/>
      <c r="N819" s="21" t="n"/>
      <c r="O819" s="22" t="inlineStr">
        <is>
          <t>, 6/4/2024, 25.25</t>
        </is>
      </c>
      <c r="P819" s="24" t="n"/>
    </row>
    <row r="820" ht="33" customHeight="1">
      <c r="A820" s="53" t="n">
        <v>221</v>
      </c>
      <c r="B820" s="54" t="inlineStr">
        <is>
          <t>S3E1I6CKK5LS</t>
        </is>
      </c>
      <c r="C820" s="54" t="inlineStr">
        <is>
          <t>Intralox</t>
        </is>
      </c>
      <c r="D820" s="54" t="inlineStr">
        <is>
          <t>SERIES 1100 4.6" (24T) EZ TRACKING / EZ CLEAN GREY ACETAL SPROCKET WITH 1-1/4" ROUND BORE
-------------------
Lagacy Part! Replacement Part: DDDSDFD</t>
        </is>
      </c>
      <c r="E820" s="15" t="n">
        <v>1</v>
      </c>
      <c r="F820" s="17" t="inlineStr">
        <is>
          <t>each</t>
        </is>
      </c>
      <c r="G820" s="54" t="inlineStr">
        <is>
          <t>Other</t>
        </is>
      </c>
      <c r="H820" s="54" t="inlineStr">
        <is>
          <t>S3E1I6CKK5LS</t>
        </is>
      </c>
      <c r="I820" s="15" t="inlineStr">
        <is>
          <t>DDDSDFD</t>
        </is>
      </c>
      <c r="J820" s="56" t="n">
        <v>25.25</v>
      </c>
      <c r="K820" s="57" t="n">
        <v>45448</v>
      </c>
      <c r="L820" s="19" t="n">
        <v>0</v>
      </c>
      <c r="M820" s="20" t="n"/>
      <c r="N820" s="21" t="n"/>
      <c r="O820" s="22" t="inlineStr">
        <is>
          <t>, 6/4/2024, 25.25</t>
        </is>
      </c>
      <c r="P820" s="24" t="n"/>
    </row>
    <row r="821" ht="33" customHeight="1">
      <c r="A821" s="53" t="n">
        <v>23</v>
      </c>
      <c r="B821" s="54" t="inlineStr">
        <is>
          <t>S3E1I6CKK5LS</t>
        </is>
      </c>
      <c r="C821" s="54" t="inlineStr">
        <is>
          <t>Intralox</t>
        </is>
      </c>
      <c r="D821" s="54" t="inlineStr">
        <is>
          <t>SERIES 1100 4.6" (24T) EZ TRACKING / EZ CLEAN GREY ACETAL SPROCKET WITH 1-1/4" ROUND BORE
-------------------
Lagacy Part! Replacement Part: ACI32</t>
        </is>
      </c>
      <c r="E821" s="15" t="n">
        <v>1</v>
      </c>
      <c r="F821" s="17" t="inlineStr">
        <is>
          <t>each</t>
        </is>
      </c>
      <c r="G821" s="54" t="inlineStr">
        <is>
          <t>Other</t>
        </is>
      </c>
      <c r="H821" s="54" t="inlineStr">
        <is>
          <t>S3E1I6CKK5LS</t>
        </is>
      </c>
      <c r="I821" s="15" t="inlineStr">
        <is>
          <t>ACI32</t>
        </is>
      </c>
      <c r="J821" s="56" t="inlineStr">
        <is>
          <t>Legacy</t>
        </is>
      </c>
      <c r="K821" s="57" t="n">
        <v>45447</v>
      </c>
      <c r="L821" s="19" t="n"/>
      <c r="M821" s="20" t="n"/>
      <c r="N821" s="21" t="n"/>
      <c r="O821" s="22" t="n"/>
      <c r="P821" s="24" t="n"/>
    </row>
    <row r="822" ht="33" customHeight="1">
      <c r="A822" s="53" t="n">
        <v>777</v>
      </c>
      <c r="B822" s="54" t="inlineStr">
        <is>
          <t>ACI2222</t>
        </is>
      </c>
      <c r="C822" s="54" t="inlineStr">
        <is>
          <t>ACI</t>
        </is>
      </c>
      <c r="D822" s="54" t="inlineStr">
        <is>
          <t>EXAPMPLE PART TEST PART
-------------------
Lagacy Part! Replacement Part: ACI777</t>
        </is>
      </c>
      <c r="E822" s="15" t="n">
        <v>2</v>
      </c>
      <c r="F822" s="17" t="inlineStr">
        <is>
          <t>pack</t>
        </is>
      </c>
      <c r="G822" s="54" t="inlineStr">
        <is>
          <t>Other</t>
        </is>
      </c>
      <c r="H822" s="54" t="n">
        <v>2222</v>
      </c>
      <c r="I822" s="15" t="inlineStr">
        <is>
          <t>ACI777</t>
        </is>
      </c>
      <c r="J822" s="56" t="inlineStr">
        <is>
          <t>Legacy</t>
        </is>
      </c>
      <c r="K822" s="57" t="n">
        <v>45448</v>
      </c>
      <c r="L822" s="19" t="n"/>
      <c r="M822" s="20" t="n"/>
      <c r="N822" s="21" t="n"/>
      <c r="O822" s="22" t="n"/>
      <c r="P822" s="24" t="n"/>
    </row>
    <row r="823" ht="40.5" customHeight="1">
      <c r="A823" s="14" t="n">
        <v>1212</v>
      </c>
      <c r="B823" s="15" t="inlineStr">
        <is>
          <t>N38-NA</t>
        </is>
      </c>
      <c r="C823" s="15" t="inlineStr">
        <is>
          <t>ATP</t>
        </is>
      </c>
      <c r="D823" s="15" t="inlineStr">
        <is>
          <t>Tubing, Inside Dia. .275 In, Outside Dia. 3/8 In, Material of Construction Nylon, Wall Thickness .050 In, Temp. Range -60 to 200 F, Max. Pressure 250 PSI, Burst Pressure 750 PSI, Length 100 Ft., Color Natural
-------------------
Lagacy Part! Replacement Part: 1212</t>
        </is>
      </c>
      <c r="E823" s="15" t="n">
        <v>1</v>
      </c>
      <c r="F823" s="17" t="inlineStr">
        <is>
          <t>each</t>
        </is>
      </c>
      <c r="G823" s="15" t="n">
        <v>123333</v>
      </c>
      <c r="H823" s="15" t="inlineStr">
        <is>
          <t>4HM10</t>
        </is>
      </c>
      <c r="I823" s="15" t="n">
        <v>1212</v>
      </c>
      <c r="J823" s="18" t="inlineStr">
        <is>
          <t>Legacy</t>
        </is>
      </c>
      <c r="K823" s="21" t="n">
        <v>45425</v>
      </c>
      <c r="L823" s="19" t="n">
        <v>-0.856898761213157</v>
      </c>
      <c r="M823" s="20" t="n">
        <v>134.63</v>
      </c>
      <c r="N823" s="21" t="n">
        <v>45348</v>
      </c>
      <c r="O823" s="22" t="inlineStr">
        <is>
          <t>, 2/15/2024, 70.23, 2/26/2024, 134.63</t>
        </is>
      </c>
      <c r="P823" s="24" t="n"/>
    </row>
    <row r="824" ht="33" customHeight="1">
      <c r="A824" s="53" t="n">
        <v>15231</v>
      </c>
      <c r="B824" s="54" t="inlineStr">
        <is>
          <t>CONFIG REQ'D</t>
        </is>
      </c>
      <c r="C824" s="54" t="inlineStr">
        <is>
          <t>Festo</t>
        </is>
      </c>
      <c r="D824" s="54" t="inlineStr">
        <is>
          <t>Linear actuator DGO, BORE 1-1/4", STROKE XX.X, ADJUSTABLE PNEUMATIC COUSHINS</t>
        </is>
      </c>
      <c r="E824" s="15" t="n">
        <v>1</v>
      </c>
      <c r="F824" s="17" t="inlineStr">
        <is>
          <t>each</t>
        </is>
      </c>
      <c r="G824" s="54" t="inlineStr">
        <is>
          <t>Festo</t>
        </is>
      </c>
      <c r="H824" s="54" t="n">
        <v>15231</v>
      </c>
      <c r="I824" s="15" t="inlineStr">
        <is>
          <t>NO</t>
        </is>
      </c>
      <c r="J824" s="56" t="inlineStr">
        <is>
          <t>GET QUOTE</t>
        </is>
      </c>
      <c r="K824" s="57" t="n">
        <v>45449</v>
      </c>
      <c r="L824" s="19" t="n"/>
      <c r="M824" s="20" t="n"/>
      <c r="N824" s="21" t="n"/>
      <c r="O824" s="22" t="n"/>
      <c r="P824" s="24" t="n"/>
    </row>
    <row r="825" ht="33" customHeight="1">
      <c r="A825" s="53" t="n">
        <v>162687</v>
      </c>
      <c r="B825" s="54" t="inlineStr">
        <is>
          <t>LFR-1/4-D-O-MINI</t>
        </is>
      </c>
      <c r="C825" s="54" t="inlineStr">
        <is>
          <t>Festo</t>
        </is>
      </c>
      <c r="D825" s="54" t="inlineStr">
        <is>
          <t>Filter regulator LFR-1/4-D-O-MINI</t>
        </is>
      </c>
      <c r="E825" s="15" t="n">
        <v>1</v>
      </c>
      <c r="F825" s="17" t="inlineStr">
        <is>
          <t>each</t>
        </is>
      </c>
      <c r="G825" s="54" t="inlineStr">
        <is>
          <t>Festo</t>
        </is>
      </c>
      <c r="H825" s="54" t="n">
        <v>162687</v>
      </c>
      <c r="I825" s="15" t="inlineStr">
        <is>
          <t>NO</t>
        </is>
      </c>
      <c r="J825" s="56" t="n">
        <v>75.92</v>
      </c>
      <c r="K825" s="57" t="n">
        <v>45456</v>
      </c>
      <c r="L825" s="19" t="n">
        <v>0</v>
      </c>
      <c r="M825" s="31" t="n">
        <v>75.92</v>
      </c>
      <c r="N825" s="21" t="n">
        <v>45449</v>
      </c>
      <c r="O825" s="22" t="inlineStr">
        <is>
          <t>, 6/6/2024, 75.92</t>
        </is>
      </c>
      <c r="P825" s="24" t="n"/>
    </row>
    <row r="826" ht="33" customHeight="1">
      <c r="A826" s="53" t="n">
        <v>172956</v>
      </c>
      <c r="B826" s="54" t="inlineStr">
        <is>
          <t>HEE-D-MINI-24</t>
        </is>
      </c>
      <c r="C826" s="54" t="inlineStr">
        <is>
          <t>Festo</t>
        </is>
      </c>
      <c r="D826" s="54" t="inlineStr">
        <is>
          <t>Shut off valve, 24VDC, HEE-D-MINI-24</t>
        </is>
      </c>
      <c r="E826" s="15" t="n">
        <v>1</v>
      </c>
      <c r="F826" s="17" t="inlineStr">
        <is>
          <t>each</t>
        </is>
      </c>
      <c r="G826" s="54" t="inlineStr">
        <is>
          <t>Festo</t>
        </is>
      </c>
      <c r="H826" s="54" t="n">
        <v>172956</v>
      </c>
      <c r="I826" s="15" t="inlineStr">
        <is>
          <t>NO</t>
        </is>
      </c>
      <c r="J826" s="56" t="n">
        <v>116.88</v>
      </c>
      <c r="K826" s="57" t="n">
        <v>45449</v>
      </c>
      <c r="L826" s="19" t="n"/>
      <c r="M826" s="20" t="n"/>
      <c r="N826" s="21" t="n"/>
      <c r="O826" s="22" t="n"/>
      <c r="P826" s="24" t="n"/>
    </row>
    <row r="827" ht="33" customHeight="1">
      <c r="A827" s="53" t="n">
        <v>533235</v>
      </c>
      <c r="B827" s="54" t="inlineStr">
        <is>
          <t>QBL-1/8-1/4-U-M</t>
        </is>
      </c>
      <c r="C827" s="54" t="inlineStr">
        <is>
          <t>Festo</t>
        </is>
      </c>
      <c r="D827" s="54" t="inlineStr">
        <is>
          <t>Push-in L-fitting (Pack size: 10)QBL-1/8-1/4-U-M</t>
        </is>
      </c>
      <c r="E827" s="15" t="n">
        <v>10</v>
      </c>
      <c r="F827" s="17" t="inlineStr">
        <is>
          <t>pcs</t>
        </is>
      </c>
      <c r="G827" s="54" t="inlineStr">
        <is>
          <t>Festo</t>
        </is>
      </c>
      <c r="H827" s="54" t="n">
        <v>533235</v>
      </c>
      <c r="I827" s="15" t="inlineStr">
        <is>
          <t>NO</t>
        </is>
      </c>
      <c r="J827" s="56" t="n">
        <v>31.7</v>
      </c>
      <c r="K827" s="57" t="n">
        <v>45449</v>
      </c>
      <c r="L827" s="19" t="n"/>
      <c r="M827" s="20" t="n"/>
      <c r="N827" s="21" t="n"/>
      <c r="O827" s="22" t="n"/>
      <c r="P827" s="24" t="n"/>
    </row>
    <row r="828" ht="33" customHeight="1">
      <c r="A828" s="53" t="n">
        <v>575537</v>
      </c>
      <c r="B828" s="54" t="inlineStr">
        <is>
          <t>VUVS-L25-P53E-MD-G14-F8</t>
        </is>
      </c>
      <c r="C828" s="54" t="inlineStr">
        <is>
          <t>Festo</t>
        </is>
      </c>
      <c r="D828" s="54" t="inlineStr">
        <is>
          <t>Air solenoid valve, Size 25, G1/4 Ports, 5-Port, 3-Position, Center Position Exhaust, Internal Air Pilot, Dual-Solenoid (Solenoids NOT Included)</t>
        </is>
      </c>
      <c r="E828" s="15" t="n">
        <v>1</v>
      </c>
      <c r="F828" s="17" t="inlineStr">
        <is>
          <t>each</t>
        </is>
      </c>
      <c r="G828" s="54" t="inlineStr">
        <is>
          <t>Festo</t>
        </is>
      </c>
      <c r="H828" s="54" t="n">
        <v>575537</v>
      </c>
      <c r="I828" s="15" t="inlineStr">
        <is>
          <t>NO</t>
        </is>
      </c>
      <c r="J828" s="56" t="n">
        <v>78.09</v>
      </c>
      <c r="K828" s="57" t="n">
        <v>45449</v>
      </c>
      <c r="L828" s="19" t="n"/>
      <c r="M828" s="20" t="n"/>
      <c r="N828" s="21" t="n"/>
      <c r="O828" s="22" t="n"/>
      <c r="P828" s="24" t="n"/>
    </row>
    <row r="829" ht="33" customHeight="1">
      <c r="A829" s="53" t="n">
        <v>533238</v>
      </c>
      <c r="B829" s="54" t="inlineStr">
        <is>
          <t>QBL-1/4-1/4-U-M</t>
        </is>
      </c>
      <c r="C829" s="54" t="inlineStr">
        <is>
          <t>Festo</t>
        </is>
      </c>
      <c r="D829" s="54" t="inlineStr">
        <is>
          <t>Push-in L-fitting (Pack size: 10)QBL-1/4-1/4-U-M</t>
        </is>
      </c>
      <c r="E829" s="15" t="n">
        <v>10</v>
      </c>
      <c r="F829" s="17" t="inlineStr">
        <is>
          <t>pcs</t>
        </is>
      </c>
      <c r="G829" s="54" t="inlineStr">
        <is>
          <t>Festo</t>
        </is>
      </c>
      <c r="H829" s="54" t="n">
        <v>533238</v>
      </c>
      <c r="I829" s="15" t="inlineStr">
        <is>
          <t>NO</t>
        </is>
      </c>
      <c r="J829" s="56" t="n">
        <v>35.1</v>
      </c>
      <c r="K829" s="57" t="n">
        <v>45449</v>
      </c>
      <c r="L829" s="19" t="n"/>
      <c r="M829" s="20" t="n"/>
      <c r="N829" s="21" t="n"/>
      <c r="O829" s="22" t="n"/>
      <c r="P829" s="24" t="n"/>
    </row>
    <row r="830" ht="33" customHeight="1">
      <c r="A830" s="53" t="inlineStr">
        <is>
          <t>S6G9XXCKH5NN</t>
        </is>
      </c>
      <c r="B830" s="54" t="inlineStr">
        <is>
          <t>S6G9XXCKH5NN</t>
        </is>
      </c>
      <c r="C830" s="54" t="inlineStr">
        <is>
          <t>Intralox</t>
        </is>
      </c>
      <c r="D830" s="54" t="inlineStr">
        <is>
          <t>SERIES 1000 4.6" (24T) GREY GLASS FILLED NYLON SPLIT SPROCKET WITH 1" ROUND BORE</t>
        </is>
      </c>
      <c r="E830" s="15" t="n">
        <v>1</v>
      </c>
      <c r="F830" s="17" t="inlineStr">
        <is>
          <t>each</t>
        </is>
      </c>
      <c r="G830" s="54" t="inlineStr">
        <is>
          <t>Other</t>
        </is>
      </c>
      <c r="H830" s="54" t="inlineStr">
        <is>
          <t>S6G9XXCKH5NN</t>
        </is>
      </c>
      <c r="I830" s="15" t="inlineStr">
        <is>
          <t>NO</t>
        </is>
      </c>
      <c r="J830" s="56" t="n">
        <v>44.86</v>
      </c>
      <c r="K830" s="57" t="n">
        <v>45455</v>
      </c>
      <c r="L830" s="19" t="n"/>
      <c r="M830" s="20" t="n"/>
      <c r="N830" s="21" t="n"/>
      <c r="O830" s="22" t="n"/>
      <c r="P830" s="24" t="n"/>
    </row>
    <row r="831" ht="33" customHeight="1">
      <c r="A831" s="53" t="inlineStr">
        <is>
          <t>S6G9XXCVH5NN</t>
        </is>
      </c>
      <c r="B831" s="54" t="inlineStr">
        <is>
          <t>S6G9XXCVH5NN</t>
        </is>
      </c>
      <c r="C831" s="54" t="inlineStr">
        <is>
          <t>Intralox</t>
        </is>
      </c>
      <c r="D831" s="54" t="inlineStr">
        <is>
          <t>SERIES 1000 6.1" (32T) GREY GLASS FILLED NYLON SPLIT SPROCKET WITH 1" ROUND BORE</t>
        </is>
      </c>
      <c r="E831" s="15" t="n">
        <v>1</v>
      </c>
      <c r="F831" s="17" t="inlineStr">
        <is>
          <t>each</t>
        </is>
      </c>
      <c r="G831" s="54" t="inlineStr">
        <is>
          <t>Other</t>
        </is>
      </c>
      <c r="H831" s="54" t="inlineStr">
        <is>
          <t>S6G9XXCVH5NN</t>
        </is>
      </c>
      <c r="I831" s="15" t="inlineStr">
        <is>
          <t>NO</t>
        </is>
      </c>
      <c r="J831" s="56" t="n">
        <v>64.87</v>
      </c>
      <c r="K831" s="57" t="n">
        <v>45455</v>
      </c>
      <c r="L831" s="19" t="n"/>
      <c r="M831" s="20" t="n"/>
      <c r="N831" s="21" t="n"/>
      <c r="O831" s="22" t="n"/>
      <c r="P831" s="24" t="n"/>
    </row>
    <row r="832" ht="33" customHeight="1">
      <c r="A832" s="53" t="inlineStr">
        <is>
          <t>VG-JL137-125-100</t>
        </is>
      </c>
      <c r="B832" s="54" t="inlineStr">
        <is>
          <t>VG-JL137-125-100</t>
        </is>
      </c>
      <c r="C832" s="54" t="inlineStr">
        <is>
          <t>Emerson</t>
        </is>
      </c>
      <c r="D832" s="54" t="inlineStr">
        <is>
          <t>J-Leg w/ Lip, 1.37" X 1/8"</t>
        </is>
      </c>
      <c r="E832" s="15" t="n">
        <v>100</v>
      </c>
      <c r="F832" s="17" t="inlineStr">
        <is>
          <t>ft</t>
        </is>
      </c>
      <c r="G832" s="54" t="inlineStr">
        <is>
          <t>Other</t>
        </is>
      </c>
      <c r="H832" s="54" t="inlineStr">
        <is>
          <t>VG-JL137-125-100</t>
        </is>
      </c>
      <c r="I832" s="15" t="inlineStr">
        <is>
          <t>NO</t>
        </is>
      </c>
      <c r="J832" s="56" t="n">
        <v>346</v>
      </c>
      <c r="K832" s="57" t="n">
        <v>45455</v>
      </c>
      <c r="L832" s="19" t="n"/>
      <c r="M832" s="20" t="n"/>
      <c r="N832" s="21" t="n"/>
      <c r="O832" s="22" t="n"/>
      <c r="P832" s="24" t="n"/>
    </row>
    <row r="833" ht="33" customHeight="1">
      <c r="A833" s="53" t="n">
        <v>10773</v>
      </c>
      <c r="B833" s="54" t="inlineStr">
        <is>
          <t>PEV-1/4-B</t>
        </is>
      </c>
      <c r="C833" s="54" t="inlineStr">
        <is>
          <t>Festo</t>
        </is>
      </c>
      <c r="D833" s="54" t="inlineStr">
        <is>
          <t>Pressure switch</t>
        </is>
      </c>
      <c r="E833" s="15" t="n">
        <v>1</v>
      </c>
      <c r="F833" s="17" t="inlineStr">
        <is>
          <t>each</t>
        </is>
      </c>
      <c r="G833" s="54" t="inlineStr">
        <is>
          <t>Festo</t>
        </is>
      </c>
      <c r="H833" s="54" t="inlineStr">
        <is>
          <t>PEV-1/4-B</t>
        </is>
      </c>
      <c r="I833" s="15" t="inlineStr">
        <is>
          <t>NO</t>
        </is>
      </c>
      <c r="J833" s="56" t="n">
        <v>196.79</v>
      </c>
      <c r="K833" s="57" t="n">
        <v>45455</v>
      </c>
      <c r="L833" s="19" t="n"/>
      <c r="M833" s="20" t="n"/>
      <c r="N833" s="21" t="n"/>
      <c r="O833" s="22" t="n"/>
      <c r="P833" s="24" t="n"/>
    </row>
    <row r="834" ht="33" customHeight="1">
      <c r="A834" s="53" t="n">
        <v>164274</v>
      </c>
      <c r="B834" s="54" t="inlineStr">
        <is>
          <t>PEV-1/4-WD-LED-24</t>
        </is>
      </c>
      <c r="C834" s="54" t="inlineStr">
        <is>
          <t>Festo</t>
        </is>
      </c>
      <c r="D834" s="54" t="inlineStr">
        <is>
          <t>Angled plug socket for PEV pressure switch</t>
        </is>
      </c>
      <c r="E834" s="15" t="n">
        <v>1</v>
      </c>
      <c r="F834" s="17" t="inlineStr">
        <is>
          <t>each</t>
        </is>
      </c>
      <c r="G834" s="54" t="inlineStr">
        <is>
          <t>Festo</t>
        </is>
      </c>
      <c r="H834" s="81" t="n">
        <v>164274</v>
      </c>
      <c r="I834" s="15" t="inlineStr">
        <is>
          <t>NO</t>
        </is>
      </c>
      <c r="J834" s="56" t="n">
        <v>30.98</v>
      </c>
      <c r="K834" s="57" t="n">
        <v>45456</v>
      </c>
      <c r="L834" s="19" t="n">
        <v>0</v>
      </c>
      <c r="M834" s="31" t="n">
        <v>30.98</v>
      </c>
      <c r="N834" s="21" t="n">
        <v>45377</v>
      </c>
      <c r="O834" s="22" t="inlineStr">
        <is>
          <t>, 3/26/2024, 30.98</t>
        </is>
      </c>
      <c r="P834" s="24" t="n"/>
    </row>
    <row r="835" ht="33" customHeight="1">
      <c r="A835" s="43" t="n">
        <v>1845722</v>
      </c>
      <c r="B835" s="54" t="inlineStr">
        <is>
          <t>DRVS-40-90-P</t>
        </is>
      </c>
      <c r="C835" s="54" t="inlineStr">
        <is>
          <t>Festo</t>
        </is>
      </c>
      <c r="D835" s="54" t="inlineStr">
        <is>
          <t>Rotary actuator</t>
        </is>
      </c>
      <c r="E835" s="15" t="n">
        <v>1</v>
      </c>
      <c r="F835" s="17" t="inlineStr">
        <is>
          <t>each</t>
        </is>
      </c>
      <c r="G835" s="54" t="inlineStr">
        <is>
          <t>Festo</t>
        </is>
      </c>
      <c r="H835" s="54" t="inlineStr">
        <is>
          <t>DRVS-40-90-P</t>
        </is>
      </c>
      <c r="I835" s="15" t="inlineStr">
        <is>
          <t>NO</t>
        </is>
      </c>
      <c r="J835" s="56" t="n">
        <v>371.49</v>
      </c>
      <c r="K835" s="57" t="n">
        <v>45455</v>
      </c>
      <c r="L835" s="19" t="n"/>
      <c r="M835" s="20" t="n"/>
      <c r="N835" s="21" t="n"/>
      <c r="O835" s="22" t="n"/>
      <c r="P835" s="24" t="n"/>
    </row>
    <row r="836" ht="33" customHeight="1">
      <c r="A836" s="53" t="n">
        <v>2536506</v>
      </c>
      <c r="B836" s="54" t="inlineStr">
        <is>
          <t>DADP-ES-Q12-40</t>
        </is>
      </c>
      <c r="C836" s="54" t="inlineStr">
        <is>
          <t>Festo</t>
        </is>
      </c>
      <c r="D836" s="54" t="inlineStr">
        <is>
          <t>End stop kit</t>
        </is>
      </c>
      <c r="E836" s="15" t="n">
        <v>1</v>
      </c>
      <c r="F836" s="17" t="inlineStr">
        <is>
          <t>each</t>
        </is>
      </c>
      <c r="G836" s="54" t="inlineStr">
        <is>
          <t>Festo</t>
        </is>
      </c>
      <c r="H836" s="54" t="inlineStr">
        <is>
          <t>DADP-ES-Q12-40</t>
        </is>
      </c>
      <c r="I836" s="15" t="inlineStr">
        <is>
          <t>NO</t>
        </is>
      </c>
      <c r="J836" s="56" t="n">
        <v>207.75</v>
      </c>
      <c r="K836" s="57" t="n">
        <v>45455</v>
      </c>
      <c r="L836" s="19" t="n"/>
      <c r="M836" s="20" t="n"/>
      <c r="N836" s="21" t="n"/>
      <c r="O836" s="22" t="n"/>
      <c r="P836" s="24" t="n"/>
    </row>
    <row r="837" ht="33" customHeight="1">
      <c r="A837" s="53" t="n">
        <v>3569</v>
      </c>
      <c r="B837" s="44" t="inlineStr">
        <is>
          <t>B-1/4</t>
        </is>
      </c>
      <c r="C837" s="54" t="inlineStr">
        <is>
          <t>Festo</t>
        </is>
      </c>
      <c r="D837" s="54" t="inlineStr">
        <is>
          <t>Blanking Plug, R1/4</t>
        </is>
      </c>
      <c r="E837" s="15" t="n">
        <v>1</v>
      </c>
      <c r="F837" s="17" t="inlineStr">
        <is>
          <t>each</t>
        </is>
      </c>
      <c r="G837" s="54" t="inlineStr">
        <is>
          <t>Festo</t>
        </is>
      </c>
      <c r="H837" s="54" t="inlineStr">
        <is>
          <t>B-1/4</t>
        </is>
      </c>
      <c r="I837" s="15" t="inlineStr">
        <is>
          <t>NO</t>
        </is>
      </c>
      <c r="J837" s="56" t="n">
        <v>13.9</v>
      </c>
      <c r="K837" s="57" t="n">
        <v>45455</v>
      </c>
      <c r="L837" s="19" t="n"/>
      <c r="M837" s="20" t="n"/>
      <c r="N837" s="21" t="n"/>
      <c r="O837" s="22" t="n"/>
      <c r="P837" s="24" t="n"/>
    </row>
    <row r="838" ht="33" customHeight="1">
      <c r="A838" s="53" t="n">
        <v>4886225</v>
      </c>
      <c r="B838" s="54" t="inlineStr">
        <is>
          <t>DARF-Q12-40</t>
        </is>
      </c>
      <c r="C838" s="54" t="inlineStr">
        <is>
          <t>Festo</t>
        </is>
      </c>
      <c r="D838" s="54" t="inlineStr">
        <is>
          <t>Push-on flange</t>
        </is>
      </c>
      <c r="E838" s="15" t="n">
        <v>1</v>
      </c>
      <c r="F838" s="17" t="inlineStr">
        <is>
          <t>each</t>
        </is>
      </c>
      <c r="G838" s="54" t="inlineStr">
        <is>
          <t>Festo</t>
        </is>
      </c>
      <c r="H838" s="54" t="inlineStr">
        <is>
          <t>DARF-Q12-40</t>
        </is>
      </c>
      <c r="I838" s="15" t="inlineStr">
        <is>
          <t>NO</t>
        </is>
      </c>
      <c r="J838" s="56" t="n">
        <v>66.09999999999999</v>
      </c>
      <c r="K838" s="57" t="n">
        <v>45455</v>
      </c>
      <c r="L838" s="19" t="n"/>
      <c r="M838" s="20" t="n"/>
      <c r="N838" s="21" t="n"/>
      <c r="O838" s="22" t="n"/>
      <c r="P838" s="24" t="n"/>
    </row>
    <row r="839" ht="33" customHeight="1">
      <c r="A839" s="53" t="n">
        <v>533222</v>
      </c>
      <c r="B839" s="54" t="inlineStr">
        <is>
          <t>QB-3/8-1/4-U-M</t>
        </is>
      </c>
      <c r="C839" s="54" t="inlineStr">
        <is>
          <t>Festo</t>
        </is>
      </c>
      <c r="D839" s="54" t="inlineStr">
        <is>
          <t>Push-in fitting</t>
        </is>
      </c>
      <c r="E839" s="15" t="n">
        <v>10</v>
      </c>
      <c r="F839" s="17" t="inlineStr">
        <is>
          <t>pcs</t>
        </is>
      </c>
      <c r="G839" s="54" t="inlineStr">
        <is>
          <t>Festo</t>
        </is>
      </c>
      <c r="H839" s="54" t="inlineStr">
        <is>
          <t>QB-3/8-1/4-U-M</t>
        </is>
      </c>
      <c r="I839" s="15" t="inlineStr">
        <is>
          <t>NO</t>
        </is>
      </c>
      <c r="J839" s="56" t="n">
        <v>26.3</v>
      </c>
      <c r="K839" s="57" t="n">
        <v>45455</v>
      </c>
      <c r="L839" s="19" t="n"/>
      <c r="M839" s="20" t="n"/>
      <c r="N839" s="21" t="n"/>
      <c r="O839" s="22" t="n"/>
      <c r="P839" s="24" t="n"/>
    </row>
    <row r="840" ht="33" customHeight="1">
      <c r="A840" s="53" t="n">
        <v>550661</v>
      </c>
      <c r="B840" s="54" t="inlineStr">
        <is>
          <t>SL-DSM-B</t>
        </is>
      </c>
      <c r="C840" s="54" t="inlineStr">
        <is>
          <t>Festo</t>
        </is>
      </c>
      <c r="D840" s="54" t="inlineStr">
        <is>
          <t>Sensor bracket</t>
        </is>
      </c>
      <c r="E840" s="15" t="n">
        <v>1</v>
      </c>
      <c r="F840" s="17" t="inlineStr">
        <is>
          <t>each</t>
        </is>
      </c>
      <c r="G840" s="54" t="inlineStr">
        <is>
          <t>Festo</t>
        </is>
      </c>
      <c r="H840" s="54" t="inlineStr">
        <is>
          <t>SL-DSM-B</t>
        </is>
      </c>
      <c r="I840" s="15" t="inlineStr">
        <is>
          <t>NO</t>
        </is>
      </c>
      <c r="J840" s="56" t="n">
        <v>14.93</v>
      </c>
      <c r="K840" s="57" t="n">
        <v>45455</v>
      </c>
      <c r="L840" s="19" t="n"/>
      <c r="M840" s="20" t="n"/>
      <c r="N840" s="21" t="n"/>
      <c r="O840" s="22" t="n"/>
      <c r="P840" s="24" t="n"/>
    </row>
    <row r="841" ht="33" customHeight="1">
      <c r="A841" s="43" t="n">
        <v>551375</v>
      </c>
      <c r="B841" s="54" t="inlineStr">
        <is>
          <t>SMT-10M-PS-24V-E-0,3-L-M8D</t>
        </is>
      </c>
      <c r="C841" s="54" t="inlineStr">
        <is>
          <t>Festo</t>
        </is>
      </c>
      <c r="D841" s="54" t="inlineStr">
        <is>
          <t>Proximity Sensor</t>
        </is>
      </c>
      <c r="E841" s="15" t="n">
        <v>1</v>
      </c>
      <c r="F841" s="17" t="inlineStr">
        <is>
          <t>each</t>
        </is>
      </c>
      <c r="G841" s="54" t="inlineStr">
        <is>
          <t>Festo</t>
        </is>
      </c>
      <c r="H841" s="54" t="inlineStr">
        <is>
          <t>SMT-10M-PS-24V-E-0,3-L-M8D</t>
        </is>
      </c>
      <c r="I841" s="15" t="inlineStr">
        <is>
          <t>NO</t>
        </is>
      </c>
      <c r="J841" s="56" t="n">
        <v>65.77</v>
      </c>
      <c r="K841" s="57" t="n">
        <v>45455</v>
      </c>
      <c r="L841" s="19" t="n"/>
      <c r="M841" s="20" t="n"/>
      <c r="N841" s="21" t="n"/>
      <c r="O841" s="22" t="n"/>
      <c r="P841" s="24" t="n"/>
    </row>
    <row r="842" ht="33" customHeight="1">
      <c r="A842" s="43" t="n">
        <v>575679</v>
      </c>
      <c r="B842" s="54" t="inlineStr">
        <is>
          <t>VUVS-L20-M52-MZD-G18-F7</t>
        </is>
      </c>
      <c r="C842" s="54" t="inlineStr">
        <is>
          <t>Festo</t>
        </is>
      </c>
      <c r="D842" s="54" t="inlineStr">
        <is>
          <t>Air solenoid valve</t>
        </is>
      </c>
      <c r="E842" s="15" t="n">
        <v>1</v>
      </c>
      <c r="F842" s="17" t="inlineStr">
        <is>
          <t>each</t>
        </is>
      </c>
      <c r="G842" s="54" t="inlineStr">
        <is>
          <t>Festo</t>
        </is>
      </c>
      <c r="H842" s="54" t="inlineStr">
        <is>
          <t>VUVS-L20-M52-MZD-G18-F7</t>
        </is>
      </c>
      <c r="I842" s="15" t="inlineStr">
        <is>
          <t>NO</t>
        </is>
      </c>
      <c r="J842" s="56" t="n">
        <v>52.82</v>
      </c>
      <c r="K842" s="57" t="n">
        <v>45455</v>
      </c>
      <c r="L842" s="19" t="n"/>
      <c r="M842" s="20" t="n"/>
      <c r="N842" s="21" t="n"/>
      <c r="O842" s="22" t="n"/>
      <c r="P842" s="24" t="n"/>
    </row>
    <row r="843" ht="33" customHeight="1">
      <c r="A843" s="53" t="n">
        <v>576049</v>
      </c>
      <c r="B843" s="54" t="inlineStr">
        <is>
          <t>QBLL-1/8-1/4-U-M</t>
        </is>
      </c>
      <c r="C843" s="54" t="inlineStr">
        <is>
          <t>Festo</t>
        </is>
      </c>
      <c r="D843" s="54" t="inlineStr">
        <is>
          <t>Push-in L-fitting, long</t>
        </is>
      </c>
      <c r="E843" s="15" t="n">
        <v>10</v>
      </c>
      <c r="F843" s="17" t="inlineStr">
        <is>
          <t>pcs</t>
        </is>
      </c>
      <c r="G843" s="54" t="inlineStr">
        <is>
          <t>Festo</t>
        </is>
      </c>
      <c r="H843" s="54" t="inlineStr">
        <is>
          <t>QBLL-1/8-1/4-U-M</t>
        </is>
      </c>
      <c r="I843" s="15" t="inlineStr">
        <is>
          <t>NO</t>
        </is>
      </c>
      <c r="J843" s="56" t="n">
        <v>46.8</v>
      </c>
      <c r="K843" s="57" t="n">
        <v>45455</v>
      </c>
      <c r="L843" s="19" t="n"/>
      <c r="M843" s="20" t="n"/>
      <c r="N843" s="21" t="n"/>
      <c r="O843" s="22" t="n"/>
      <c r="P843" s="24" t="n"/>
    </row>
    <row r="844" ht="33" customHeight="1">
      <c r="A844" s="43" t="n">
        <v>576340</v>
      </c>
      <c r="B844" s="54" t="inlineStr">
        <is>
          <t>VABM-B10-20E-G38-3</t>
        </is>
      </c>
      <c r="C844" s="54" t="inlineStr">
        <is>
          <t>Festo</t>
        </is>
      </c>
      <c r="D844" s="54" t="inlineStr">
        <is>
          <t>Connection block</t>
        </is>
      </c>
      <c r="E844" s="15" t="n">
        <v>1</v>
      </c>
      <c r="F844" s="17" t="inlineStr">
        <is>
          <t>each</t>
        </is>
      </c>
      <c r="G844" s="54" t="inlineStr">
        <is>
          <t>Festo</t>
        </is>
      </c>
      <c r="H844" s="54" t="inlineStr">
        <is>
          <t>VABM-B10-20E-G38-3</t>
        </is>
      </c>
      <c r="I844" s="15" t="inlineStr">
        <is>
          <t>NO</t>
        </is>
      </c>
      <c r="J844" s="56" t="n">
        <v>49.19</v>
      </c>
      <c r="K844" s="57" t="n">
        <v>45455</v>
      </c>
      <c r="L844" s="19" t="n"/>
      <c r="M844" s="20" t="n"/>
      <c r="N844" s="21" t="n"/>
      <c r="O844" s="22" t="n"/>
      <c r="P844" s="24" t="n"/>
    </row>
    <row r="845" ht="33" customHeight="1">
      <c r="A845" s="43" t="n">
        <v>6843</v>
      </c>
      <c r="B845" s="54" t="inlineStr">
        <is>
          <t>U-3/8-B</t>
        </is>
      </c>
      <c r="C845" s="54" t="inlineStr">
        <is>
          <t>Festo</t>
        </is>
      </c>
      <c r="D845" s="54" t="inlineStr">
        <is>
          <t>Pneumatic muffler</t>
        </is>
      </c>
      <c r="E845" s="15" t="n">
        <v>1</v>
      </c>
      <c r="F845" s="17" t="inlineStr">
        <is>
          <t>each</t>
        </is>
      </c>
      <c r="G845" s="54" t="inlineStr">
        <is>
          <t>Festo</t>
        </is>
      </c>
      <c r="H845" s="54" t="inlineStr">
        <is>
          <t>U-3/8-B</t>
        </is>
      </c>
      <c r="I845" s="15" t="inlineStr">
        <is>
          <t>NO</t>
        </is>
      </c>
      <c r="J845" s="56" t="n">
        <v>19.88</v>
      </c>
      <c r="K845" s="57" t="n">
        <v>45455</v>
      </c>
      <c r="L845" s="19" t="n"/>
      <c r="M845" s="20" t="n"/>
      <c r="N845" s="21" t="n"/>
      <c r="O845" s="22" t="n"/>
      <c r="P845" s="24" t="n"/>
    </row>
    <row r="846" ht="33" customHeight="1">
      <c r="A846" s="53" t="n">
        <v>8106576</v>
      </c>
      <c r="B846" s="54" t="inlineStr">
        <is>
          <t>SDBF-FBS-1L-PU-K-0.5-N-M8</t>
        </is>
      </c>
      <c r="C846" s="54" t="inlineStr">
        <is>
          <t>Festo</t>
        </is>
      </c>
      <c r="D846" s="54" t="inlineStr">
        <is>
          <t>Proximity sensors</t>
        </is>
      </c>
      <c r="E846" s="15" t="n">
        <v>1</v>
      </c>
      <c r="F846" s="17" t="inlineStr">
        <is>
          <t>each</t>
        </is>
      </c>
      <c r="G846" s="54" t="inlineStr">
        <is>
          <t>Festo</t>
        </is>
      </c>
      <c r="H846" s="54" t="inlineStr">
        <is>
          <t>SDBF-FBS-1L-PU-K-0.5-N-M8</t>
        </is>
      </c>
      <c r="I846" s="15" t="inlineStr">
        <is>
          <t>NO</t>
        </is>
      </c>
      <c r="J846" s="56" t="n">
        <v>44.44</v>
      </c>
      <c r="K846" s="57" t="n">
        <v>45455</v>
      </c>
      <c r="L846" s="19" t="n"/>
      <c r="M846" s="20" t="n"/>
      <c r="N846" s="21" t="n"/>
      <c r="O846" s="22" t="n"/>
      <c r="P846" s="24" t="n"/>
    </row>
    <row r="847" ht="33" customHeight="1">
      <c r="A847" s="43" t="inlineStr">
        <is>
          <t>DPRA-N-3/4"-0.625-BNGP4-PA</t>
        </is>
      </c>
      <c r="B847" s="54" t="inlineStr">
        <is>
          <t>DPRA-N-3/4"-0.625-BNGP4-PA</t>
        </is>
      </c>
      <c r="C847" s="54" t="inlineStr">
        <is>
          <t>Festo</t>
        </is>
      </c>
      <c r="D847" s="54" t="inlineStr">
        <is>
          <t>Round cylinder</t>
        </is>
      </c>
      <c r="E847" s="15" t="n">
        <v>1</v>
      </c>
      <c r="F847" s="17" t="inlineStr">
        <is>
          <t>each</t>
        </is>
      </c>
      <c r="G847" s="54" t="inlineStr">
        <is>
          <t>Festo</t>
        </is>
      </c>
      <c r="H847" s="54" t="inlineStr">
        <is>
          <t>DPRA-N-3/4"-0.625-BNGP4-PA</t>
        </is>
      </c>
      <c r="I847" s="15" t="inlineStr">
        <is>
          <t>NO</t>
        </is>
      </c>
      <c r="J847" s="56" t="n">
        <v>60.1</v>
      </c>
      <c r="K847" s="57" t="n">
        <v>45455</v>
      </c>
      <c r="L847" s="19" t="n"/>
      <c r="M847" s="20" t="n"/>
      <c r="N847" s="21" t="n"/>
      <c r="O847" s="22" t="n"/>
      <c r="P847" s="24" t="n"/>
    </row>
    <row r="848" ht="33" customHeight="1">
      <c r="A848" s="53" t="n">
        <v>8109940</v>
      </c>
      <c r="B848" s="54" t="inlineStr">
        <is>
          <t>DARC-C6-U14</t>
        </is>
      </c>
      <c r="C848" s="54" t="inlineStr">
        <is>
          <t>Festo</t>
        </is>
      </c>
      <c r="D848" s="54" t="inlineStr">
        <is>
          <t>Rod clevis</t>
        </is>
      </c>
      <c r="E848" s="15" t="n">
        <v>1</v>
      </c>
      <c r="F848" s="17" t="inlineStr">
        <is>
          <t>each</t>
        </is>
      </c>
      <c r="G848" s="54" t="inlineStr">
        <is>
          <t>Festo</t>
        </is>
      </c>
      <c r="H848" s="54" t="inlineStr">
        <is>
          <t>DARC-C6-U14</t>
        </is>
      </c>
      <c r="I848" s="15" t="inlineStr">
        <is>
          <t>NO</t>
        </is>
      </c>
      <c r="J848" s="56" t="n">
        <v>5.86</v>
      </c>
      <c r="K848" s="57" t="n">
        <v>45455</v>
      </c>
      <c r="L848" s="19" t="n"/>
      <c r="M848" s="20" t="n"/>
      <c r="N848" s="21" t="n"/>
      <c r="O848" s="22" t="n"/>
      <c r="P848" s="24" t="n"/>
    </row>
    <row r="849" ht="33" customHeight="1">
      <c r="A849" s="53" t="n">
        <v>8109945</v>
      </c>
      <c r="B849" s="54" t="inlineStr">
        <is>
          <t>SAMH-FB-SH</t>
        </is>
      </c>
      <c r="C849" s="54" t="inlineStr">
        <is>
          <t>Festo</t>
        </is>
      </c>
      <c r="D849" s="54" t="inlineStr">
        <is>
          <t>Sensor bracket</t>
        </is>
      </c>
      <c r="E849" s="15" t="n">
        <v>1</v>
      </c>
      <c r="F849" s="17" t="inlineStr">
        <is>
          <t>each</t>
        </is>
      </c>
      <c r="G849" s="54" t="inlineStr">
        <is>
          <t>Festo</t>
        </is>
      </c>
      <c r="H849" s="54" t="inlineStr">
        <is>
          <t>SAMH-FB-SH</t>
        </is>
      </c>
      <c r="I849" s="15" t="inlineStr">
        <is>
          <t>NO</t>
        </is>
      </c>
      <c r="J849" s="56" t="n">
        <v>11.58</v>
      </c>
      <c r="K849" s="57" t="n">
        <v>45455</v>
      </c>
      <c r="L849" s="19" t="n"/>
      <c r="M849" s="20" t="n"/>
      <c r="N849" s="21" t="n"/>
      <c r="O849" s="22" t="n"/>
      <c r="P849" s="24" t="n"/>
    </row>
    <row r="850" ht="33" customHeight="1">
      <c r="A850" s="43" t="inlineStr">
        <is>
          <t>93625A400</t>
        </is>
      </c>
      <c r="B850" s="54" t="inlineStr">
        <is>
          <t>93625A400</t>
        </is>
      </c>
      <c r="C850" s="54" t="inlineStr">
        <is>
          <t>McMaster-Carr</t>
        </is>
      </c>
      <c r="D850" s="54" t="inlineStr">
        <is>
          <t>18-8 Stainless Steel Nylon-Insert Locknut
M12 x 1.75 mm Thread, 19 mm Wide, 12 mm High</t>
        </is>
      </c>
      <c r="E850" s="15" t="n">
        <v>10</v>
      </c>
      <c r="F850" s="17" t="inlineStr">
        <is>
          <t>pk</t>
        </is>
      </c>
      <c r="G850" s="54" t="inlineStr">
        <is>
          <t>McMaster-Carr</t>
        </is>
      </c>
      <c r="H850" s="54" t="inlineStr">
        <is>
          <t>93625A400</t>
        </is>
      </c>
      <c r="I850" s="15" t="inlineStr">
        <is>
          <t>NO</t>
        </is>
      </c>
      <c r="J850" s="56" t="n">
        <v>7.43</v>
      </c>
      <c r="K850" s="57" t="n">
        <v>45455</v>
      </c>
      <c r="L850" s="19" t="n"/>
      <c r="M850" s="20" t="n"/>
      <c r="N850" s="21" t="n"/>
      <c r="O850" s="22" t="n"/>
      <c r="P850" s="24" t="n"/>
    </row>
    <row r="851" ht="33" customHeight="1">
      <c r="A851" s="53" t="inlineStr">
        <is>
          <t>91292A145</t>
        </is>
      </c>
      <c r="B851" s="54" t="inlineStr">
        <is>
          <t>91292A145</t>
        </is>
      </c>
      <c r="C851" s="54" t="inlineStr">
        <is>
          <t>McMaster-Carr</t>
        </is>
      </c>
      <c r="D851" s="54" t="inlineStr">
        <is>
          <t>18-8 Stainless Steel Socket Head Screw
M8 x 1.25 mm Thread, 16 mm Long</t>
        </is>
      </c>
      <c r="E851" s="15" t="n">
        <v>25</v>
      </c>
      <c r="F851" s="17" t="inlineStr">
        <is>
          <t>pack</t>
        </is>
      </c>
      <c r="G851" s="54" t="inlineStr">
        <is>
          <t>McMaster-Carr</t>
        </is>
      </c>
      <c r="H851" s="54" t="inlineStr">
        <is>
          <t>91292A145</t>
        </is>
      </c>
      <c r="I851" s="15" t="inlineStr">
        <is>
          <t>NO</t>
        </is>
      </c>
      <c r="J851" s="56" t="n">
        <v>9.640000000000001</v>
      </c>
      <c r="K851" s="57" t="n">
        <v>45456</v>
      </c>
      <c r="L851" s="19" t="n">
        <v>0</v>
      </c>
      <c r="M851" s="31" t="n">
        <v>9.640000000000001</v>
      </c>
      <c r="N851" s="21" t="n">
        <v>45455</v>
      </c>
      <c r="O851" s="22" t="inlineStr">
        <is>
          <t>, 6/12/2024, 9.64</t>
        </is>
      </c>
      <c r="P851" s="24" t="n"/>
    </row>
    <row r="852" ht="33" customHeight="1">
      <c r="A852" s="43" t="inlineStr">
        <is>
          <t>3254K322</t>
        </is>
      </c>
      <c r="B852" s="44" t="inlineStr">
        <is>
          <t>3254K322</t>
        </is>
      </c>
      <c r="C852" s="44" t="inlineStr">
        <is>
          <t>McMaster-Carr</t>
        </is>
      </c>
      <c r="D852" s="54" t="inlineStr">
        <is>
          <t>Multipurpose 304 Stainless Steel
Hardened, 0.01" Thick (6" x 5')</t>
        </is>
      </c>
      <c r="E852" s="15" t="n">
        <v>1</v>
      </c>
      <c r="F852" s="17" t="n"/>
      <c r="G852" s="44" t="inlineStr">
        <is>
          <t>McMaster-Carr</t>
        </is>
      </c>
      <c r="H852" s="44" t="inlineStr">
        <is>
          <t>3254K322</t>
        </is>
      </c>
      <c r="I852" s="15" t="inlineStr">
        <is>
          <t>NO</t>
        </is>
      </c>
      <c r="J852" s="56" t="n">
        <v>0</v>
      </c>
      <c r="K852" s="57" t="n">
        <v>45456</v>
      </c>
      <c r="L852" s="19" t="n"/>
      <c r="M852" s="31" t="n">
        <v>47.75</v>
      </c>
      <c r="N852" s="21" t="n">
        <v>45455</v>
      </c>
      <c r="O852" s="22" t="inlineStr">
        <is>
          <t>, 6/12/2024, 47.75</t>
        </is>
      </c>
      <c r="P852" s="24" t="n"/>
    </row>
    <row r="853" ht="33" customHeight="1">
      <c r="A853" s="43" t="inlineStr">
        <is>
          <t>3855K27</t>
        </is>
      </c>
      <c r="B853" s="54" t="inlineStr">
        <is>
          <t>3855K27</t>
        </is>
      </c>
      <c r="C853" s="44" t="inlineStr">
        <is>
          <t>McMaster-Carr</t>
        </is>
      </c>
      <c r="D853" s="54" t="inlineStr">
        <is>
          <t>Plastic Knob with Seven Arm Grip
with 3/8"-16 Thread 13/16" Long Stud - BLACK</t>
        </is>
      </c>
      <c r="E853" s="15" t="n">
        <v>1</v>
      </c>
      <c r="F853" s="17" t="inlineStr">
        <is>
          <t>Each</t>
        </is>
      </c>
      <c r="G853" s="44" t="inlineStr">
        <is>
          <t>McMaster-Carr</t>
        </is>
      </c>
      <c r="H853" s="54" t="inlineStr">
        <is>
          <t>3855K27</t>
        </is>
      </c>
      <c r="I853" s="15" t="inlineStr">
        <is>
          <t>NO</t>
        </is>
      </c>
      <c r="J853" s="56" t="n">
        <v>7.55</v>
      </c>
      <c r="K853" s="57" t="n">
        <v>45456</v>
      </c>
      <c r="L853" s="19" t="n">
        <v>0</v>
      </c>
      <c r="M853" s="31" t="n">
        <v>7.55</v>
      </c>
      <c r="N853" s="21" t="n">
        <v>45455</v>
      </c>
      <c r="O853" s="22" t="inlineStr">
        <is>
          <t>, 6/12/2024, 7.55</t>
        </is>
      </c>
      <c r="P853" s="24" t="n"/>
    </row>
    <row r="854" ht="33" customHeight="1">
      <c r="A854" s="53" t="inlineStr">
        <is>
          <t>3855K28</t>
        </is>
      </c>
      <c r="B854" s="54" t="inlineStr">
        <is>
          <t>3855K28</t>
        </is>
      </c>
      <c r="C854" s="44" t="inlineStr">
        <is>
          <t>McMaster-Carr</t>
        </is>
      </c>
      <c r="D854" s="54" t="inlineStr">
        <is>
          <t>Plastic Knob with Seven Arm Grip
with 3/8"-16 Thread 1-9/16" Long Stud - BLACK</t>
        </is>
      </c>
      <c r="E854" s="15" t="n">
        <v>1</v>
      </c>
      <c r="F854" s="17" t="inlineStr">
        <is>
          <t>Each</t>
        </is>
      </c>
      <c r="G854" s="44" t="inlineStr">
        <is>
          <t>McMaster-Carr</t>
        </is>
      </c>
      <c r="H854" s="54" t="inlineStr">
        <is>
          <t>3855K28</t>
        </is>
      </c>
      <c r="I854" s="15" t="inlineStr">
        <is>
          <t>NO</t>
        </is>
      </c>
      <c r="J854" s="56" t="n">
        <v>8.26</v>
      </c>
      <c r="K854" s="57" t="n">
        <v>45456</v>
      </c>
      <c r="L854" s="19" t="n">
        <v>0</v>
      </c>
      <c r="M854" s="31" t="n">
        <v>8.26</v>
      </c>
      <c r="N854" s="21" t="n">
        <v>45455</v>
      </c>
      <c r="O854" s="22" t="inlineStr">
        <is>
          <t>, 6/12/2024, 8.26</t>
        </is>
      </c>
      <c r="P854" s="24" t="n"/>
    </row>
    <row r="855" ht="33" customHeight="1">
      <c r="A855" s="43" t="inlineStr">
        <is>
          <t>4124N16</t>
        </is>
      </c>
      <c r="B855" s="54" t="inlineStr">
        <is>
          <t>4124N16</t>
        </is>
      </c>
      <c r="C855" s="44" t="inlineStr">
        <is>
          <t>McMaster-Carr</t>
        </is>
      </c>
      <c r="D855" s="54" t="inlineStr">
        <is>
          <t>Stainless Steel Clamping Two-Piece Pipe Collar
for 1-1/2 Pipe Size</t>
        </is>
      </c>
      <c r="E855" s="15" t="n">
        <v>1</v>
      </c>
      <c r="F855" s="17" t="inlineStr">
        <is>
          <t>Each</t>
        </is>
      </c>
      <c r="G855" s="44" t="inlineStr">
        <is>
          <t>McMaster-Carr</t>
        </is>
      </c>
      <c r="H855" s="54" t="inlineStr">
        <is>
          <t>4124N16</t>
        </is>
      </c>
      <c r="I855" s="15" t="inlineStr">
        <is>
          <t>NO</t>
        </is>
      </c>
      <c r="J855" s="56" t="n">
        <v>69.23</v>
      </c>
      <c r="K855" s="57" t="n">
        <v>45456</v>
      </c>
      <c r="L855" s="19" t="n">
        <v>0</v>
      </c>
      <c r="M855" s="31" t="n">
        <v>69.23</v>
      </c>
      <c r="N855" s="21" t="n">
        <v>45455</v>
      </c>
      <c r="O855" s="22" t="inlineStr">
        <is>
          <t>, 6/12/2024, 69.23</t>
        </is>
      </c>
      <c r="P855" s="24" t="n"/>
    </row>
    <row r="856" ht="33" customHeight="1">
      <c r="A856" s="53" t="inlineStr">
        <is>
          <t>5271T14</t>
        </is>
      </c>
      <c r="B856" s="54" t="inlineStr">
        <is>
          <t>5271T14</t>
        </is>
      </c>
      <c r="C856" s="44" t="inlineStr">
        <is>
          <t>McMaster-Carr</t>
        </is>
      </c>
      <c r="D856" s="54" t="inlineStr">
        <is>
          <t>High-Temperature Finger-Groove Round Grip for 3/4" OD</t>
        </is>
      </c>
      <c r="E856" s="15" t="n">
        <v>2</v>
      </c>
      <c r="F856" s="17" t="inlineStr">
        <is>
          <t>pack</t>
        </is>
      </c>
      <c r="G856" s="44" t="inlineStr">
        <is>
          <t>McMaster-Carr</t>
        </is>
      </c>
      <c r="H856" s="54" t="inlineStr">
        <is>
          <t>5271T14</t>
        </is>
      </c>
      <c r="I856" s="15" t="inlineStr">
        <is>
          <t>NO</t>
        </is>
      </c>
      <c r="J856" s="56" t="n">
        <v>9.6</v>
      </c>
      <c r="K856" s="57" t="n">
        <v>45456</v>
      </c>
      <c r="L856" s="19" t="n">
        <v>0</v>
      </c>
      <c r="M856" s="31" t="n">
        <v>9.6</v>
      </c>
      <c r="N856" s="21" t="n">
        <v>45455</v>
      </c>
      <c r="O856" s="22" t="inlineStr">
        <is>
          <t>, 6/12/2024, 9.6</t>
        </is>
      </c>
      <c r="P856" s="24" t="n"/>
    </row>
    <row r="857" ht="33" customHeight="1">
      <c r="A857" s="53" t="inlineStr">
        <is>
          <t>6384K373</t>
        </is>
      </c>
      <c r="B857" s="54" t="inlineStr">
        <is>
          <t>6384K373</t>
        </is>
      </c>
      <c r="C857" s="44" t="inlineStr">
        <is>
          <t>McMaster-Carr</t>
        </is>
      </c>
      <c r="D857" s="54" t="inlineStr">
        <is>
          <t>Ball Bearing
Sealed with Extended Inner Ring, for 1" Shaft Diameter</t>
        </is>
      </c>
      <c r="E857" s="15" t="n">
        <v>1</v>
      </c>
      <c r="F857" s="17" t="inlineStr">
        <is>
          <t>Each</t>
        </is>
      </c>
      <c r="G857" s="44" t="inlineStr">
        <is>
          <t>McMaster-Carr</t>
        </is>
      </c>
      <c r="H857" s="54" t="inlineStr">
        <is>
          <t>6384K373</t>
        </is>
      </c>
      <c r="I857" s="15" t="inlineStr">
        <is>
          <t>NO</t>
        </is>
      </c>
      <c r="J857" s="56" t="n">
        <v>33.13</v>
      </c>
      <c r="K857" s="57" t="n">
        <v>45456</v>
      </c>
      <c r="L857" s="19" t="n">
        <v>0</v>
      </c>
      <c r="M857" s="31" t="n">
        <v>33.13</v>
      </c>
      <c r="N857" s="21" t="n">
        <v>45455</v>
      </c>
      <c r="O857" s="22" t="inlineStr">
        <is>
          <t>, 6/12/2024, 33.13</t>
        </is>
      </c>
      <c r="P857" s="24" t="n"/>
    </row>
    <row r="858" ht="33" customHeight="1">
      <c r="A858" s="53" t="inlineStr">
        <is>
          <t>91830A404</t>
        </is>
      </c>
      <c r="B858" s="54" t="inlineStr">
        <is>
          <t>91830A404</t>
        </is>
      </c>
      <c r="C858" s="44" t="inlineStr">
        <is>
          <t>McMaster-Carr</t>
        </is>
      </c>
      <c r="D858" s="54" t="inlineStr">
        <is>
          <t>Stainless Steel Raised Knurled-Head Thumb Screw
10-32 Thread Size, 1/2" Long, 1/2" Diameter Head</t>
        </is>
      </c>
      <c r="E858" s="15" t="n">
        <v>1</v>
      </c>
      <c r="F858" s="17" t="inlineStr">
        <is>
          <t>each</t>
        </is>
      </c>
      <c r="G858" s="44" t="inlineStr">
        <is>
          <t>McMaster-Carr</t>
        </is>
      </c>
      <c r="H858" s="54" t="inlineStr">
        <is>
          <t>91830A404</t>
        </is>
      </c>
      <c r="I858" s="15" t="inlineStr">
        <is>
          <t>NO</t>
        </is>
      </c>
      <c r="J858" s="56" t="n">
        <v>6.58</v>
      </c>
      <c r="K858" s="57" t="n">
        <v>45455</v>
      </c>
      <c r="L858" s="19" t="n"/>
      <c r="M858" s="20" t="n"/>
      <c r="N858" s="21" t="n"/>
      <c r="O858" s="22" t="n"/>
      <c r="P858" s="24" t="n"/>
    </row>
    <row r="859" ht="33" customHeight="1">
      <c r="A859" s="53" t="inlineStr">
        <is>
          <t>94035A176</t>
        </is>
      </c>
      <c r="B859" s="54" t="inlineStr">
        <is>
          <t>94035A176</t>
        </is>
      </c>
      <c r="C859" s="44" t="inlineStr">
        <is>
          <t>McMaster-Carr</t>
        </is>
      </c>
      <c r="D859" s="54" t="inlineStr">
        <is>
          <t>18-8 Stainless Steel Precision Shoulder Screw
1/4" Shoulder Diameter, 5/32" Shoulder Length, 10-32 Thread</t>
        </is>
      </c>
      <c r="E859" s="15" t="n">
        <v>1</v>
      </c>
      <c r="F859" s="17" t="inlineStr">
        <is>
          <t>each</t>
        </is>
      </c>
      <c r="G859" s="44" t="inlineStr">
        <is>
          <t>McMaster-Carr</t>
        </is>
      </c>
      <c r="H859" s="54" t="inlineStr">
        <is>
          <t>94035A176</t>
        </is>
      </c>
      <c r="I859" s="15" t="inlineStr">
        <is>
          <t>NO</t>
        </is>
      </c>
      <c r="J859" s="56" t="n">
        <v>3.05</v>
      </c>
      <c r="K859" s="57" t="n">
        <v>45455</v>
      </c>
      <c r="L859" s="19" t="n"/>
      <c r="M859" s="20" t="n"/>
      <c r="N859" s="21" t="n"/>
      <c r="O859" s="22" t="n"/>
      <c r="P859" s="24" t="n"/>
    </row>
    <row r="860" ht="33" customHeight="1">
      <c r="A860" s="53" t="inlineStr">
        <is>
          <t>OC100</t>
        </is>
      </c>
      <c r="B860" s="44" t="inlineStr">
        <is>
          <t>OC100</t>
        </is>
      </c>
      <c r="C860" s="54" t="inlineStr">
        <is>
          <t>Omnitrack</t>
        </is>
      </c>
      <c r="D860" s="54" t="inlineStr">
        <is>
          <t>OC100 – Standard Materials
Omnicaster - Plastic Ball Castor</t>
        </is>
      </c>
      <c r="E860" s="15" t="n">
        <v>1</v>
      </c>
      <c r="F860" s="17" t="inlineStr">
        <is>
          <t>each</t>
        </is>
      </c>
      <c r="G860" s="54" t="inlineStr">
        <is>
          <t>Omnitrack</t>
        </is>
      </c>
      <c r="H860" s="44" t="inlineStr">
        <is>
          <t>OC100</t>
        </is>
      </c>
      <c r="I860" s="15" t="inlineStr">
        <is>
          <t>NO</t>
        </is>
      </c>
      <c r="J860" s="56" t="n">
        <v>263.72</v>
      </c>
      <c r="K860" s="57" t="n">
        <v>45455</v>
      </c>
      <c r="L860" s="19" t="n"/>
      <c r="M860" s="20" t="n"/>
      <c r="N860" s="21" t="n"/>
      <c r="O860" s="22" t="n"/>
      <c r="P860" s="24" t="n"/>
    </row>
    <row r="861" ht="33" customHeight="1">
      <c r="A861" s="53" t="inlineStr">
        <is>
          <t>SSR0518L4</t>
        </is>
      </c>
      <c r="B861" s="54" t="inlineStr">
        <is>
          <t>SSR0518L4</t>
        </is>
      </c>
      <c r="C861" s="54" t="inlineStr">
        <is>
          <t>POBCO, Inc.</t>
        </is>
      </c>
      <c r="D861" s="54" t="inlineStr">
        <is>
          <t>Adjusting Rod, Stainless Steel, 1/2" Dia. X 4", 5/16-18 Tap</t>
        </is>
      </c>
      <c r="E861" s="15" t="n">
        <v>1</v>
      </c>
      <c r="F861" s="17" t="inlineStr">
        <is>
          <t>each</t>
        </is>
      </c>
      <c r="G861" s="54" t="inlineStr">
        <is>
          <t>POBCO, Inc.</t>
        </is>
      </c>
      <c r="H861" s="54" t="inlineStr">
        <is>
          <t>SSR0518L4</t>
        </is>
      </c>
      <c r="I861" s="15" t="inlineStr">
        <is>
          <t>NO</t>
        </is>
      </c>
      <c r="J861" s="56" t="n">
        <v>10</v>
      </c>
      <c r="K861" s="57" t="n">
        <v>45379</v>
      </c>
      <c r="L861" s="19" t="n"/>
      <c r="M861" s="20" t="n"/>
      <c r="N861" s="21" t="n"/>
      <c r="O861" s="22" t="n"/>
      <c r="P861" s="24" t="n"/>
    </row>
    <row r="862" ht="33" customHeight="1">
      <c r="A862" s="53" t="inlineStr">
        <is>
          <t>VG-JL137-125-10</t>
        </is>
      </c>
      <c r="B862" s="54" t="inlineStr">
        <is>
          <t>VG-JL137-125-10</t>
        </is>
      </c>
      <c r="C862" s="54" t="inlineStr">
        <is>
          <t>Emerson</t>
        </is>
      </c>
      <c r="D862" s="54" t="inlineStr">
        <is>
          <t>J-Leg w/ Lip, 1.37" X 1/8" - 10ft Roll</t>
        </is>
      </c>
      <c r="E862" s="15" t="n">
        <v>10</v>
      </c>
      <c r="F862" s="17" t="inlineStr">
        <is>
          <t>ft</t>
        </is>
      </c>
      <c r="G862" s="54" t="inlineStr">
        <is>
          <t>Emerson</t>
        </is>
      </c>
      <c r="H862" s="54" t="inlineStr">
        <is>
          <t>VG-JL137-125-10</t>
        </is>
      </c>
      <c r="I862" s="15" t="inlineStr">
        <is>
          <t>NO</t>
        </is>
      </c>
      <c r="J862" s="56" t="n">
        <v>16.2</v>
      </c>
      <c r="K862" s="57" t="n">
        <v>45456</v>
      </c>
      <c r="L862" s="19" t="n"/>
      <c r="M862" s="20" t="n"/>
      <c r="N862" s="21" t="n"/>
      <c r="O862" s="22" t="n"/>
      <c r="P862" s="24" t="n"/>
    </row>
    <row r="863" ht="33" customHeight="1">
      <c r="A863" s="53" t="inlineStr">
        <is>
          <t>75505K14</t>
        </is>
      </c>
      <c r="B863" s="54" t="inlineStr">
        <is>
          <t>75505K14</t>
        </is>
      </c>
      <c r="C863" s="44" t="inlineStr">
        <is>
          <t>McMaster-Carr</t>
        </is>
      </c>
      <c r="D863" s="54" t="inlineStr">
        <is>
          <t>Stainless Steel Corrosion-Resistant Washdown Enclosure with Hinged Cover and Screw-Down Clamps, 14" x 12" x 6"</t>
        </is>
      </c>
      <c r="E863" s="15" t="n">
        <v>1</v>
      </c>
      <c r="F863" s="17" t="inlineStr">
        <is>
          <t>each</t>
        </is>
      </c>
      <c r="G863" s="44" t="inlineStr">
        <is>
          <t>McMaster-Carr</t>
        </is>
      </c>
      <c r="H863" s="54" t="inlineStr">
        <is>
          <t>75505K14</t>
        </is>
      </c>
      <c r="I863" s="15" t="inlineStr">
        <is>
          <t>NO</t>
        </is>
      </c>
      <c r="J863" s="56" t="n">
        <v>759.16</v>
      </c>
      <c r="K863" s="57" t="n">
        <v>45457</v>
      </c>
      <c r="L863" s="19" t="n"/>
      <c r="M863" s="20" t="n"/>
      <c r="N863" s="21" t="n"/>
      <c r="O863" s="22" t="inlineStr">
        <is>
          <t>, 6/14/2024, 759.16</t>
        </is>
      </c>
      <c r="P863" s="24" t="n"/>
    </row>
    <row r="864" ht="33" customHeight="1">
      <c r="A864" s="53" t="inlineStr">
        <is>
          <t>LR-ZH500CP</t>
        </is>
      </c>
      <c r="B864" s="54" t="inlineStr">
        <is>
          <t>LR-ZH500CP</t>
        </is>
      </c>
      <c r="C864" s="54" t="inlineStr">
        <is>
          <t>Keyence</t>
        </is>
      </c>
      <c r="D864" s="54" t="inlineStr">
        <is>
          <t>LR-Z Laser Sensor, 35mm to 500mm Sensing Range, Class II Laser, Built-In Amplifier, M8 Connection</t>
        </is>
      </c>
      <c r="E864" s="15" t="n">
        <v>1</v>
      </c>
      <c r="F864" s="17" t="inlineStr">
        <is>
          <t>each</t>
        </is>
      </c>
      <c r="G864" s="54" t="inlineStr">
        <is>
          <t>Keyence</t>
        </is>
      </c>
      <c r="H864" s="54" t="inlineStr">
        <is>
          <t>LR-ZH500CP</t>
        </is>
      </c>
      <c r="I864" s="15" t="inlineStr">
        <is>
          <t>NO</t>
        </is>
      </c>
      <c r="J864" s="56" t="n">
        <v>275</v>
      </c>
      <c r="K864" s="57" t="n">
        <v>45457</v>
      </c>
      <c r="L864" s="19" t="n"/>
      <c r="M864" s="20" t="n"/>
      <c r="N864" s="21" t="n"/>
      <c r="O864" s="22" t="n"/>
      <c r="P864" s="24" t="n"/>
    </row>
    <row r="865" ht="33" customHeight="1">
      <c r="A865" s="53" t="inlineStr">
        <is>
          <t>4464K266</t>
        </is>
      </c>
      <c r="B865" s="54" t="inlineStr">
        <is>
          <t>4464K266</t>
        </is>
      </c>
      <c r="C865" s="44" t="inlineStr">
        <is>
          <t>McMaster-Carr</t>
        </is>
      </c>
      <c r="D865" s="54" t="inlineStr">
        <is>
          <t>304 Stainless Steel Threaded Pipe Fitting Low-Pressure, Bushing Adapter, 1/2 Male x 3/8 Female</t>
        </is>
      </c>
      <c r="E865" s="15" t="n">
        <v>1</v>
      </c>
      <c r="F865" s="17" t="inlineStr">
        <is>
          <t>each</t>
        </is>
      </c>
      <c r="G865" s="44" t="inlineStr">
        <is>
          <t>McMaster-Carr</t>
        </is>
      </c>
      <c r="H865" s="54" t="inlineStr">
        <is>
          <t>4464K266</t>
        </is>
      </c>
      <c r="I865" s="15" t="inlineStr">
        <is>
          <t>NO</t>
        </is>
      </c>
      <c r="J865" s="56" t="n">
        <v>4.71</v>
      </c>
      <c r="K865" s="57" t="n">
        <v>45457</v>
      </c>
      <c r="L865" s="19" t="n"/>
      <c r="M865" s="20" t="n"/>
      <c r="N865" s="21" t="n"/>
      <c r="O865" s="22" t="inlineStr">
        <is>
          <t xml:space="preserve">, 6/13/2024, </t>
        </is>
      </c>
      <c r="P865" s="24" t="n"/>
    </row>
    <row r="866" ht="33" customHeight="1">
      <c r="A866" s="53" t="inlineStr">
        <is>
          <t>5203K945</t>
        </is>
      </c>
      <c r="B866" s="54" t="inlineStr">
        <is>
          <t>5203K945</t>
        </is>
      </c>
      <c r="C866" s="44" t="inlineStr">
        <is>
          <t>McMaster-Carr</t>
        </is>
      </c>
      <c r="D866" s="54" t="inlineStr">
        <is>
          <t>Push-to-Connect Tube Fitting for Air and Water 4 Outlet Manifold, 3/8 NPT Male x 1/4" Tube OD
SPECIFY NICKEL PLATED BRASS</t>
        </is>
      </c>
      <c r="E866" s="15" t="n">
        <v>1</v>
      </c>
      <c r="F866" s="17" t="inlineStr">
        <is>
          <t>each</t>
        </is>
      </c>
      <c r="G866" s="44" t="inlineStr">
        <is>
          <t>McMaster-Carr</t>
        </is>
      </c>
      <c r="H866" s="54" t="inlineStr">
        <is>
          <t>5203K945</t>
        </is>
      </c>
      <c r="I866" s="15" t="inlineStr">
        <is>
          <t>NO</t>
        </is>
      </c>
      <c r="J866" s="56" t="n">
        <v>13.26</v>
      </c>
      <c r="K866" s="57" t="n">
        <v>45457</v>
      </c>
      <c r="L866" s="19" t="n"/>
      <c r="M866" s="20" t="n"/>
      <c r="N866" s="21" t="n"/>
      <c r="O866" s="22" t="n"/>
      <c r="P866" s="24" t="n"/>
    </row>
    <row r="867" ht="33" customHeight="1">
      <c r="A867" s="53" t="inlineStr">
        <is>
          <t>6897K36</t>
        </is>
      </c>
      <c r="B867" s="54" t="inlineStr">
        <is>
          <t>6897K36</t>
        </is>
      </c>
      <c r="C867" s="44" t="inlineStr">
        <is>
          <t>McMaster-Carr</t>
        </is>
      </c>
      <c r="D867" s="54" t="inlineStr">
        <is>
          <t>Micro M12 Signal/Power Connector Straight Socket, 4 Pole, 1 Keyway, 12 Feet Cable</t>
        </is>
      </c>
      <c r="E867" s="15" t="n">
        <v>1</v>
      </c>
      <c r="F867" s="17" t="inlineStr">
        <is>
          <t>each</t>
        </is>
      </c>
      <c r="G867" s="44" t="inlineStr">
        <is>
          <t>McMaster-Carr</t>
        </is>
      </c>
      <c r="H867" s="54" t="inlineStr">
        <is>
          <t>6897K36</t>
        </is>
      </c>
      <c r="I867" s="15" t="inlineStr">
        <is>
          <t>NO</t>
        </is>
      </c>
      <c r="J867" s="56" t="n">
        <v>57.2</v>
      </c>
      <c r="K867" s="57" t="n">
        <v>45457</v>
      </c>
      <c r="L867" s="19" t="n"/>
      <c r="M867" s="20" t="n"/>
      <c r="N867" s="21" t="n"/>
      <c r="O867" s="22" t="n"/>
      <c r="P867" s="24" t="n"/>
    </row>
    <row r="868" ht="33" customHeight="1">
      <c r="A868" s="53" t="inlineStr">
        <is>
          <t>7091K26</t>
        </is>
      </c>
      <c r="B868" s="54" t="inlineStr">
        <is>
          <t>7091K26</t>
        </is>
      </c>
      <c r="C868" s="44" t="inlineStr">
        <is>
          <t>McMaster-Carr</t>
        </is>
      </c>
      <c r="D868" s="54" t="inlineStr">
        <is>
          <t>Nickel-Plated Brass Wet-Location Multi-Cord Grip for Three 0.16"-0.2" OD Cords, 3/4 Knockout Size</t>
        </is>
      </c>
      <c r="E868" s="15" t="n">
        <v>1</v>
      </c>
      <c r="F868" s="17" t="inlineStr">
        <is>
          <t>each</t>
        </is>
      </c>
      <c r="G868" s="44" t="inlineStr">
        <is>
          <t>McMaster-Carr</t>
        </is>
      </c>
      <c r="H868" s="54" t="inlineStr">
        <is>
          <t>7091K26</t>
        </is>
      </c>
      <c r="I868" s="15" t="inlineStr">
        <is>
          <t>NO</t>
        </is>
      </c>
      <c r="J868" s="56" t="n">
        <v>36.63</v>
      </c>
      <c r="K868" s="57" t="n">
        <v>45457</v>
      </c>
      <c r="L868" s="19" t="n"/>
      <c r="M868" s="20" t="n"/>
      <c r="N868" s="21" t="n"/>
      <c r="O868" s="22" t="n"/>
      <c r="P868" s="24" t="n"/>
    </row>
    <row r="869" ht="33" customHeight="1">
      <c r="A869" s="53" t="inlineStr">
        <is>
          <t>7138K22</t>
        </is>
      </c>
      <c r="B869" s="54" t="inlineStr">
        <is>
          <t>7138K22</t>
        </is>
      </c>
      <c r="C869" s="44" t="inlineStr">
        <is>
          <t>McMaster-Carr</t>
        </is>
      </c>
      <c r="D869" s="54" t="inlineStr">
        <is>
          <t>Nano M8 Connector 90 Degree Socket with 13 Feet Long Cable, 4 Poles</t>
        </is>
      </c>
      <c r="E869" s="15" t="n">
        <v>1</v>
      </c>
      <c r="F869" s="17" t="inlineStr">
        <is>
          <t>each</t>
        </is>
      </c>
      <c r="G869" s="44" t="inlineStr">
        <is>
          <t>McMaster-Carr</t>
        </is>
      </c>
      <c r="H869" s="54" t="inlineStr">
        <is>
          <t>7138K22</t>
        </is>
      </c>
      <c r="I869" s="15" t="inlineStr">
        <is>
          <t>NO</t>
        </is>
      </c>
      <c r="J869" s="56" t="n">
        <v>27.25</v>
      </c>
      <c r="K869" s="57" t="n">
        <v>45457</v>
      </c>
      <c r="L869" s="19" t="n"/>
      <c r="M869" s="20" t="n"/>
      <c r="N869" s="21" t="n"/>
      <c r="O869" s="22" t="n"/>
      <c r="P869" s="24" t="n"/>
    </row>
    <row r="870" ht="33" customHeight="1">
      <c r="A870" s="53" t="inlineStr">
        <is>
          <t>8961K85</t>
        </is>
      </c>
      <c r="B870" s="54" t="inlineStr">
        <is>
          <t>8961K85</t>
        </is>
      </c>
      <c r="C870" s="44" t="inlineStr">
        <is>
          <t>McMaster-Carr</t>
        </is>
      </c>
      <c r="D870" s="54" t="inlineStr">
        <is>
          <t>Steel DIN 3 Rail, Zinc Plated, 3-15/16" Length</t>
        </is>
      </c>
      <c r="E870" s="15" t="n">
        <v>1</v>
      </c>
      <c r="F870" s="17" t="inlineStr">
        <is>
          <t>each</t>
        </is>
      </c>
      <c r="G870" s="44" t="inlineStr">
        <is>
          <t>McMaster-Carr</t>
        </is>
      </c>
      <c r="H870" s="54" t="inlineStr">
        <is>
          <t>8961K85</t>
        </is>
      </c>
      <c r="I870" s="15" t="inlineStr">
        <is>
          <t>NO</t>
        </is>
      </c>
      <c r="J870" s="56" t="n">
        <v>4.07</v>
      </c>
      <c r="K870" s="57" t="n">
        <v>45457</v>
      </c>
      <c r="L870" s="19" t="n"/>
      <c r="M870" s="20" t="n"/>
      <c r="N870" s="21" t="n"/>
      <c r="O870" s="22" t="n"/>
      <c r="P870" s="24" t="n"/>
    </row>
    <row r="871" ht="33" customHeight="1">
      <c r="A871" s="53" t="inlineStr">
        <is>
          <t>91292A139</t>
        </is>
      </c>
      <c r="B871" s="54" t="inlineStr">
        <is>
          <t>91292A139</t>
        </is>
      </c>
      <c r="C871" s="44" t="inlineStr">
        <is>
          <t>McMaster-Carr</t>
        </is>
      </c>
      <c r="D871" s="54" t="inlineStr">
        <is>
          <t>18-8 Stainless Steel Socket Head Screw M6 x 1 mm Thread, 30 mm Long</t>
        </is>
      </c>
      <c r="E871" s="15" t="n">
        <v>50</v>
      </c>
      <c r="F871" s="17" t="inlineStr">
        <is>
          <t>pack</t>
        </is>
      </c>
      <c r="G871" s="44" t="inlineStr">
        <is>
          <t>McMaster-Carr</t>
        </is>
      </c>
      <c r="H871" s="54" t="inlineStr">
        <is>
          <t>91292A139</t>
        </is>
      </c>
      <c r="I871" s="15" t="inlineStr">
        <is>
          <t>NO</t>
        </is>
      </c>
      <c r="J871" s="56" t="n">
        <v>12.46</v>
      </c>
      <c r="K871" s="57" t="n">
        <v>45457</v>
      </c>
      <c r="L871" s="19" t="n"/>
      <c r="M871" s="20" t="n"/>
      <c r="N871" s="21" t="n"/>
      <c r="O871" s="22" t="n"/>
      <c r="P871" s="24" t="n"/>
    </row>
    <row r="872" ht="33" customHeight="1">
      <c r="A872" s="53" t="inlineStr">
        <is>
          <t>9473T114</t>
        </is>
      </c>
      <c r="B872" s="54" t="inlineStr">
        <is>
          <t>9473T114</t>
        </is>
      </c>
      <c r="C872" s="44" t="inlineStr">
        <is>
          <t>McMaster-Carr</t>
        </is>
      </c>
      <c r="D872" s="54" t="inlineStr">
        <is>
          <t>Adjacent Jumper for 5mm Wide Grounding Quick&amp;Secure Modular DIN-Rail Terminal Block</t>
        </is>
      </c>
      <c r="E872" s="15" t="n">
        <v>1</v>
      </c>
      <c r="F872" s="17" t="inlineStr">
        <is>
          <t>each</t>
        </is>
      </c>
      <c r="G872" s="44" t="inlineStr">
        <is>
          <t>McMaster-Carr</t>
        </is>
      </c>
      <c r="H872" s="54" t="inlineStr">
        <is>
          <t>9473T114</t>
        </is>
      </c>
      <c r="I872" s="15" t="inlineStr">
        <is>
          <t>NO</t>
        </is>
      </c>
      <c r="J872" s="56" t="n">
        <v>1.21</v>
      </c>
      <c r="K872" s="57" t="n">
        <v>45457</v>
      </c>
      <c r="L872" s="19" t="n"/>
      <c r="M872" s="20" t="n"/>
      <c r="N872" s="21" t="n"/>
      <c r="O872" s="22" t="n"/>
      <c r="P872" s="24" t="n"/>
    </row>
    <row r="873" ht="33" customHeight="1">
      <c r="A873" s="53" t="inlineStr">
        <is>
          <t>9473T133</t>
        </is>
      </c>
      <c r="B873" s="54" t="inlineStr">
        <is>
          <t>9473T133</t>
        </is>
      </c>
      <c r="C873" s="44" t="inlineStr">
        <is>
          <t>McMaster-Carr</t>
        </is>
      </c>
      <c r="D873" s="54" t="inlineStr">
        <is>
          <t>End Cover for One Circuit with Spring-Clamp Quick&amp;Secure Modular DIN-Rail Terminal Block</t>
        </is>
      </c>
      <c r="E873" s="15" t="n">
        <v>1</v>
      </c>
      <c r="F873" s="17" t="inlineStr">
        <is>
          <t>each</t>
        </is>
      </c>
      <c r="G873" s="44" t="inlineStr">
        <is>
          <t>McMaster-Carr</t>
        </is>
      </c>
      <c r="H873" s="54" t="inlineStr">
        <is>
          <t>9473T133</t>
        </is>
      </c>
      <c r="I873" s="15" t="inlineStr">
        <is>
          <t>NO</t>
        </is>
      </c>
      <c r="J873" s="56" t="n">
        <v>1.59</v>
      </c>
      <c r="K873" s="57" t="n">
        <v>45457</v>
      </c>
      <c r="L873" s="19" t="n"/>
      <c r="M873" s="20" t="n"/>
      <c r="N873" s="21" t="n"/>
      <c r="O873" s="22" t="n"/>
      <c r="P873" s="24" t="n"/>
    </row>
    <row r="874" ht="33" customHeight="1">
      <c r="A874" s="53" t="inlineStr">
        <is>
          <t>9473T191</t>
        </is>
      </c>
      <c r="B874" s="54" t="inlineStr">
        <is>
          <t>9473T191</t>
        </is>
      </c>
      <c r="C874" s="44" t="inlineStr">
        <is>
          <t>McMaster-Carr</t>
        </is>
      </c>
      <c r="D874" s="54" t="inlineStr">
        <is>
          <t>End Cover for One Circuit with Spring-Clamp Quick&amp;Secure Modular DIN-Rail Terminal Block</t>
        </is>
      </c>
      <c r="E874" s="15" t="n">
        <v>1</v>
      </c>
      <c r="F874" s="17" t="inlineStr">
        <is>
          <t>each</t>
        </is>
      </c>
      <c r="G874" s="44" t="inlineStr">
        <is>
          <t>McMaster-Carr</t>
        </is>
      </c>
      <c r="H874" s="54" t="inlineStr">
        <is>
          <t>9473T191</t>
        </is>
      </c>
      <c r="I874" s="15" t="inlineStr">
        <is>
          <t>NO</t>
        </is>
      </c>
      <c r="J874" s="56" t="n">
        <v>1.43</v>
      </c>
      <c r="K874" s="57" t="n">
        <v>45457</v>
      </c>
      <c r="L874" s="19" t="n"/>
      <c r="M874" s="20" t="n"/>
      <c r="N874" s="21" t="n"/>
      <c r="O874" s="22" t="n"/>
      <c r="P874" s="24" t="n"/>
    </row>
    <row r="875" ht="33" customHeight="1">
      <c r="A875" s="53" t="inlineStr">
        <is>
          <t>9473T218</t>
        </is>
      </c>
      <c r="B875" s="54" t="inlineStr">
        <is>
          <t>9473T218</t>
        </is>
      </c>
      <c r="C875" s="44" t="inlineStr">
        <is>
          <t>McMaster-Carr</t>
        </is>
      </c>
      <c r="D875" s="54" t="inlineStr">
        <is>
          <t>Horizontal Marker Cards for 4.2mm Wide Quick&amp;Secure Modular DIN-Rail Terminal Block</t>
        </is>
      </c>
      <c r="E875" s="15" t="n">
        <v>1</v>
      </c>
      <c r="F875" s="17" t="inlineStr">
        <is>
          <t>each</t>
        </is>
      </c>
      <c r="G875" s="44" t="inlineStr">
        <is>
          <t>McMaster-Carr</t>
        </is>
      </c>
      <c r="H875" s="54" t="inlineStr">
        <is>
          <t>9473T218</t>
        </is>
      </c>
      <c r="I875" s="15" t="inlineStr">
        <is>
          <t>NO</t>
        </is>
      </c>
      <c r="J875" s="56" t="n">
        <v>9.699999999999999</v>
      </c>
      <c r="K875" s="57" t="n">
        <v>45457</v>
      </c>
      <c r="L875" s="19" t="n"/>
      <c r="M875" s="20" t="n"/>
      <c r="N875" s="21" t="n"/>
      <c r="O875" s="22" t="n"/>
      <c r="P875" s="24" t="n"/>
    </row>
    <row r="876" ht="33" customHeight="1">
      <c r="A876" s="53" t="inlineStr">
        <is>
          <t>9473T84</t>
        </is>
      </c>
      <c r="B876" s="54" t="inlineStr">
        <is>
          <t>9473T84</t>
        </is>
      </c>
      <c r="C876" s="44" t="inlineStr">
        <is>
          <t>McMaster-Carr</t>
        </is>
      </c>
      <c r="D876" s="54" t="inlineStr">
        <is>
          <t>Quick&amp;Secure Modular DIN-Rail Terminal Block Grounding with 1 Circuit, 5mm Wide, 4 Terminals</t>
        </is>
      </c>
      <c r="E876" s="15" t="n">
        <v>1</v>
      </c>
      <c r="F876" s="17" t="inlineStr">
        <is>
          <t>each</t>
        </is>
      </c>
      <c r="G876" s="44" t="inlineStr">
        <is>
          <t>McMaster-Carr</t>
        </is>
      </c>
      <c r="H876" s="54" t="inlineStr">
        <is>
          <t>9473T84</t>
        </is>
      </c>
      <c r="I876" s="15" t="inlineStr">
        <is>
          <t>NO</t>
        </is>
      </c>
      <c r="J876" s="56" t="n">
        <v>10.98</v>
      </c>
      <c r="K876" s="57" t="n">
        <v>45457</v>
      </c>
      <c r="L876" s="19" t="n"/>
      <c r="M876" s="20" t="n"/>
      <c r="N876" s="21" t="n"/>
      <c r="O876" s="22" t="n"/>
      <c r="P876" s="24" t="n"/>
    </row>
    <row r="877" ht="33" customHeight="1">
      <c r="A877" s="53" t="inlineStr">
        <is>
          <t>BLU32P40PVC08</t>
        </is>
      </c>
      <c r="B877" s="54" t="inlineStr">
        <is>
          <t>BL-32P40</t>
        </is>
      </c>
      <c r="C877" s="54" t="inlineStr">
        <is>
          <t>POBCO, Inc.</t>
        </is>
      </c>
      <c r="D877" s="54" t="inlineStr">
        <is>
          <t>Roll End Bearing, For 2" SCH40 PVC Pipe, Blind Bore for Shaft Up To 1.75"L, UHMWPE</t>
        </is>
      </c>
      <c r="E877" s="15" t="n">
        <v>1</v>
      </c>
      <c r="F877" s="17" t="inlineStr">
        <is>
          <t>each</t>
        </is>
      </c>
      <c r="G877" s="54" t="inlineStr">
        <is>
          <t>POBCO, Inc.</t>
        </is>
      </c>
      <c r="H877" s="54" t="inlineStr">
        <is>
          <t>BL-32P40</t>
        </is>
      </c>
      <c r="I877" s="15" t="inlineStr">
        <is>
          <t>NO</t>
        </is>
      </c>
      <c r="J877" s="56" t="n">
        <v>8.949999999999999</v>
      </c>
      <c r="K877" s="57" t="n">
        <v>45457</v>
      </c>
      <c r="L877" s="19" t="n"/>
      <c r="M877" s="20" t="n"/>
      <c r="N877" s="21" t="n"/>
      <c r="O877" s="22" t="n"/>
      <c r="P877" s="24" t="n"/>
    </row>
    <row r="878" ht="33" customHeight="1">
      <c r="A878" s="53" t="inlineStr">
        <is>
          <t>BP0828FLAT</t>
        </is>
      </c>
      <c r="B878" s="54" t="inlineStr">
        <is>
          <t>BP0828FLAT</t>
        </is>
      </c>
      <c r="C878" s="54" t="inlineStr">
        <is>
          <t>POBCO, Inc.</t>
        </is>
      </c>
      <c r="D878" s="54" t="inlineStr">
        <is>
          <t>Stub Shaft, T304SS, 1/2" Diam. X 1.75" Long, 5/16" Wrench Flats at 1 End</t>
        </is>
      </c>
      <c r="E878" s="15" t="n">
        <v>1</v>
      </c>
      <c r="F878" s="17" t="inlineStr">
        <is>
          <t>each</t>
        </is>
      </c>
      <c r="G878" s="54" t="inlineStr">
        <is>
          <t>POBCO, Inc.</t>
        </is>
      </c>
      <c r="H878" s="54" t="inlineStr">
        <is>
          <t>BP0828FLAT</t>
        </is>
      </c>
      <c r="I878" s="15" t="inlineStr">
        <is>
          <t>NO</t>
        </is>
      </c>
      <c r="J878" s="56" t="n">
        <v>6.5</v>
      </c>
      <c r="K878" s="57" t="n">
        <v>45457</v>
      </c>
      <c r="L878" s="19" t="n"/>
      <c r="M878" s="20" t="n"/>
      <c r="N878" s="21" t="n"/>
      <c r="O878" s="22" t="n"/>
      <c r="P878" s="24" t="n"/>
    </row>
    <row r="879" ht="33" customHeight="1">
      <c r="A879" s="53" t="inlineStr">
        <is>
          <t>7674K999</t>
        </is>
      </c>
      <c r="B879" s="54" t="inlineStr">
        <is>
          <t>DW-AS-711-M12</t>
        </is>
      </c>
      <c r="C879" s="54" t="inlineStr">
        <is>
          <t>Contrinex</t>
        </is>
      </c>
      <c r="D879" s="54" t="inlineStr">
        <is>
          <t>Inductive Sensor, Stainless Steel, 10mm Operating Distance, M12 Housing, M12 4-pin Connector, NPN, Normally Closed, Non-embeddable, IP68/IP69K</t>
        </is>
      </c>
      <c r="E879" s="15" t="n">
        <v>1</v>
      </c>
      <c r="F879" s="17" t="inlineStr">
        <is>
          <t>each</t>
        </is>
      </c>
      <c r="G879" s="44" t="inlineStr">
        <is>
          <t>McMaster-Carr</t>
        </is>
      </c>
      <c r="H879" s="54" t="inlineStr">
        <is>
          <t>7674K999</t>
        </is>
      </c>
      <c r="I879" s="15" t="inlineStr">
        <is>
          <t>NO</t>
        </is>
      </c>
      <c r="J879" s="56" t="n">
        <v>130.45</v>
      </c>
      <c r="K879" s="57" t="n">
        <v>45457</v>
      </c>
      <c r="L879" s="19" t="n"/>
      <c r="M879" s="20" t="n"/>
      <c r="N879" s="21" t="n"/>
      <c r="O879" s="22" t="n"/>
      <c r="P879" s="24" t="n"/>
    </row>
    <row r="880" ht="33" customHeight="1">
      <c r="A880" s="53" t="inlineStr">
        <is>
          <t>92198A683</t>
        </is>
      </c>
      <c r="B880" s="54" t="inlineStr">
        <is>
          <t>92198A683</t>
        </is>
      </c>
      <c r="C880" s="44" t="inlineStr">
        <is>
          <t>McMaster-Carr</t>
        </is>
      </c>
      <c r="D880" s="54" t="inlineStr">
        <is>
          <t>18-8 Stainless Steel Hex Head Screw
7/16"-14 Thread Size, 3-1/2" Long, Partially Threaded</t>
        </is>
      </c>
      <c r="E880" s="15" t="n">
        <v>5</v>
      </c>
      <c r="F880" s="17" t="inlineStr">
        <is>
          <t>pk</t>
        </is>
      </c>
      <c r="G880" s="44" t="inlineStr">
        <is>
          <t>McMaster-Carr</t>
        </is>
      </c>
      <c r="H880" s="54" t="inlineStr">
        <is>
          <t>92198A683</t>
        </is>
      </c>
      <c r="I880" s="15" t="inlineStr">
        <is>
          <t>NO</t>
        </is>
      </c>
      <c r="J880" s="56" t="n">
        <v>9.06</v>
      </c>
      <c r="K880" s="57" t="n">
        <v>45461</v>
      </c>
      <c r="L880" s="19" t="n"/>
      <c r="M880" s="20" t="n"/>
      <c r="N880" s="21" t="n"/>
      <c r="O880" s="22" t="n"/>
      <c r="P880" s="24" t="n"/>
    </row>
    <row r="881" ht="33" customHeight="1">
      <c r="A881" s="53" t="inlineStr">
        <is>
          <t>92210A545</t>
        </is>
      </c>
      <c r="B881" s="54" t="inlineStr">
        <is>
          <t>92210A545</t>
        </is>
      </c>
      <c r="C881" s="54" t="inlineStr">
        <is>
          <t>McMaster-Carr</t>
        </is>
      </c>
      <c r="D881" s="54" t="inlineStr">
        <is>
          <t>18-8 Stainless Steel Hex Drive Flat Head Screw 82 Degree Countersink Angle, 1/4"-20 Thread Size, 1-3/8" Long</t>
        </is>
      </c>
      <c r="E881" s="15" t="n">
        <v>25</v>
      </c>
      <c r="F881" s="17" t="inlineStr">
        <is>
          <t>pack</t>
        </is>
      </c>
      <c r="G881" s="54" t="inlineStr">
        <is>
          <t>McMaster-Carr</t>
        </is>
      </c>
      <c r="H881" s="54" t="inlineStr">
        <is>
          <t>92210A545</t>
        </is>
      </c>
      <c r="I881" s="15" t="inlineStr">
        <is>
          <t>NO</t>
        </is>
      </c>
      <c r="J881" s="56" t="n">
        <v>8.800000000000001</v>
      </c>
      <c r="K881" s="57" t="n">
        <v>45461</v>
      </c>
      <c r="L881" s="19" t="n"/>
      <c r="M881" s="20" t="n"/>
      <c r="N881" s="21" t="n"/>
      <c r="O881" s="22" t="n"/>
      <c r="P881" s="24" t="n"/>
    </row>
    <row r="882" ht="33" customHeight="1">
      <c r="A882" s="53" t="inlineStr">
        <is>
          <t>92949A535</t>
        </is>
      </c>
      <c r="B882" s="54" t="inlineStr">
        <is>
          <t>92949A535</t>
        </is>
      </c>
      <c r="C882" s="54" t="inlineStr">
        <is>
          <t>McMaster-Carr</t>
        </is>
      </c>
      <c r="D882" s="54" t="inlineStr">
        <is>
          <t>18-8 Stainless Steel Button Head Hex Drive Screw 1/4"-20 Thread Size, 3/8" Long</t>
        </is>
      </c>
      <c r="E882" s="15" t="n">
        <v>50</v>
      </c>
      <c r="F882" s="17" t="inlineStr">
        <is>
          <t>pack</t>
        </is>
      </c>
      <c r="G882" s="54" t="inlineStr">
        <is>
          <t>McMaster-Carr</t>
        </is>
      </c>
      <c r="H882" s="54" t="inlineStr">
        <is>
          <t>92949A535</t>
        </is>
      </c>
      <c r="I882" s="15" t="inlineStr">
        <is>
          <t>NO</t>
        </is>
      </c>
      <c r="J882" s="56" t="n">
        <v>7.41</v>
      </c>
      <c r="K882" s="57" t="n">
        <v>45461</v>
      </c>
      <c r="L882" s="19" t="n"/>
      <c r="M882" s="20" t="n"/>
      <c r="N882" s="21" t="n"/>
      <c r="O882" s="22" t="n"/>
      <c r="P882" s="24" t="n"/>
    </row>
    <row r="883" ht="33" customHeight="1">
      <c r="A883" s="53" t="inlineStr">
        <is>
          <t>92949A580</t>
        </is>
      </c>
      <c r="B883" s="54" t="inlineStr">
        <is>
          <t>92949A580</t>
        </is>
      </c>
      <c r="C883" s="54" t="inlineStr">
        <is>
          <t>McMaster-Carr</t>
        </is>
      </c>
      <c r="D883" s="54" t="inlineStr">
        <is>
          <t>18-8 Stainless Steel Button Head Hex Drive Screw 5/16"-18 Thread Size, 5/8" Long</t>
        </is>
      </c>
      <c r="E883" s="15" t="n">
        <v>25</v>
      </c>
      <c r="F883" s="17" t="inlineStr">
        <is>
          <t>pack</t>
        </is>
      </c>
      <c r="G883" s="54" t="inlineStr">
        <is>
          <t>McMaster-Carr</t>
        </is>
      </c>
      <c r="H883" s="54" t="inlineStr">
        <is>
          <t>92949A580</t>
        </is>
      </c>
      <c r="I883" s="15" t="inlineStr">
        <is>
          <t>NO</t>
        </is>
      </c>
      <c r="J883" s="56" t="n">
        <v>6.32</v>
      </c>
      <c r="K883" s="57" t="n">
        <v>45461</v>
      </c>
      <c r="L883" s="19" t="n"/>
      <c r="M883" s="20" t="n"/>
      <c r="N883" s="21" t="n"/>
      <c r="O883" s="22" t="n"/>
      <c r="P883" s="24" t="n"/>
    </row>
    <row r="884" ht="33" customHeight="1">
      <c r="A884" s="53" t="inlineStr">
        <is>
          <t>92949A539</t>
        </is>
      </c>
      <c r="B884" s="54" t="inlineStr">
        <is>
          <t>92949A539</t>
        </is>
      </c>
      <c r="C884" s="54" t="inlineStr">
        <is>
          <t>McMaster-Carr</t>
        </is>
      </c>
      <c r="D884" s="54" t="inlineStr">
        <is>
          <t>18-8 Stainless Steel Button Head Hex Drive Screw 1/4"-20 Thread Size, 5/8" Long</t>
        </is>
      </c>
      <c r="E884" s="15" t="n">
        <v>50</v>
      </c>
      <c r="F884" s="17" t="inlineStr">
        <is>
          <t>pack</t>
        </is>
      </c>
      <c r="G884" s="54" t="inlineStr">
        <is>
          <t>McMaster-Carr</t>
        </is>
      </c>
      <c r="H884" s="54" t="inlineStr">
        <is>
          <t>92949A539</t>
        </is>
      </c>
      <c r="I884" s="15" t="inlineStr">
        <is>
          <t>NO</t>
        </is>
      </c>
      <c r="J884" s="56" t="n">
        <v>8.52</v>
      </c>
      <c r="K884" s="57" t="n">
        <v>45461</v>
      </c>
      <c r="L884" s="19" t="n"/>
      <c r="M884" s="20" t="n"/>
      <c r="N884" s="21" t="n"/>
      <c r="O884" s="22" t="n"/>
      <c r="P884" s="24" t="n"/>
    </row>
    <row r="885" ht="33" customHeight="1">
      <c r="A885" s="53" t="inlineStr">
        <is>
          <t>91831A411</t>
        </is>
      </c>
      <c r="B885" s="54" t="inlineStr">
        <is>
          <t>91831A411</t>
        </is>
      </c>
      <c r="C885" s="54" t="inlineStr">
        <is>
          <t>McMaster-Carr</t>
        </is>
      </c>
      <c r="D885" s="54" t="inlineStr">
        <is>
          <t>18-8 Stainless Steel Nylon-Insert Locknut 10-32 Thread Size</t>
        </is>
      </c>
      <c r="E885" s="15" t="n">
        <v>50</v>
      </c>
      <c r="F885" s="17" t="inlineStr">
        <is>
          <t>pack</t>
        </is>
      </c>
      <c r="G885" s="54" t="inlineStr">
        <is>
          <t>McMaster-Carr</t>
        </is>
      </c>
      <c r="H885" s="54" t="inlineStr">
        <is>
          <t>91831A411</t>
        </is>
      </c>
      <c r="I885" s="15" t="inlineStr">
        <is>
          <t>NO</t>
        </is>
      </c>
      <c r="J885" s="56" t="n">
        <v>8.52</v>
      </c>
      <c r="K885" s="57" t="n">
        <v>45461</v>
      </c>
      <c r="L885" s="19" t="n"/>
      <c r="M885" s="20" t="n"/>
      <c r="N885" s="21" t="n"/>
      <c r="O885" s="22" t="n"/>
      <c r="P885" s="24" t="n"/>
    </row>
    <row r="886" ht="33" customHeight="1">
      <c r="A886" s="53" t="inlineStr">
        <is>
          <t>3403A321</t>
        </is>
      </c>
      <c r="B886" s="54" t="inlineStr">
        <is>
          <t>3403A321</t>
        </is>
      </c>
      <c r="C886" s="54" t="inlineStr">
        <is>
          <t>McMaster-Carr</t>
        </is>
      </c>
      <c r="D886" s="54" t="inlineStr">
        <is>
          <t>Twist-Lock L-Handle Retractable Spring Plunger 18-8 Stainless Steel Body and Nose, 3/8"-16 Thread, 3/4" Long Thread
ORDER WITHOUT THREAD LOCKER</t>
        </is>
      </c>
      <c r="E886" s="15" t="n">
        <v>1</v>
      </c>
      <c r="F886" s="17" t="inlineStr">
        <is>
          <t>each</t>
        </is>
      </c>
      <c r="G886" s="54" t="inlineStr">
        <is>
          <t>McMaster-Carr</t>
        </is>
      </c>
      <c r="H886" s="54" t="inlineStr">
        <is>
          <t>3403A321</t>
        </is>
      </c>
      <c r="I886" s="15" t="inlineStr">
        <is>
          <t>NO</t>
        </is>
      </c>
      <c r="J886" s="56" t="n">
        <v>18.72</v>
      </c>
      <c r="K886" s="57" t="n">
        <v>45463</v>
      </c>
      <c r="L886" s="19" t="n"/>
      <c r="M886" s="20" t="n"/>
      <c r="N886" s="21" t="n"/>
      <c r="O886" s="22" t="n"/>
      <c r="P886" s="24" t="n"/>
    </row>
    <row r="887" ht="33" customHeight="1">
      <c r="A887" s="53" t="inlineStr">
        <is>
          <t>94035A195</t>
        </is>
      </c>
      <c r="B887" s="54" t="inlineStr">
        <is>
          <t>94035A195</t>
        </is>
      </c>
      <c r="C887" s="54" t="inlineStr">
        <is>
          <t>McMaster-Carr</t>
        </is>
      </c>
      <c r="D887" s="54" t="inlineStr">
        <is>
          <t>18-8 Stainless Steel Precision Shoulder Screw 3/8" Shoulder Diameter, 3/16" Shoulder Length, 5/16"-18 Thread</t>
        </is>
      </c>
      <c r="E887" s="15" t="n">
        <v>1</v>
      </c>
      <c r="F887" s="17" t="inlineStr">
        <is>
          <t>each</t>
        </is>
      </c>
      <c r="G887" s="54" t="inlineStr">
        <is>
          <t>McMaster-Carr</t>
        </is>
      </c>
      <c r="H887" s="54" t="inlineStr">
        <is>
          <t>94035A195</t>
        </is>
      </c>
      <c r="I887" s="15" t="inlineStr">
        <is>
          <t>NO</t>
        </is>
      </c>
      <c r="J887" s="56" t="n">
        <v>6.81</v>
      </c>
      <c r="K887" s="57" t="n">
        <v>45463</v>
      </c>
      <c r="L887" s="19" t="n"/>
      <c r="M887" s="20" t="n"/>
      <c r="N887" s="21" t="n"/>
      <c r="O887" s="22" t="n"/>
      <c r="P887" s="24" t="n"/>
    </row>
    <row r="888" ht="84" customHeight="1">
      <c r="A888" s="53" t="inlineStr">
        <is>
          <t>OD69-20-165-165-10725</t>
        </is>
      </c>
      <c r="B888" s="54" t="inlineStr">
        <is>
          <t>OD69-20-165-165-10725</t>
        </is>
      </c>
      <c r="C888" s="54" t="inlineStr">
        <is>
          <t>One Motion</t>
        </is>
      </c>
      <c r="D888" s="54" t="inlineStr">
        <is>
          <t xml:space="preserve">Powered Pulley, IP69k, 20Nm (14.8 lb-ft) 
Single Core: 50mm (1.97") 24N/28P G3.0.7.116, 165mm (6.5"), 
For Square Drive Sprocket (165mm Diam.)
IP69kJunction Box, Conduit Threads: 1/2 NPT, 
Mounting: Two Flats(20mm) Flat Width: 35mm (1.38"), 
Offsets: 20mm (0.79") | Min:205mm (8.1") / Max:275mm (10.8") </t>
        </is>
      </c>
      <c r="E888" s="15" t="n">
        <v>1</v>
      </c>
      <c r="F888" s="17" t="inlineStr">
        <is>
          <t>each</t>
        </is>
      </c>
      <c r="G888" s="54" t="inlineStr">
        <is>
          <t>WeighTech</t>
        </is>
      </c>
      <c r="H888" s="54" t="inlineStr">
        <is>
          <t>OD69-20-165-165-10725</t>
        </is>
      </c>
      <c r="I888" s="15" t="inlineStr">
        <is>
          <t>NO</t>
        </is>
      </c>
      <c r="J888" s="56" t="n">
        <v>2632</v>
      </c>
      <c r="K888" s="57" t="n">
        <v>45463</v>
      </c>
      <c r="L888" s="19" t="n"/>
      <c r="M888" s="20" t="n"/>
      <c r="N888" s="21" t="n"/>
      <c r="O888" s="22" t="n"/>
      <c r="P888" s="24" t="n"/>
    </row>
    <row r="889" ht="33" customHeight="1">
      <c r="A889" s="53" t="inlineStr">
        <is>
          <t>OASP-INT1100-165-SQ-SS-ST-10926</t>
        </is>
      </c>
      <c r="B889" s="54" t="inlineStr">
        <is>
          <t>OASP-INT1100-165-SQ-SS-ST-10926</t>
        </is>
      </c>
      <c r="C889" s="54" t="inlineStr">
        <is>
          <t>One Motion</t>
        </is>
      </c>
      <c r="D889" s="54" t="inlineStr">
        <is>
          <t>Square Drive Sprocket, 165mm Diameter, Intralox Series 1100, 
SS 316, 0.6" Pitch, 39 Tooth, 7.46" P.D., M5 Set Screw</t>
        </is>
      </c>
      <c r="E889" s="15" t="n">
        <v>1</v>
      </c>
      <c r="F889" s="17" t="inlineStr">
        <is>
          <t>each</t>
        </is>
      </c>
      <c r="G889" s="54" t="inlineStr">
        <is>
          <t>WeighTech</t>
        </is>
      </c>
      <c r="H889" s="54" t="inlineStr">
        <is>
          <t>OASP-INT1100-165-SQ-SS-ST-10926</t>
        </is>
      </c>
      <c r="I889" s="15" t="inlineStr">
        <is>
          <t>NO</t>
        </is>
      </c>
      <c r="J889" s="56" t="n">
        <v>200</v>
      </c>
      <c r="K889" s="57" t="n">
        <v>45463</v>
      </c>
      <c r="L889" s="19" t="n"/>
      <c r="M889" s="20" t="n"/>
      <c r="N889" s="21" t="n"/>
      <c r="O889" s="22" t="n"/>
      <c r="P889" s="24" t="n"/>
    </row>
    <row r="890" ht="84" customHeight="1">
      <c r="A890" s="53" t="inlineStr">
        <is>
          <t>OD69-20-165-165-10681</t>
        </is>
      </c>
      <c r="B890" s="54" t="inlineStr">
        <is>
          <t>OD69-20-165-165-10681</t>
        </is>
      </c>
      <c r="C890" s="54" t="inlineStr">
        <is>
          <t>One Motion</t>
        </is>
      </c>
      <c r="D890" s="54" t="inlineStr">
        <is>
          <t xml:space="preserve">Powered Pulley, IP69k, 20Nm (14.8 lb-ft)
Single Core: 50mm (1.97") 24N/28P G3.0.7.116, 165mm (6.5"), 
Intralox 1100 Cut Shell, 32 Tooth, 7.07" Pitch Diam
IP69k-Junction Box, Conduit Threads: 1/2 NPT,
Mounting: Four Flats(20mm) Flat Width: 35mm (1.38"),
Offsets: 20mm (0.79") | Min:205mm (8.1") / Max:275mm (10.8") </t>
        </is>
      </c>
      <c r="E890" s="15" t="n">
        <v>1</v>
      </c>
      <c r="F890" s="17" t="inlineStr">
        <is>
          <t>each</t>
        </is>
      </c>
      <c r="G890" s="54" t="inlineStr">
        <is>
          <t>WeighTech</t>
        </is>
      </c>
      <c r="H890" s="54" t="inlineStr">
        <is>
          <t>OD69-20-165-165-10681</t>
        </is>
      </c>
      <c r="I890" s="15" t="inlineStr">
        <is>
          <t>NO</t>
        </is>
      </c>
      <c r="J890" s="56" t="n">
        <v>3262</v>
      </c>
      <c r="K890" s="57" t="n">
        <v>45463</v>
      </c>
      <c r="L890" s="19" t="n"/>
      <c r="M890" s="20" t="n"/>
      <c r="N890" s="21" t="n"/>
      <c r="O890" s="22" t="n"/>
      <c r="P890" s="24" t="n"/>
    </row>
    <row r="891" ht="33" customHeight="1">
      <c r="A891" s="53" t="inlineStr">
        <is>
          <t>ACI Number</t>
        </is>
      </c>
      <c r="B891" s="54" t="n"/>
      <c r="C891" s="54" t="n"/>
      <c r="D891" s="54" t="n"/>
      <c r="E891" s="15" t="n"/>
      <c r="F891" s="17" t="n"/>
      <c r="G891" s="54" t="n"/>
      <c r="H891" s="54" t="n"/>
      <c r="I891" s="15" t="n"/>
      <c r="J891" s="56" t="n"/>
      <c r="K891" s="57" t="n"/>
      <c r="L891" s="19" t="n"/>
      <c r="M891" s="20" t="n"/>
      <c r="N891" s="21" t="n"/>
      <c r="O891" s="22" t="n"/>
      <c r="P891" s="24" t="n"/>
    </row>
    <row r="892" ht="33" customHeight="1">
      <c r="A892" s="53" t="inlineStr">
        <is>
          <t>ACI Number</t>
        </is>
      </c>
      <c r="B892" s="54" t="inlineStr">
        <is>
          <t>Mfr Part Number</t>
        </is>
      </c>
      <c r="C892" s="54" t="inlineStr">
        <is>
          <t>Mfr</t>
        </is>
      </c>
      <c r="D892" s="54" t="inlineStr">
        <is>
          <t>Description</t>
        </is>
      </c>
      <c r="E892" s="15" t="inlineStr">
        <is>
          <t>QTY</t>
        </is>
      </c>
      <c r="F892" s="17" t="inlineStr">
        <is>
          <t>Unit</t>
        </is>
      </c>
      <c r="G892" s="54" t="inlineStr">
        <is>
          <t>Vendor</t>
        </is>
      </c>
      <c r="H892" s="54" t="inlineStr">
        <is>
          <t>Vendor Part Number</t>
        </is>
      </c>
      <c r="I892" s="15" t="inlineStr">
        <is>
          <t>Legacy</t>
        </is>
      </c>
      <c r="J892" s="56" t="inlineStr">
        <is>
          <t>Price</t>
        </is>
      </c>
      <c r="K892" s="57" t="inlineStr">
        <is>
          <t>Percent Change</t>
        </is>
      </c>
      <c r="L892" s="19" t="inlineStr">
        <is>
          <t>Old Price</t>
        </is>
      </c>
      <c r="M892" s="20" t="inlineStr">
        <is>
          <t>Last Updated</t>
        </is>
      </c>
      <c r="N892" s="21" t="inlineStr">
        <is>
          <t>Price History CVS</t>
        </is>
      </c>
      <c r="O892" s="22" t="inlineStr">
        <is>
          <t>Spare Parts</t>
        </is>
      </c>
      <c r="P892" s="24" t="n"/>
    </row>
    <row r="893" ht="33" customHeight="1">
      <c r="A893" s="53" t="inlineStr">
        <is>
          <t>ACI Number</t>
        </is>
      </c>
      <c r="B893" s="54" t="inlineStr">
        <is>
          <t>Mfr Part Number</t>
        </is>
      </c>
      <c r="C893" s="54" t="inlineStr">
        <is>
          <t>Mfr</t>
        </is>
      </c>
      <c r="D893" s="54" t="inlineStr">
        <is>
          <t>Description</t>
        </is>
      </c>
      <c r="E893" s="15" t="inlineStr">
        <is>
          <t>QTY</t>
        </is>
      </c>
      <c r="F893" s="17" t="inlineStr">
        <is>
          <t>Unit</t>
        </is>
      </c>
      <c r="G893" s="54" t="inlineStr">
        <is>
          <t>Vendor</t>
        </is>
      </c>
      <c r="H893" s="54" t="inlineStr">
        <is>
          <t>Vendor Part Number</t>
        </is>
      </c>
      <c r="I893" s="15" t="inlineStr">
        <is>
          <t>Legacy</t>
        </is>
      </c>
      <c r="J893" s="56" t="inlineStr">
        <is>
          <t>Price</t>
        </is>
      </c>
      <c r="K893" s="57" t="inlineStr">
        <is>
          <t>Updated</t>
        </is>
      </c>
      <c r="L893" s="19" t="inlineStr">
        <is>
          <t>Percent Change</t>
        </is>
      </c>
      <c r="M893" s="20" t="inlineStr">
        <is>
          <t>Old Price</t>
        </is>
      </c>
      <c r="N893" s="21" t="inlineStr">
        <is>
          <t>Last Updated</t>
        </is>
      </c>
      <c r="O893" s="22" t="inlineStr">
        <is>
          <t>Price History CVS</t>
        </is>
      </c>
      <c r="P893" s="24" t="inlineStr">
        <is>
          <t>Spare Parts</t>
        </is>
      </c>
    </row>
    <row r="894" ht="33" customHeight="1">
      <c r="A894" s="53" t="inlineStr">
        <is>
          <t>ACI Number</t>
        </is>
      </c>
      <c r="B894" s="54" t="inlineStr">
        <is>
          <t>Mfr Part Number</t>
        </is>
      </c>
      <c r="C894" s="54" t="inlineStr">
        <is>
          <t>Mfr</t>
        </is>
      </c>
      <c r="D894" s="54" t="inlineStr">
        <is>
          <t>Description</t>
        </is>
      </c>
      <c r="E894" s="15" t="inlineStr">
        <is>
          <t>QTY</t>
        </is>
      </c>
      <c r="F894" s="17" t="inlineStr">
        <is>
          <t>Unit</t>
        </is>
      </c>
      <c r="G894" s="54" t="inlineStr">
        <is>
          <t>Vendor</t>
        </is>
      </c>
      <c r="H894" s="54" t="inlineStr">
        <is>
          <t>Vendor Part Number</t>
        </is>
      </c>
      <c r="I894" s="15" t="inlineStr">
        <is>
          <t>Legacy</t>
        </is>
      </c>
      <c r="J894" s="56" t="inlineStr">
        <is>
          <t>Price</t>
        </is>
      </c>
      <c r="K894" s="57" t="inlineStr">
        <is>
          <t>Updated</t>
        </is>
      </c>
      <c r="L894" s="19" t="inlineStr">
        <is>
          <t>Percent Change</t>
        </is>
      </c>
      <c r="M894" s="20" t="inlineStr">
        <is>
          <t>Old Price</t>
        </is>
      </c>
      <c r="N894" s="21" t="inlineStr">
        <is>
          <t>Last Updated</t>
        </is>
      </c>
      <c r="O894" s="22" t="inlineStr">
        <is>
          <t>Price History CVS</t>
        </is>
      </c>
      <c r="P894" s="24" t="inlineStr">
        <is>
          <t>Spare Parts</t>
        </is>
      </c>
    </row>
    <row r="895" ht="33" customHeight="1">
      <c r="A895" s="53" t="inlineStr">
        <is>
          <t>ACI Number</t>
        </is>
      </c>
      <c r="B895" s="54" t="inlineStr">
        <is>
          <t>Mfr Part Number</t>
        </is>
      </c>
      <c r="C895" s="54" t="inlineStr">
        <is>
          <t>Mfr</t>
        </is>
      </c>
      <c r="D895" s="54" t="inlineStr">
        <is>
          <t>Description</t>
        </is>
      </c>
      <c r="E895" s="15" t="inlineStr">
        <is>
          <t>QTY</t>
        </is>
      </c>
      <c r="F895" s="17" t="inlineStr">
        <is>
          <t>Unit</t>
        </is>
      </c>
      <c r="G895" s="54" t="inlineStr">
        <is>
          <t>Vendor</t>
        </is>
      </c>
      <c r="H895" s="54" t="inlineStr">
        <is>
          <t>Vendor Part Number</t>
        </is>
      </c>
      <c r="I895" s="15" t="inlineStr">
        <is>
          <t>Legacy</t>
        </is>
      </c>
      <c r="J895" s="56" t="inlineStr">
        <is>
          <t>Price</t>
        </is>
      </c>
      <c r="K895" s="57" t="inlineStr">
        <is>
          <t>Updated</t>
        </is>
      </c>
      <c r="L895" s="19" t="inlineStr">
        <is>
          <t>Percent Change</t>
        </is>
      </c>
      <c r="M895" s="20" t="inlineStr">
        <is>
          <t>Old Price</t>
        </is>
      </c>
      <c r="N895" s="21" t="inlineStr">
        <is>
          <t>Last Updated</t>
        </is>
      </c>
      <c r="O895" s="22" t="inlineStr">
        <is>
          <t>Price History CVS</t>
        </is>
      </c>
      <c r="P895" s="24" t="inlineStr">
        <is>
          <t>Spare Parts</t>
        </is>
      </c>
    </row>
    <row r="896" ht="33" customHeight="1">
      <c r="A896" s="53" t="inlineStr">
        <is>
          <t>ACI Number</t>
        </is>
      </c>
      <c r="B896" s="54" t="inlineStr">
        <is>
          <t>Mfr Part Number</t>
        </is>
      </c>
      <c r="C896" s="54" t="inlineStr">
        <is>
          <t>Mfr</t>
        </is>
      </c>
      <c r="D896" s="54" t="inlineStr">
        <is>
          <t>Description</t>
        </is>
      </c>
      <c r="E896" s="15" t="inlineStr">
        <is>
          <t>QTY</t>
        </is>
      </c>
      <c r="F896" s="17" t="inlineStr">
        <is>
          <t>Unit</t>
        </is>
      </c>
      <c r="G896" s="54" t="inlineStr">
        <is>
          <t>Vendor</t>
        </is>
      </c>
      <c r="H896" s="54" t="inlineStr">
        <is>
          <t>Vendor Part Number</t>
        </is>
      </c>
      <c r="I896" s="15" t="inlineStr">
        <is>
          <t>Legacy</t>
        </is>
      </c>
      <c r="J896" s="56" t="inlineStr">
        <is>
          <t>Price</t>
        </is>
      </c>
      <c r="K896" s="57" t="n">
        <v>45469</v>
      </c>
      <c r="L896" s="19" t="inlineStr">
        <is>
          <t>Percent Change</t>
        </is>
      </c>
      <c r="M896" s="20" t="n"/>
      <c r="N896" s="21" t="n"/>
      <c r="O896" s="22" t="n"/>
      <c r="P896" s="24" t="n"/>
    </row>
    <row r="897" ht="33" customHeight="1">
      <c r="A897" s="53" t="inlineStr">
        <is>
          <t>12</t>
        </is>
      </c>
      <c r="B897" s="54" t="inlineStr">
        <is>
          <t>Not Found</t>
        </is>
      </c>
      <c r="C897" s="54" t="inlineStr">
        <is>
          <t>Not Found</t>
        </is>
      </c>
      <c r="D897" s="54" t="inlineStr">
        <is>
          <t>18-8 Stainless Steel Button Head Hex Drive Screw
1/4"-20 Thread Size, 5/8" Long</t>
        </is>
      </c>
      <c r="E897" s="15" t="inlineStr">
        <is>
          <t>50</t>
        </is>
      </c>
      <c r="F897" s="17" t="inlineStr">
        <is>
          <t>Packs</t>
        </is>
      </c>
      <c r="G897" s="54" t="inlineStr">
        <is>
          <t>McMaster-Carr</t>
        </is>
      </c>
      <c r="H897" s="54" t="inlineStr">
        <is>
          <t>92949A539</t>
        </is>
      </c>
      <c r="I897" s="15" t="inlineStr">
        <is>
          <t>Legacy12</t>
        </is>
      </c>
      <c r="J897" s="56" t="inlineStr">
        <is>
          <t xml:space="preserve">8.52 </t>
        </is>
      </c>
      <c r="K897" s="57" t="inlineStr">
        <is>
          <t>-0.06</t>
        </is>
      </c>
      <c r="L897" s="19" t="inlineStr">
        <is>
          <t>09/25/2024</t>
        </is>
      </c>
      <c r="M897" s="20" t="n"/>
      <c r="N897" s="21" t="n"/>
      <c r="O897" s="22" t="n"/>
      <c r="P897" s="24" t="n"/>
    </row>
    <row r="898" ht="33" customHeight="1">
      <c r="A898" s="53" t="inlineStr">
        <is>
          <t>ACI Number</t>
        </is>
      </c>
      <c r="B898" s="54" t="inlineStr">
        <is>
          <t>Mfr Part Number</t>
        </is>
      </c>
      <c r="C898" s="54" t="inlineStr">
        <is>
          <t>Mfr</t>
        </is>
      </c>
      <c r="D898" s="54" t="inlineStr">
        <is>
          <t>Description</t>
        </is>
      </c>
      <c r="E898" s="15" t="inlineStr">
        <is>
          <t>QTY</t>
        </is>
      </c>
      <c r="F898" s="17" t="inlineStr">
        <is>
          <t>Unit</t>
        </is>
      </c>
      <c r="G898" s="54" t="inlineStr">
        <is>
          <t>Vendor</t>
        </is>
      </c>
      <c r="H898" s="54" t="inlineStr">
        <is>
          <t>Vendor Part Number</t>
        </is>
      </c>
      <c r="I898" s="15" t="inlineStr">
        <is>
          <t>Legacy</t>
        </is>
      </c>
      <c r="J898" s="56" t="inlineStr">
        <is>
          <t>Price</t>
        </is>
      </c>
      <c r="K898" s="57" t="n">
        <v>45469</v>
      </c>
      <c r="L898" s="19" t="inlineStr">
        <is>
          <t>Percent Change</t>
        </is>
      </c>
      <c r="M898" s="20" t="n"/>
      <c r="N898" s="21" t="n"/>
      <c r="O898" s="22" t="n"/>
      <c r="P898" s="24" t="n"/>
    </row>
    <row r="899" ht="33" customHeight="1">
      <c r="A899" s="53" t="inlineStr">
        <is>
          <t>ACI Number</t>
        </is>
      </c>
      <c r="B899" s="54" t="inlineStr">
        <is>
          <t>Mfr Part Number</t>
        </is>
      </c>
      <c r="C899" s="54" t="inlineStr">
        <is>
          <t>Mfr</t>
        </is>
      </c>
      <c r="D899" s="54" t="inlineStr">
        <is>
          <t>Description</t>
        </is>
      </c>
      <c r="E899" s="15" t="inlineStr">
        <is>
          <t>QTY</t>
        </is>
      </c>
      <c r="F899" s="17" t="inlineStr">
        <is>
          <t>Unit</t>
        </is>
      </c>
      <c r="G899" s="54" t="inlineStr">
        <is>
          <t>Vendor</t>
        </is>
      </c>
      <c r="H899" s="54" t="inlineStr">
        <is>
          <t>Vendor Part Number</t>
        </is>
      </c>
      <c r="I899" s="15" t="inlineStr">
        <is>
          <t>Legacy</t>
        </is>
      </c>
      <c r="J899" s="56" t="inlineStr">
        <is>
          <t>Price</t>
        </is>
      </c>
      <c r="K899" s="57" t="n">
        <v>45469</v>
      </c>
      <c r="L899" s="19" t="inlineStr">
        <is>
          <t>Percent Change</t>
        </is>
      </c>
      <c r="M899" s="20" t="n"/>
      <c r="N899" s="21" t="n"/>
      <c r="O899" s="22" t="n"/>
      <c r="P899" s="24" t="n"/>
    </row>
    <row r="900" ht="33" customHeight="1">
      <c r="A900" s="53" t="inlineStr">
        <is>
          <t>ACI Number</t>
        </is>
      </c>
      <c r="B900" s="54" t="inlineStr">
        <is>
          <t>Mfr Part Number</t>
        </is>
      </c>
      <c r="C900" s="54" t="inlineStr">
        <is>
          <t>Mfr</t>
        </is>
      </c>
      <c r="D900" s="54" t="inlineStr">
        <is>
          <t>Description</t>
        </is>
      </c>
      <c r="E900" s="15" t="inlineStr">
        <is>
          <t>QTY</t>
        </is>
      </c>
      <c r="F900" s="17" t="inlineStr">
        <is>
          <t>Unit</t>
        </is>
      </c>
      <c r="G900" s="54" t="inlineStr">
        <is>
          <t>Vendor</t>
        </is>
      </c>
      <c r="H900" s="54" t="inlineStr">
        <is>
          <t>Vendor Part Number</t>
        </is>
      </c>
      <c r="I900" s="15" t="inlineStr">
        <is>
          <t>Legacy</t>
        </is>
      </c>
      <c r="J900" s="56" t="inlineStr">
        <is>
          <t>Price</t>
        </is>
      </c>
      <c r="K900" s="57" t="n">
        <v>45469</v>
      </c>
      <c r="L900" s="19" t="inlineStr">
        <is>
          <t>Percent Change</t>
        </is>
      </c>
      <c r="M900" s="20" t="n"/>
      <c r="N900" s="21" t="n"/>
      <c r="O900" s="22" t="n"/>
      <c r="P900" s="24" t="n"/>
    </row>
    <row r="901" ht="33" customHeight="1">
      <c r="A901" s="53" t="n">
        <v>232</v>
      </c>
      <c r="B901" s="54" t="inlineStr">
        <is>
          <t>NOT FOUND</t>
        </is>
      </c>
      <c r="C901" s="54" t="inlineStr">
        <is>
          <t>McMaster-Carr</t>
        </is>
      </c>
      <c r="D901" s="54" t="inlineStr">
        <is>
          <t>18-8 Stainless Steel Button Head Hex Drive Screw 5/16"-18 Thread Size, 5/8" Long</t>
        </is>
      </c>
      <c r="E901" s="15" t="n"/>
      <c r="F901" s="17" t="n"/>
      <c r="G901" s="54" t="inlineStr">
        <is>
          <t>McMaster-Carr</t>
        </is>
      </c>
      <c r="H901" s="54" t="inlineStr">
        <is>
          <t>92949A580</t>
        </is>
      </c>
      <c r="I901" s="15" t="n"/>
      <c r="J901" s="56" t="inlineStr">
        <is>
          <t>$6.32 per pack of 25</t>
        </is>
      </c>
      <c r="K901" s="57" t="n">
        <v>45469</v>
      </c>
      <c r="L901" s="19" t="n"/>
      <c r="M901" s="20" t="n"/>
      <c r="N901" s="21" t="n"/>
      <c r="O901" s="22" t="n"/>
      <c r="P901" s="24" t="n"/>
    </row>
    <row r="902" ht="33" customHeight="1">
      <c r="A902" s="53" t="n">
        <v>1231</v>
      </c>
      <c r="B902" s="54" t="inlineStr">
        <is>
          <t>NOT FOUND</t>
        </is>
      </c>
      <c r="C902" s="54" t="inlineStr">
        <is>
          <t>McMaster-Carr</t>
        </is>
      </c>
      <c r="D902" s="54" t="inlineStr">
        <is>
          <t xml:space="preserve">End Cover for One Circuit with Spring-Clamp Quick&amp;Secure Modular DIN-Rail Terminal Block </t>
        </is>
      </c>
      <c r="E902" s="15" t="n"/>
      <c r="F902" s="17" t="n"/>
      <c r="G902" s="54" t="inlineStr">
        <is>
          <t>McMaster-Carr</t>
        </is>
      </c>
      <c r="H902" s="54" t="inlineStr">
        <is>
          <t>9473T191</t>
        </is>
      </c>
      <c r="I902" s="15" t="n"/>
      <c r="J902" s="56" t="inlineStr">
        <is>
          <t>NOT FOUND</t>
        </is>
      </c>
      <c r="K902" s="57" t="n">
        <v>45469</v>
      </c>
      <c r="L902" s="19" t="n"/>
      <c r="M902" s="20" t="n"/>
      <c r="N902" s="21" t="n"/>
      <c r="O902" s="22" t="n"/>
      <c r="P902" s="24" t="n"/>
    </row>
    <row r="903" ht="33" customHeight="1">
      <c r="A903" s="53" t="n">
        <v>13</v>
      </c>
      <c r="B903" s="54" t="n">
        <v>13</v>
      </c>
      <c r="C903" s="54" t="n">
        <v>131</v>
      </c>
      <c r="D903" s="54" t="n">
        <v>13</v>
      </c>
      <c r="E903" s="15" t="n">
        <v>13</v>
      </c>
      <c r="F903" s="17" t="n">
        <v>13</v>
      </c>
      <c r="G903" s="54" t="n">
        <v>13</v>
      </c>
      <c r="H903" s="54" t="n">
        <v>13</v>
      </c>
      <c r="I903" s="15" t="n">
        <v>13</v>
      </c>
      <c r="J903" s="56" t="n">
        <v>13</v>
      </c>
      <c r="K903" s="57" t="n">
        <v>45470</v>
      </c>
      <c r="L903" s="19" t="n">
        <v>13</v>
      </c>
      <c r="M903" s="20" t="n"/>
      <c r="N903" s="21" t="n"/>
      <c r="O903" s="22" t="n"/>
      <c r="P903" s="24" t="n"/>
    </row>
    <row r="904" ht="33" customHeight="1">
      <c r="A904" s="53" t="n">
        <v>1212</v>
      </c>
      <c r="B904" s="54" t="inlineStr">
        <is>
          <t>NOT FOUND</t>
        </is>
      </c>
      <c r="C904" s="54" t="inlineStr">
        <is>
          <t>McMaster-Carr</t>
        </is>
      </c>
      <c r="D904" s="54" t="inlineStr">
        <is>
          <t>NOT FOUND</t>
        </is>
      </c>
      <c r="E904" s="15" t="n"/>
      <c r="F904" s="17" t="n"/>
      <c r="G904" s="54" t="inlineStr">
        <is>
          <t>McMaster-Carr</t>
        </is>
      </c>
      <c r="H904" s="54" t="n">
        <v>123</v>
      </c>
      <c r="I904" s="15" t="n"/>
      <c r="J904" s="56" t="inlineStr">
        <is>
          <t>NOT FOUND</t>
        </is>
      </c>
      <c r="K904" s="57" t="n">
        <v>45470</v>
      </c>
      <c r="L904" s="19" t="n"/>
      <c r="M904" s="20" t="n"/>
      <c r="N904" s="21" t="n"/>
      <c r="O904" s="22" t="n"/>
      <c r="P904" s="24" t="n"/>
    </row>
    <row r="905" ht="33" customHeight="1">
      <c r="A905" s="53" t="inlineStr">
        <is>
          <t>14</t>
        </is>
      </c>
      <c r="B905" s="54" t="inlineStr">
        <is>
          <t>Not Found</t>
        </is>
      </c>
      <c r="C905" s="54" t="inlineStr">
        <is>
          <t>Not Found</t>
        </is>
      </c>
      <c r="D905" s="54" t="inlineStr">
        <is>
          <t>18-8 Stainless Steel Button Head Hex Drive Screw
1/4"-20 Thread Size, 5/8" Long</t>
        </is>
      </c>
      <c r="E905" s="15" t="inlineStr">
        <is>
          <t>50</t>
        </is>
      </c>
      <c r="F905" s="17" t="inlineStr">
        <is>
          <t>Packs</t>
        </is>
      </c>
      <c r="G905" s="54" t="inlineStr">
        <is>
          <t>McMaster-Carr</t>
        </is>
      </c>
      <c r="H905" s="54" t="inlineStr">
        <is>
          <t>92949A539</t>
        </is>
      </c>
      <c r="I905" s="15" t="inlineStr">
        <is>
          <t>None</t>
        </is>
      </c>
      <c r="J905" s="56" t="inlineStr">
        <is>
          <t xml:space="preserve">8.52 </t>
        </is>
      </c>
      <c r="K905" s="57" t="inlineStr">
        <is>
          <t>0.0</t>
        </is>
      </c>
      <c r="L905" s="19" t="inlineStr">
        <is>
          <t>09/24/2024</t>
        </is>
      </c>
      <c r="M905" s="20" t="n"/>
      <c r="N905" s="21" t="n"/>
      <c r="O905" s="22" t="n"/>
      <c r="P905" s="24" t="n"/>
    </row>
    <row r="906" ht="33" customHeight="1">
      <c r="A906" s="53" t="inlineStr">
        <is>
          <t>15</t>
        </is>
      </c>
      <c r="B906" s="54" t="inlineStr">
        <is>
          <t>d</t>
        </is>
      </c>
      <c r="C906" s="54" t="inlineStr">
        <is>
          <t>d</t>
        </is>
      </c>
      <c r="D906" s="54" t="inlineStr">
        <is>
          <t>sdfsdfsdf</t>
        </is>
      </c>
      <c r="E906" s="15" t="inlineStr">
        <is>
          <t>4</t>
        </is>
      </c>
      <c r="F906" s="17" t="inlineStr">
        <is>
          <t>4</t>
        </is>
      </c>
      <c r="G906" s="54" t="inlineStr">
        <is>
          <t>4</t>
        </is>
      </c>
      <c r="H906" s="54" t="inlineStr">
        <is>
          <t>4</t>
        </is>
      </c>
      <c r="I906" s="15" t="inlineStr">
        <is>
          <t>sss</t>
        </is>
      </c>
      <c r="J906" s="82" t="inlineStr">
        <is>
          <t>5555</t>
        </is>
      </c>
      <c r="K906" s="57" t="inlineStr">
        <is>
          <t>ss</t>
        </is>
      </c>
      <c r="L906" s="19" t="inlineStr">
        <is>
          <t>69</t>
        </is>
      </c>
      <c r="M906" s="20" t="n"/>
      <c r="N906" s="21" t="n"/>
      <c r="O906" s="22" t="n"/>
      <c r="P906" s="24" t="n"/>
    </row>
    <row r="907" ht="33" customHeight="1">
      <c r="A907" s="53" t="inlineStr">
        <is>
          <t>New Entry2</t>
        </is>
      </c>
      <c r="B907" s="54" t="n">
        <v>692</v>
      </c>
      <c r="C907" s="54" t="inlineStr">
        <is>
          <t>ACI2</t>
        </is>
      </c>
      <c r="D907" s="54" t="inlineStr">
        <is>
          <t>ACI D2</t>
        </is>
      </c>
      <c r="E907" s="15" t="n">
        <v>32</v>
      </c>
      <c r="F907" s="17" t="inlineStr">
        <is>
          <t>per pack2</t>
        </is>
      </c>
      <c r="G907" s="54" t="inlineStr">
        <is>
          <t>ACI2</t>
        </is>
      </c>
      <c r="H907" s="54" t="inlineStr">
        <is>
          <t>ACI692</t>
        </is>
      </c>
      <c r="I907" s="15" t="inlineStr">
        <is>
          <t>NO2</t>
        </is>
      </c>
      <c r="J907" s="56" t="n">
        <v>420.692</v>
      </c>
      <c r="K907" s="57" t="n">
        <v>45470</v>
      </c>
      <c r="L907" s="19" t="n">
        <v>234</v>
      </c>
      <c r="M907" s="20" t="n"/>
      <c r="N907" s="21" t="n"/>
      <c r="O907" s="22" t="n"/>
      <c r="P907" s="24" t="n"/>
    </row>
    <row r="908" ht="33" customHeight="1">
      <c r="A908" s="53" t="inlineStr">
        <is>
          <t>16-f</t>
        </is>
      </c>
      <c r="B908" s="54" t="n"/>
      <c r="C908" s="54" t="n"/>
      <c r="D908" s="54" t="inlineStr">
        <is>
          <t>18-8 Stainless Steel Button Head Hex Drive Screw
5/16"-18 Thread Size, 5/8" Long</t>
        </is>
      </c>
      <c r="E908" s="15" t="inlineStr">
        <is>
          <t>25</t>
        </is>
      </c>
      <c r="F908" s="17" t="inlineStr">
        <is>
          <t>pack</t>
        </is>
      </c>
      <c r="G908" s="54" t="inlineStr">
        <is>
          <t>McMaster-Carr</t>
        </is>
      </c>
      <c r="H908" s="54" t="inlineStr">
        <is>
          <t>92949A580</t>
        </is>
      </c>
      <c r="I908" s="15" t="n"/>
      <c r="J908" s="56" t="n">
        <v>5.87</v>
      </c>
      <c r="K908" s="57" t="n">
        <v>45946</v>
      </c>
      <c r="L908" s="19" t="n">
        <v>0</v>
      </c>
      <c r="M908" s="20" t="n">
        <v>6.32</v>
      </c>
      <c r="N908" s="21" t="n">
        <v>45553</v>
      </c>
      <c r="O908" s="22" t="inlineStr">
        <is>
          <t>Date: 09/18/2024 Price: 6.32</t>
        </is>
      </c>
      <c r="P908" s="24" t="n"/>
    </row>
    <row r="909" ht="33" customHeight="1">
      <c r="A909" s="53" t="n">
        <v>17</v>
      </c>
      <c r="B909" s="54" t="inlineStr">
        <is>
          <t>56JA41</t>
        </is>
      </c>
      <c r="C909" s="54" t="inlineStr">
        <is>
          <t>U.S. MOTORS</t>
        </is>
      </c>
      <c r="D909" s="54" t="inlineStr">
        <is>
          <t>U.S. MOTORS Air Compressor Motor: Capacitor-Start, 1/3 hp Horsepower, 1,725 RPM RPM, 115/230V AC</t>
        </is>
      </c>
      <c r="E909" s="15" t="inlineStr">
        <is>
          <t>1</t>
        </is>
      </c>
      <c r="F909" s="17" t="inlineStr">
        <is>
          <t>each</t>
        </is>
      </c>
      <c r="G909" s="54" t="inlineStr">
        <is>
          <t>Grainger</t>
        </is>
      </c>
      <c r="H909" s="54" t="inlineStr">
        <is>
          <t>56JA41</t>
        </is>
      </c>
      <c r="I909" s="15" t="n"/>
      <c r="J909" s="100" t="n">
        <v>441.91</v>
      </c>
      <c r="K909" s="57" t="n">
        <v>45967</v>
      </c>
      <c r="L909" s="19" t="n">
        <v>0</v>
      </c>
      <c r="M909" s="101" t="n">
        <v>419.52</v>
      </c>
      <c r="N909" s="21" t="n">
        <v>45559</v>
      </c>
      <c r="O909" s="22" t="inlineStr">
        <is>
          <t>Date: 09/24/2024 Price: 419.52</t>
        </is>
      </c>
      <c r="P909" s="24" t="n"/>
    </row>
    <row r="910" ht="40.5" customHeight="1">
      <c r="A910" s="14" t="inlineStr">
        <is>
          <t>20</t>
        </is>
      </c>
      <c r="B910" s="15" t="inlineStr">
        <is>
          <t>Mfr. Model 88000-06-04</t>
        </is>
      </c>
      <c r="C910" s="15" t="inlineStr">
        <is>
          <t>AIGNEP USA</t>
        </is>
      </c>
      <c r="D910" s="15" t="inlineStr">
        <is>
          <t>Description: Male Adapter: Nickel Plated Brass, Push-to-Connect x MNPT, For 3/8 in Tube OD, Imperial, 10 PK</t>
        </is>
      </c>
      <c r="E910" s="15" t="inlineStr">
        <is>
          <t>/ pkg. of 10</t>
        </is>
      </c>
      <c r="F910" s="17" t="inlineStr">
        <is>
          <t>Male Adapter: Nickel Plated Brass, Push-to-Connect x MNPT, For 3/8 in Tube OD, Imperial, 10 PK</t>
        </is>
      </c>
      <c r="G910" s="15" t="inlineStr">
        <is>
          <t>Grainger</t>
        </is>
      </c>
      <c r="H910" s="15" t="inlineStr">
        <is>
          <t>6MN05</t>
        </is>
      </c>
      <c r="I910" s="15" t="inlineStr">
        <is>
          <t>NO</t>
        </is>
      </c>
      <c r="J910" s="18" t="inlineStr">
        <is>
          <t>$57.60</t>
        </is>
      </c>
      <c r="K910" s="21" t="inlineStr">
        <is>
          <t>2024-06-05 00:00:00</t>
        </is>
      </c>
      <c r="L910" s="19" t="n">
        <v>0</v>
      </c>
      <c r="M910" s="31" t="n">
        <v>52.47</v>
      </c>
      <c r="N910" s="21" t="n">
        <v>45448</v>
      </c>
      <c r="O910" s="22" t="inlineStr">
        <is>
          <t>, 2/15/2024, 28.63, 2/26/2024, 52.47, 6/5/2024, 0</t>
        </is>
      </c>
      <c r="P910" s="24" t="n"/>
    </row>
    <row r="911" ht="40.5" customHeight="1">
      <c r="A911" s="14" t="n">
        <v>19</v>
      </c>
      <c r="B911" s="15" t="inlineStr">
        <is>
          <t>Mfr. Model 88000-06-04</t>
        </is>
      </c>
      <c r="C911" s="15" t="inlineStr">
        <is>
          <t>na</t>
        </is>
      </c>
      <c r="D911" s="15" t="inlineStr">
        <is>
          <t>Male Adapter: Nickel Plated Brass, Push-to-Connect x MNPT, For 3/8 in Tube OD, Imperial, 10 PK</t>
        </is>
      </c>
      <c r="E911" s="15" t="inlineStr">
        <is>
          <t>10</t>
        </is>
      </c>
      <c r="F911" s="17" t="inlineStr">
        <is>
          <t>/ pkg. of 10</t>
        </is>
      </c>
      <c r="G911" s="15" t="inlineStr">
        <is>
          <t>Grainger</t>
        </is>
      </c>
      <c r="H911" s="15" t="inlineStr">
        <is>
          <t>6MN05</t>
        </is>
      </c>
      <c r="I911" s="15" t="inlineStr">
        <is>
          <t>NO</t>
        </is>
      </c>
      <c r="J911" s="18" t="inlineStr">
        <is>
          <t>$57.60</t>
        </is>
      </c>
      <c r="K911" s="21" t="inlineStr">
        <is>
          <t>Unit: / pkg. of 10</t>
        </is>
      </c>
      <c r="L911" s="19" t="n"/>
      <c r="M911" s="31" t="n"/>
      <c r="N911" s="21" t="n"/>
      <c r="O911" s="22" t="n"/>
      <c r="P911" s="24" t="n"/>
    </row>
    <row r="912" ht="33" customHeight="1">
      <c r="A912" s="53" t="n">
        <v>20</v>
      </c>
      <c r="B912" s="54" t="inlineStr">
        <is>
          <t>QBL-1/8-1/4-U-M</t>
        </is>
      </c>
      <c r="C912" s="54" t="inlineStr">
        <is>
          <t>Festo</t>
        </is>
      </c>
      <c r="D912" s="54" t="inlineStr">
        <is>
          <t>Push-in L-fitting (Pack size: 10)QBL-1/8-1/4-U-M</t>
        </is>
      </c>
      <c r="E912" s="15" t="n">
        <v>10</v>
      </c>
      <c r="F912" s="17" t="inlineStr">
        <is>
          <t>pcs</t>
        </is>
      </c>
      <c r="G912" s="54" t="inlineStr">
        <is>
          <t>Festo</t>
        </is>
      </c>
      <c r="H912" s="54" t="n">
        <v>533235</v>
      </c>
      <c r="I912" s="15" t="inlineStr">
        <is>
          <t>NO</t>
        </is>
      </c>
      <c r="J912" s="56" t="n">
        <v>31.7</v>
      </c>
      <c r="K912" s="57" t="n">
        <v>45449</v>
      </c>
      <c r="L912" s="19" t="n"/>
      <c r="M912" s="20" t="n"/>
      <c r="N912" s="21" t="n"/>
      <c r="O912" s="22" t="n"/>
      <c r="P912" s="24" t="n"/>
    </row>
    <row r="913" ht="33" customHeight="1">
      <c r="A913" s="53" t="inlineStr">
        <is>
          <t>21</t>
        </is>
      </c>
      <c r="B913" s="54" t="inlineStr">
        <is>
          <t>SMT-8M-A-PS-24V-E-0,3-M8D</t>
        </is>
      </c>
      <c r="C913" s="54" t="inlineStr">
        <is>
          <t>Festo</t>
        </is>
      </c>
      <c r="D913" s="54" t="inlineStr">
        <is>
          <t>Proximity sensor SMBK-8</t>
        </is>
      </c>
      <c r="E913" s="15" t="inlineStr">
        <is>
          <t>1</t>
        </is>
      </c>
      <c r="F913" s="17" t="inlineStr">
        <is>
          <t>Pieces</t>
        </is>
      </c>
      <c r="G913" s="54" t="inlineStr">
        <is>
          <t>Festo</t>
        </is>
      </c>
      <c r="H913" s="54" t="inlineStr">
        <is>
          <t>574334</t>
        </is>
      </c>
      <c r="I913" s="15" t="inlineStr">
        <is>
          <t>NO</t>
        </is>
      </c>
      <c r="J913" s="56" t="inlineStr">
        <is>
          <t>52.25</t>
        </is>
      </c>
      <c r="K913" s="57" t="inlineStr">
        <is>
          <t>0.0</t>
        </is>
      </c>
      <c r="L913" s="19" t="inlineStr">
        <is>
          <t>09/25/2024</t>
        </is>
      </c>
      <c r="M913" s="20" t="n">
        <v>45.2</v>
      </c>
      <c r="N913" s="21" t="n">
        <v>45089</v>
      </c>
      <c r="O913" s="22" t="inlineStr">
        <is>
          <t>, 6/12/2023, 45.2, 2/15/2024, 45.2, 2/26/2024, 45.2, 5/13/2024, 45.2</t>
        </is>
      </c>
      <c r="P913" s="24" t="n"/>
    </row>
    <row r="914" ht="33" customHeight="1">
      <c r="A914" s="53" t="inlineStr">
        <is>
          <t>22</t>
        </is>
      </c>
      <c r="B914" s="54" t="n"/>
      <c r="C914" s="54" t="n"/>
      <c r="D914" s="54" t="inlineStr">
        <is>
          <t>Nylon Four Arm Knob
with 1/2"-13 Threaded Stud</t>
        </is>
      </c>
      <c r="E914" s="15" t="inlineStr">
        <is>
          <t>1</t>
        </is>
      </c>
      <c r="F914" s="17" t="inlineStr">
        <is>
          <t>Each</t>
        </is>
      </c>
      <c r="G914" s="54" t="inlineStr">
        <is>
          <t>McMaster-Carr</t>
        </is>
      </c>
      <c r="H914" s="54" t="inlineStr">
        <is>
          <t>7921K24</t>
        </is>
      </c>
      <c r="I914" s="15" t="inlineStr">
        <is>
          <t>None</t>
        </is>
      </c>
      <c r="J914" s="56" t="inlineStr">
        <is>
          <t>3.38</t>
        </is>
      </c>
      <c r="K914" s="57" t="inlineStr">
        <is>
          <t>0.0</t>
        </is>
      </c>
      <c r="L914" s="19" t="inlineStr">
        <is>
          <t>09/24/2024</t>
        </is>
      </c>
      <c r="M914" s="20" t="n"/>
      <c r="N914" s="21" t="n"/>
      <c r="O914" s="22" t="n"/>
      <c r="P914" s="24" t="n"/>
    </row>
    <row r="915" ht="33" customHeight="1">
      <c r="A915" s="53" t="inlineStr">
        <is>
          <t>24</t>
        </is>
      </c>
      <c r="B915" s="54" t="inlineStr">
        <is>
          <t>Unknown</t>
        </is>
      </c>
      <c r="C915" s="54" t="n"/>
      <c r="D915" s="54" t="inlineStr">
        <is>
          <t>18-8 Stainless Steel Hex Head Screw Made Outside The U.S.
1"-8 Thread Size, 2" Long</t>
        </is>
      </c>
      <c r="E915" s="15" t="inlineStr">
        <is>
          <t>1</t>
        </is>
      </c>
      <c r="F915" s="17" t="inlineStr">
        <is>
          <t>Packs</t>
        </is>
      </c>
      <c r="G915" s="54" t="inlineStr">
        <is>
          <t>McMaster-Carr</t>
        </is>
      </c>
      <c r="H915" s="54" t="inlineStr">
        <is>
          <t>92240A912</t>
        </is>
      </c>
      <c r="I915" s="15" t="inlineStr">
        <is>
          <t>None</t>
        </is>
      </c>
      <c r="J915" s="56" t="inlineStr">
        <is>
          <t>5.61</t>
        </is>
      </c>
      <c r="K915" s="57" t="inlineStr">
        <is>
          <t>0.0</t>
        </is>
      </c>
      <c r="L915" s="19" t="inlineStr">
        <is>
          <t>10/10/2025</t>
        </is>
      </c>
      <c r="M915" s="20" t="inlineStr">
        <is>
          <t>6.47</t>
        </is>
      </c>
      <c r="N915" s="21" t="inlineStr">
        <is>
          <t>09/25/2024</t>
        </is>
      </c>
      <c r="O915" s="22" t="inlineStr">
        <is>
          <t>Date: 09/25/2024 Price: 6.47</t>
        </is>
      </c>
      <c r="P915" s="24" t="n"/>
    </row>
    <row r="916" ht="33" customHeight="1">
      <c r="A916" s="53" t="inlineStr">
        <is>
          <t>25</t>
        </is>
      </c>
      <c r="B916" s="54" t="inlineStr">
        <is>
          <t>MS4-LRB-1/4-D7-AS</t>
        </is>
      </c>
      <c r="C916" s="54" t="inlineStr">
        <is>
          <t>Festo</t>
        </is>
      </c>
      <c r="D916" s="54" t="inlineStr">
        <is>
          <t>Pressure regulator 529485</t>
        </is>
      </c>
      <c r="E916" s="15" t="inlineStr">
        <is>
          <t>1</t>
        </is>
      </c>
      <c r="F916" s="17" t="inlineStr">
        <is>
          <t>Pieces</t>
        </is>
      </c>
      <c r="G916" s="54" t="inlineStr">
        <is>
          <t>Festo</t>
        </is>
      </c>
      <c r="H916" s="54" t="inlineStr">
        <is>
          <t>197535</t>
        </is>
      </c>
      <c r="I916" s="15" t="inlineStr">
        <is>
          <t>NO</t>
        </is>
      </c>
      <c r="J916" s="56" t="inlineStr">
        <is>
          <t>63.27</t>
        </is>
      </c>
      <c r="K916" s="57" t="inlineStr">
        <is>
          <t>24.99</t>
        </is>
      </c>
      <c r="L916" s="19" t="inlineStr">
        <is>
          <t>10/06/2025</t>
        </is>
      </c>
      <c r="M916" s="20" t="inlineStr">
        <is>
          <t>50.62</t>
        </is>
      </c>
      <c r="N916" s="21" t="inlineStr">
        <is>
          <t>09/25/2024</t>
        </is>
      </c>
      <c r="O916" s="22" t="inlineStr">
        <is>
          <t>, 1/15/2024, 50.62, 2/15/2024, 50.62, 2/26/2024, 50.62, Date: 09/25/2024 Price: 50.62</t>
        </is>
      </c>
      <c r="P916" s="24" t="n"/>
    </row>
    <row r="917" ht="33" customHeight="1">
      <c r="A917" s="53" t="inlineStr">
        <is>
          <t>26</t>
        </is>
      </c>
      <c r="B917" s="54" t="inlineStr">
        <is>
          <t>7015 56 11</t>
        </is>
      </c>
      <c r="C917" s="54" t="inlineStr">
        <is>
          <t>Legris</t>
        </is>
      </c>
      <c r="D917" s="54" t="inlineStr">
        <is>
          <t>Flow Control Regulator, 1/4 In Tube Sz</t>
        </is>
      </c>
      <c r="E917" s="15" t="inlineStr">
        <is>
          <t>1</t>
        </is>
      </c>
      <c r="F917" s="17" t="inlineStr">
        <is>
          <t>each</t>
        </is>
      </c>
      <c r="G917" s="54" t="inlineStr">
        <is>
          <t>Zoro</t>
        </is>
      </c>
      <c r="H917" s="54" t="inlineStr">
        <is>
          <t>G2810342</t>
        </is>
      </c>
      <c r="I917" s="15" t="inlineStr">
        <is>
          <t>NO</t>
        </is>
      </c>
      <c r="J917" s="56" t="inlineStr">
        <is>
          <t>28.19</t>
        </is>
      </c>
      <c r="K917" s="57" t="inlineStr">
        <is>
          <t>19.5</t>
        </is>
      </c>
      <c r="L917" s="19" t="inlineStr">
        <is>
          <t>10/06/2025</t>
        </is>
      </c>
      <c r="M917" s="20" t="inlineStr">
        <is>
          <t>23.59</t>
        </is>
      </c>
      <c r="N917" s="21" t="inlineStr">
        <is>
          <t>09/25/2024</t>
        </is>
      </c>
      <c r="O917" s="22" t="inlineStr">
        <is>
          <t>, 1/15/2024, 22.89, 2/15/2024, 23.99, 2/26/2024, 23.35, Date: 09/25/2024 Price: 23.59</t>
        </is>
      </c>
      <c r="P917" s="24" t="n"/>
    </row>
    <row r="918" ht="33" customHeight="1">
      <c r="A918" s="53" t="inlineStr">
        <is>
          <t>27</t>
        </is>
      </c>
      <c r="B918" s="54" t="inlineStr">
        <is>
          <t>7015 56 14</t>
        </is>
      </c>
      <c r="C918" s="54" t="inlineStr">
        <is>
          <t>Legris</t>
        </is>
      </c>
      <c r="D918" s="54" t="inlineStr">
        <is>
          <t>Flow Control Regulator, 1/4 In Tube Sz</t>
        </is>
      </c>
      <c r="E918" s="15" t="inlineStr">
        <is>
          <t>1</t>
        </is>
      </c>
      <c r="F918" s="17" t="inlineStr">
        <is>
          <t>each</t>
        </is>
      </c>
      <c r="G918" s="54" t="inlineStr">
        <is>
          <t>Zoro</t>
        </is>
      </c>
      <c r="H918" s="54" t="inlineStr">
        <is>
          <t>G2326012</t>
        </is>
      </c>
      <c r="I918" s="15" t="inlineStr">
        <is>
          <t>NO</t>
        </is>
      </c>
      <c r="J918" s="56" t="inlineStr">
        <is>
          <t>26.29</t>
        </is>
      </c>
      <c r="K918" s="57" t="inlineStr">
        <is>
          <t>9.54</t>
        </is>
      </c>
      <c r="L918" s="19" t="inlineStr">
        <is>
          <t>10/06/2025</t>
        </is>
      </c>
      <c r="M918" s="20" t="inlineStr">
        <is>
          <t>24</t>
        </is>
      </c>
      <c r="N918" s="21" t="inlineStr">
        <is>
          <t>09/25/2024</t>
        </is>
      </c>
      <c r="O918" s="22" t="inlineStr">
        <is>
          <t>, 2/15/2024, 27.99, 2/26/2024, 25.19, 5/1/2024, 25.19, Date: 09/25/2024 Price: 24</t>
        </is>
      </c>
      <c r="P918" s="24" t="n"/>
    </row>
    <row r="919" ht="33" customHeight="1">
      <c r="A919" s="53" t="inlineStr">
        <is>
          <t>28</t>
        </is>
      </c>
      <c r="B919" s="54" t="inlineStr">
        <is>
          <t>1A527</t>
        </is>
      </c>
      <c r="C919" s="54" t="inlineStr">
        <is>
          <t>Zoro Select</t>
        </is>
      </c>
      <c r="D919" s="54" t="inlineStr">
        <is>
          <t>Hose Clamp, 5 to 5/8 in Clamping Diameter, SAE 4, 300 Stainless Steel, PK10</t>
        </is>
      </c>
      <c r="E919" s="15" t="inlineStr">
        <is>
          <t>10</t>
        </is>
      </c>
      <c r="F919" s="17" t="inlineStr">
        <is>
          <t>pk</t>
        </is>
      </c>
      <c r="G919" s="54" t="inlineStr">
        <is>
          <t>Zoro</t>
        </is>
      </c>
      <c r="H919" s="54" t="inlineStr">
        <is>
          <t>G2808364</t>
        </is>
      </c>
      <c r="I919" s="15" t="inlineStr">
        <is>
          <t>NO</t>
        </is>
      </c>
      <c r="J919" s="56" t="inlineStr">
        <is>
          <t>4.59</t>
        </is>
      </c>
      <c r="K919" s="57" t="inlineStr">
        <is>
          <t>876.6</t>
        </is>
      </c>
      <c r="L919" s="19" t="inlineStr">
        <is>
          <t>10/06/2025</t>
        </is>
      </c>
      <c r="M919" s="31" t="inlineStr">
        <is>
          <t>0.47</t>
        </is>
      </c>
      <c r="N919" s="21" t="inlineStr">
        <is>
          <t>09/25/2024</t>
        </is>
      </c>
      <c r="O919" s="22" t="inlineStr">
        <is>
          <t>, 1/15/2024, 41.91, 2/15/2024, 41.89, 2/26/2024, 39.95, 6/5/2024, 41.99, Date: 09/25/2024 Price: 0.47</t>
        </is>
      </c>
      <c r="P919" s="24" t="n"/>
    </row>
    <row r="920" ht="33" customHeight="1">
      <c r="A920" s="53" t="n"/>
      <c r="B920" s="54" t="n"/>
      <c r="C920" s="54" t="n"/>
      <c r="D920" s="54" t="n"/>
      <c r="E920" s="15" t="n"/>
      <c r="F920" s="17" t="n"/>
      <c r="G920" s="54" t="n"/>
      <c r="H920" s="54" t="n"/>
      <c r="I920" s="15" t="n"/>
      <c r="J920" s="56" t="n"/>
      <c r="K920" s="57" t="n"/>
      <c r="L920" s="19" t="n"/>
      <c r="M920" s="20" t="n"/>
      <c r="N920" s="21" t="n"/>
      <c r="O920" s="22" t="n"/>
      <c r="P920" s="24" t="n"/>
    </row>
    <row r="921" ht="33" customHeight="1">
      <c r="A921" s="53" t="n"/>
      <c r="B921" s="54" t="n"/>
      <c r="C921" s="54" t="n"/>
      <c r="D921" s="54" t="n"/>
      <c r="E921" s="15" t="n"/>
      <c r="F921" s="17" t="n"/>
      <c r="G921" s="54" t="n"/>
      <c r="H921" s="54" t="n"/>
      <c r="I921" s="15" t="n"/>
      <c r="J921" s="56" t="n"/>
      <c r="K921" s="57" t="n"/>
      <c r="L921" s="19" t="n"/>
      <c r="M921" s="20" t="n"/>
      <c r="N921" s="21" t="n"/>
      <c r="O921" s="22" t="n"/>
      <c r="P921" s="24" t="n"/>
    </row>
    <row r="922" ht="33" customHeight="1">
      <c r="A922" s="53" t="n"/>
      <c r="B922" s="54" t="n"/>
      <c r="C922" s="54" t="n"/>
      <c r="D922" s="54" t="n"/>
      <c r="E922" s="15" t="n"/>
      <c r="F922" s="17" t="n"/>
      <c r="G922" s="54" t="n"/>
      <c r="H922" s="54" t="n"/>
      <c r="I922" s="15" t="n"/>
      <c r="J922" s="56" t="n"/>
      <c r="K922" s="57" t="n"/>
      <c r="L922" s="19" t="n"/>
      <c r="M922" s="20" t="n"/>
      <c r="N922" s="21" t="n"/>
      <c r="O922" s="22" t="n"/>
      <c r="P922" s="24" t="n"/>
    </row>
    <row r="923" ht="33" customHeight="1">
      <c r="A923" s="53" t="n"/>
      <c r="B923" s="54" t="n"/>
      <c r="C923" s="54" t="n"/>
      <c r="D923" s="54" t="n"/>
      <c r="E923" s="15" t="n"/>
      <c r="F923" s="17" t="n"/>
      <c r="G923" s="54" t="n"/>
      <c r="H923" s="54" t="n"/>
      <c r="I923" s="15" t="n"/>
      <c r="J923" s="56" t="n"/>
      <c r="K923" s="57" t="n"/>
      <c r="L923" s="19" t="n"/>
      <c r="M923" s="20" t="n"/>
      <c r="N923" s="21" t="n"/>
      <c r="O923" s="22" t="n"/>
      <c r="P923" s="24" t="n"/>
    </row>
    <row r="924" ht="33" customHeight="1">
      <c r="A924" s="53" t="n"/>
      <c r="B924" s="54" t="n"/>
      <c r="C924" s="54" t="n"/>
      <c r="D924" s="54" t="n"/>
      <c r="E924" s="15" t="n"/>
      <c r="F924" s="17" t="n"/>
      <c r="G924" s="54" t="n"/>
      <c r="H924" s="54" t="n"/>
      <c r="I924" s="15" t="n"/>
      <c r="J924" s="56" t="n"/>
      <c r="K924" s="57" t="n"/>
      <c r="L924" s="19" t="n"/>
      <c r="M924" s="20" t="n"/>
      <c r="N924" s="21" t="n"/>
      <c r="O924" s="22" t="n"/>
      <c r="P924" s="24" t="n"/>
    </row>
    <row r="925" ht="33" customHeight="1">
      <c r="A925" s="53" t="n"/>
      <c r="B925" s="54" t="n"/>
      <c r="C925" s="54" t="n"/>
      <c r="D925" s="54" t="n"/>
      <c r="E925" s="15" t="n"/>
      <c r="F925" s="17" t="n"/>
      <c r="G925" s="54" t="n"/>
      <c r="H925" s="54" t="n"/>
      <c r="I925" s="15" t="n"/>
      <c r="J925" s="56" t="n"/>
      <c r="K925" s="57" t="n"/>
      <c r="L925" s="19" t="n"/>
      <c r="M925" s="20" t="n"/>
      <c r="N925" s="21" t="n"/>
      <c r="O925" s="22" t="n"/>
      <c r="P925" s="24" t="n"/>
    </row>
    <row r="926" ht="33" customHeight="1">
      <c r="A926" s="53" t="n"/>
      <c r="B926" s="54" t="n"/>
      <c r="C926" s="54" t="n"/>
      <c r="D926" s="54" t="n"/>
      <c r="E926" s="15" t="n"/>
      <c r="F926" s="17" t="n"/>
      <c r="G926" s="54" t="n"/>
      <c r="H926" s="54" t="n"/>
      <c r="I926" s="15" t="n"/>
      <c r="J926" s="56" t="n"/>
      <c r="K926" s="57" t="n"/>
      <c r="L926" s="19" t="n"/>
      <c r="M926" s="20" t="n"/>
      <c r="N926" s="21" t="n"/>
      <c r="O926" s="22" t="n"/>
      <c r="P926" s="24" t="n"/>
    </row>
    <row r="927" ht="33" customHeight="1">
      <c r="A927" s="53" t="n"/>
      <c r="B927" s="54" t="n"/>
      <c r="C927" s="54" t="n"/>
      <c r="D927" s="54" t="n"/>
      <c r="E927" s="15" t="n"/>
      <c r="F927" s="17" t="n"/>
      <c r="G927" s="54" t="n"/>
      <c r="H927" s="54" t="n"/>
      <c r="I927" s="15" t="n"/>
      <c r="J927" s="56" t="n"/>
      <c r="K927" s="57" t="n"/>
      <c r="L927" s="19" t="n"/>
      <c r="M927" s="20" t="n"/>
      <c r="N927" s="21" t="n"/>
      <c r="O927" s="22" t="n"/>
      <c r="P927" s="24" t="n"/>
    </row>
    <row r="928" ht="33" customHeight="1">
      <c r="A928" s="53" t="n"/>
      <c r="B928" s="54" t="n"/>
      <c r="C928" s="54" t="n"/>
      <c r="D928" s="54" t="n"/>
      <c r="E928" s="15" t="n"/>
      <c r="F928" s="17" t="n"/>
      <c r="G928" s="54" t="n"/>
      <c r="H928" s="54" t="n"/>
      <c r="I928" s="15" t="n"/>
      <c r="J928" s="56" t="n"/>
      <c r="K928" s="57" t="n"/>
      <c r="L928" s="19" t="n"/>
      <c r="M928" s="20" t="n"/>
      <c r="N928" s="21" t="n"/>
      <c r="O928" s="22" t="n"/>
      <c r="P928" s="24" t="n"/>
    </row>
    <row r="929" ht="33" customHeight="1">
      <c r="A929" s="53" t="n"/>
      <c r="B929" s="54" t="n"/>
      <c r="C929" s="54" t="n"/>
      <c r="D929" s="54" t="n"/>
      <c r="E929" s="15" t="n"/>
      <c r="F929" s="17" t="n"/>
      <c r="G929" s="54" t="n"/>
      <c r="H929" s="54" t="n"/>
      <c r="I929" s="15" t="n"/>
      <c r="J929" s="56" t="n"/>
      <c r="K929" s="57" t="n"/>
      <c r="L929" s="19" t="n"/>
      <c r="M929" s="20" t="n"/>
      <c r="N929" s="21" t="n"/>
      <c r="O929" s="22" t="n"/>
      <c r="P929" s="24" t="n"/>
    </row>
    <row r="930" ht="33" customHeight="1">
      <c r="A930" s="53" t="n"/>
      <c r="B930" s="54" t="n"/>
      <c r="C930" s="54" t="n"/>
      <c r="D930" s="54" t="n"/>
      <c r="E930" s="15" t="n"/>
      <c r="F930" s="17" t="n"/>
      <c r="G930" s="54" t="n"/>
      <c r="H930" s="54" t="n"/>
      <c r="I930" s="15" t="n"/>
      <c r="J930" s="56" t="n"/>
      <c r="K930" s="57" t="n"/>
      <c r="L930" s="19" t="n"/>
      <c r="M930" s="20" t="n"/>
      <c r="N930" s="21" t="n"/>
      <c r="O930" s="22" t="n"/>
      <c r="P930" s="24" t="n"/>
    </row>
    <row r="931" ht="33" customHeight="1">
      <c r="A931" s="53" t="n"/>
      <c r="B931" s="54" t="n"/>
      <c r="C931" s="54" t="n"/>
      <c r="D931" s="54" t="n"/>
      <c r="E931" s="15" t="n"/>
      <c r="F931" s="17" t="n"/>
      <c r="G931" s="54" t="n"/>
      <c r="H931" s="54" t="n"/>
      <c r="I931" s="15" t="n"/>
      <c r="J931" s="56" t="n"/>
      <c r="K931" s="57" t="n"/>
      <c r="L931" s="19" t="n"/>
      <c r="M931" s="20" t="n"/>
      <c r="N931" s="21" t="n"/>
      <c r="O931" s="22" t="n"/>
      <c r="P931" s="24" t="n"/>
    </row>
    <row r="932" ht="33" customHeight="1">
      <c r="A932" s="53" t="n"/>
      <c r="B932" s="54" t="n"/>
      <c r="C932" s="54" t="n"/>
      <c r="D932" s="54" t="n"/>
      <c r="E932" s="15" t="n"/>
      <c r="F932" s="17" t="n"/>
      <c r="G932" s="54" t="n"/>
      <c r="H932" s="54" t="n"/>
      <c r="I932" s="15" t="n"/>
      <c r="J932" s="56" t="n"/>
      <c r="K932" s="57" t="n"/>
      <c r="L932" s="19" t="n"/>
      <c r="M932" s="20" t="n"/>
      <c r="N932" s="21" t="n"/>
      <c r="O932" s="22" t="n"/>
      <c r="P932" s="24" t="n"/>
    </row>
    <row r="933" ht="33" customHeight="1">
      <c r="A933" s="53" t="n"/>
      <c r="B933" s="54" t="n"/>
      <c r="C933" s="54" t="n"/>
      <c r="D933" s="54" t="n"/>
      <c r="E933" s="15" t="n"/>
      <c r="F933" s="17" t="n"/>
      <c r="G933" s="54" t="n"/>
      <c r="H933" s="54" t="n"/>
      <c r="I933" s="15" t="n"/>
      <c r="J933" s="56" t="n"/>
      <c r="K933" s="57" t="n"/>
      <c r="L933" s="19" t="n"/>
      <c r="M933" s="20" t="n"/>
      <c r="N933" s="21" t="n"/>
      <c r="O933" s="22" t="n"/>
      <c r="P933" s="24" t="n"/>
    </row>
    <row r="934" ht="33" customHeight="1">
      <c r="A934" s="53" t="n"/>
      <c r="B934" s="54" t="n"/>
      <c r="C934" s="54" t="n"/>
      <c r="D934" s="54" t="n"/>
      <c r="E934" s="15" t="n"/>
      <c r="F934" s="17" t="n"/>
      <c r="G934" s="54" t="n"/>
      <c r="H934" s="54" t="n"/>
      <c r="I934" s="15" t="n"/>
      <c r="J934" s="56" t="n"/>
      <c r="K934" s="57" t="n"/>
      <c r="L934" s="19" t="n"/>
      <c r="M934" s="20" t="n"/>
      <c r="N934" s="21" t="n"/>
      <c r="O934" s="22" t="n"/>
      <c r="P934" s="24" t="n"/>
    </row>
    <row r="935" ht="33" customHeight="1">
      <c r="A935" s="53" t="n"/>
      <c r="B935" s="54" t="n"/>
      <c r="C935" s="54" t="n"/>
      <c r="D935" s="54" t="n"/>
      <c r="E935" s="15" t="n"/>
      <c r="F935" s="17" t="n"/>
      <c r="G935" s="54" t="n"/>
      <c r="H935" s="54" t="n"/>
      <c r="I935" s="15" t="n"/>
      <c r="J935" s="56" t="n"/>
      <c r="K935" s="57" t="n"/>
      <c r="L935" s="19" t="n"/>
      <c r="M935" s="20" t="n"/>
      <c r="N935" s="21" t="n"/>
      <c r="O935" s="22" t="n"/>
      <c r="P935" s="24" t="n"/>
    </row>
    <row r="936" ht="33" customHeight="1">
      <c r="A936" s="53" t="n"/>
      <c r="B936" s="54" t="n"/>
      <c r="C936" s="54" t="n"/>
      <c r="D936" s="54" t="n"/>
      <c r="E936" s="15" t="n"/>
      <c r="F936" s="17" t="n"/>
      <c r="G936" s="54" t="n"/>
      <c r="H936" s="54" t="n"/>
      <c r="I936" s="15" t="n"/>
      <c r="J936" s="56" t="n"/>
      <c r="K936" s="57" t="n"/>
      <c r="L936" s="19" t="n"/>
      <c r="M936" s="20" t="n"/>
      <c r="N936" s="21" t="n"/>
      <c r="O936" s="22" t="n"/>
      <c r="P936" s="24" t="n"/>
    </row>
    <row r="937" ht="33" customHeight="1">
      <c r="A937" s="53" t="n"/>
      <c r="B937" s="54" t="n"/>
      <c r="C937" s="54" t="n"/>
      <c r="D937" s="54" t="n"/>
      <c r="E937" s="15" t="n"/>
      <c r="F937" s="17" t="n"/>
      <c r="G937" s="54" t="n"/>
      <c r="H937" s="54" t="n"/>
      <c r="I937" s="15" t="n"/>
      <c r="J937" s="56" t="n"/>
      <c r="K937" s="57" t="n"/>
      <c r="L937" s="19" t="n"/>
      <c r="M937" s="20" t="n"/>
      <c r="N937" s="21" t="n"/>
      <c r="O937" s="22" t="n"/>
      <c r="P937" s="24" t="n"/>
    </row>
    <row r="938" ht="33" customHeight="1">
      <c r="A938" s="53" t="n"/>
      <c r="B938" s="54" t="n"/>
      <c r="C938" s="54" t="n"/>
      <c r="D938" s="54" t="n"/>
      <c r="E938" s="15" t="n"/>
      <c r="F938" s="17" t="n"/>
      <c r="G938" s="54" t="n"/>
      <c r="H938" s="54" t="n"/>
      <c r="I938" s="15" t="n"/>
      <c r="J938" s="56" t="n"/>
      <c r="K938" s="57" t="n"/>
      <c r="L938" s="19" t="n"/>
      <c r="M938" s="20" t="n"/>
      <c r="N938" s="21" t="n"/>
      <c r="O938" s="22" t="n"/>
      <c r="P938" s="24" t="n"/>
    </row>
    <row r="939" ht="33" customHeight="1">
      <c r="A939" s="53" t="n"/>
      <c r="B939" s="54" t="n"/>
      <c r="C939" s="54" t="n"/>
      <c r="D939" s="54" t="n"/>
      <c r="E939" s="15" t="n"/>
      <c r="F939" s="17" t="n"/>
      <c r="G939" s="54" t="n"/>
      <c r="H939" s="54" t="n"/>
      <c r="I939" s="15" t="n"/>
      <c r="J939" s="56" t="n"/>
      <c r="K939" s="57" t="n"/>
      <c r="L939" s="19" t="n"/>
      <c r="M939" s="20" t="n"/>
      <c r="N939" s="21" t="n"/>
      <c r="O939" s="22" t="n"/>
      <c r="P939" s="24" t="n"/>
    </row>
    <row r="940" ht="33" customHeight="1">
      <c r="A940" s="53" t="n"/>
      <c r="B940" s="54" t="n"/>
      <c r="C940" s="54" t="n"/>
      <c r="D940" s="54" t="n"/>
      <c r="E940" s="15" t="n"/>
      <c r="F940" s="17" t="n"/>
      <c r="G940" s="54" t="n"/>
      <c r="H940" s="54" t="n"/>
      <c r="I940" s="15" t="n"/>
      <c r="J940" s="56" t="n"/>
      <c r="K940" s="57" t="n"/>
      <c r="L940" s="19" t="n"/>
      <c r="M940" s="20" t="n"/>
      <c r="N940" s="21" t="n"/>
      <c r="O940" s="22" t="n"/>
      <c r="P940" s="24" t="n"/>
    </row>
    <row r="941" ht="33" customHeight="1">
      <c r="A941" s="53" t="n"/>
      <c r="B941" s="54" t="n"/>
      <c r="C941" s="54" t="n"/>
      <c r="D941" s="54" t="n"/>
      <c r="E941" s="15" t="n"/>
      <c r="F941" s="17" t="n"/>
      <c r="G941" s="54" t="n"/>
      <c r="H941" s="54" t="n"/>
      <c r="I941" s="15" t="n"/>
      <c r="J941" s="56" t="n"/>
      <c r="K941" s="57" t="n"/>
      <c r="L941" s="19" t="n"/>
      <c r="M941" s="20" t="n"/>
      <c r="N941" s="21" t="n"/>
      <c r="O941" s="22" t="n"/>
      <c r="P941" s="24" t="n"/>
    </row>
    <row r="942" ht="33" customHeight="1">
      <c r="A942" s="53" t="n"/>
      <c r="B942" s="54" t="n"/>
      <c r="C942" s="54" t="n"/>
      <c r="D942" s="54" t="n"/>
      <c r="E942" s="15" t="n"/>
      <c r="F942" s="17" t="n"/>
      <c r="G942" s="54" t="n"/>
      <c r="H942" s="54" t="n"/>
      <c r="I942" s="15" t="n"/>
      <c r="J942" s="56" t="n"/>
      <c r="K942" s="57" t="n"/>
      <c r="L942" s="19" t="n"/>
      <c r="M942" s="20" t="n"/>
      <c r="N942" s="21" t="n"/>
      <c r="O942" s="22" t="n"/>
      <c r="P942" s="24" t="n"/>
    </row>
    <row r="943" ht="33" customHeight="1">
      <c r="A943" s="53" t="n"/>
      <c r="B943" s="54" t="n"/>
      <c r="C943" s="54" t="n"/>
      <c r="D943" s="54" t="n"/>
      <c r="E943" s="15" t="n"/>
      <c r="F943" s="17" t="n"/>
      <c r="G943" s="54" t="n"/>
      <c r="H943" s="54" t="n"/>
      <c r="I943" s="15" t="n"/>
      <c r="J943" s="56" t="n"/>
      <c r="K943" s="57" t="n"/>
      <c r="L943" s="19" t="n"/>
      <c r="M943" s="20" t="n"/>
      <c r="N943" s="21" t="n"/>
      <c r="O943" s="22" t="n"/>
      <c r="P943" s="24" t="n"/>
    </row>
    <row r="944" ht="33" customHeight="1">
      <c r="A944" s="53" t="n"/>
      <c r="B944" s="54" t="n"/>
      <c r="C944" s="54" t="n"/>
      <c r="D944" s="54" t="n"/>
      <c r="E944" s="15" t="n"/>
      <c r="F944" s="17" t="n"/>
      <c r="G944" s="54" t="n"/>
      <c r="H944" s="54" t="n"/>
      <c r="I944" s="15" t="n"/>
      <c r="J944" s="56" t="n"/>
      <c r="K944" s="57" t="n"/>
      <c r="L944" s="19" t="n"/>
      <c r="M944" s="20" t="n"/>
      <c r="N944" s="21" t="n"/>
      <c r="O944" s="22" t="n"/>
      <c r="P944" s="24" t="n"/>
    </row>
    <row r="945" ht="33" customHeight="1">
      <c r="A945" s="53" t="n"/>
      <c r="B945" s="54" t="n"/>
      <c r="C945" s="54" t="n"/>
      <c r="D945" s="54" t="n"/>
      <c r="E945" s="15" t="n"/>
      <c r="F945" s="17" t="n"/>
      <c r="G945" s="54" t="n"/>
      <c r="H945" s="54" t="n"/>
      <c r="I945" s="15" t="n"/>
      <c r="J945" s="56" t="n"/>
      <c r="K945" s="57" t="n"/>
      <c r="L945" s="19" t="n"/>
      <c r="M945" s="20" t="n"/>
      <c r="N945" s="21" t="n"/>
      <c r="O945" s="22" t="n"/>
      <c r="P945" s="24" t="n"/>
    </row>
    <row r="946" ht="33" customHeight="1">
      <c r="A946" s="53" t="n"/>
      <c r="B946" s="54" t="n"/>
      <c r="C946" s="54" t="n"/>
      <c r="D946" s="54" t="n"/>
      <c r="E946" s="15" t="n"/>
      <c r="F946" s="17" t="n"/>
      <c r="G946" s="54" t="n"/>
      <c r="H946" s="54" t="n"/>
      <c r="I946" s="15" t="n"/>
      <c r="J946" s="56" t="n"/>
      <c r="K946" s="57" t="n"/>
      <c r="L946" s="19" t="n"/>
      <c r="M946" s="20" t="n"/>
      <c r="N946" s="21" t="n"/>
      <c r="O946" s="22" t="n"/>
      <c r="P946" s="24" t="n"/>
    </row>
    <row r="947" ht="33" customHeight="1">
      <c r="A947" s="53" t="n"/>
      <c r="B947" s="54" t="n"/>
      <c r="C947" s="54" t="n"/>
      <c r="D947" s="54" t="n"/>
      <c r="E947" s="15" t="n"/>
      <c r="F947" s="17" t="n"/>
      <c r="G947" s="54" t="n"/>
      <c r="H947" s="54" t="n"/>
      <c r="I947" s="15" t="n"/>
      <c r="J947" s="56" t="n"/>
      <c r="K947" s="57" t="n"/>
      <c r="L947" s="19" t="n"/>
      <c r="M947" s="20" t="n"/>
      <c r="N947" s="21" t="n"/>
      <c r="O947" s="22" t="n"/>
      <c r="P947" s="24" t="n"/>
    </row>
    <row r="948" ht="33" customHeight="1">
      <c r="A948" s="53" t="n"/>
      <c r="B948" s="54" t="n"/>
      <c r="C948" s="54" t="n"/>
      <c r="D948" s="54" t="n"/>
      <c r="E948" s="15" t="n"/>
      <c r="F948" s="17" t="n"/>
      <c r="G948" s="54" t="n"/>
      <c r="H948" s="54" t="n"/>
      <c r="I948" s="15" t="n"/>
      <c r="J948" s="56" t="n"/>
      <c r="K948" s="57" t="n"/>
      <c r="L948" s="19" t="n"/>
      <c r="M948" s="20" t="n"/>
      <c r="N948" s="21" t="n"/>
      <c r="O948" s="22" t="n"/>
      <c r="P948" s="24" t="n"/>
    </row>
    <row r="949" ht="33" customHeight="1">
      <c r="A949" s="53" t="n"/>
      <c r="B949" s="54" t="n"/>
      <c r="C949" s="54" t="n"/>
      <c r="D949" s="54" t="n"/>
      <c r="E949" s="15" t="n"/>
      <c r="F949" s="17" t="n"/>
      <c r="G949" s="54" t="n"/>
      <c r="H949" s="54" t="n"/>
      <c r="I949" s="15" t="n"/>
      <c r="J949" s="56" t="n"/>
      <c r="K949" s="57" t="n"/>
      <c r="L949" s="19" t="n"/>
      <c r="M949" s="20" t="n"/>
      <c r="N949" s="21" t="n"/>
      <c r="O949" s="22" t="n"/>
      <c r="P949" s="24" t="n"/>
    </row>
    <row r="950" ht="33" customHeight="1">
      <c r="A950" s="53" t="n"/>
      <c r="B950" s="54" t="n"/>
      <c r="C950" s="54" t="n"/>
      <c r="D950" s="54" t="n"/>
      <c r="E950" s="15" t="n"/>
      <c r="F950" s="17" t="n"/>
      <c r="G950" s="54" t="n"/>
      <c r="H950" s="54" t="n"/>
      <c r="I950" s="15" t="n"/>
      <c r="J950" s="56" t="n"/>
      <c r="K950" s="57" t="n"/>
      <c r="L950" s="19" t="n"/>
      <c r="M950" s="20" t="n"/>
      <c r="N950" s="21" t="n"/>
      <c r="O950" s="22" t="n"/>
      <c r="P950" s="24" t="n"/>
    </row>
    <row r="951" ht="33" customHeight="1">
      <c r="A951" s="53" t="n"/>
      <c r="B951" s="54" t="n"/>
      <c r="C951" s="54" t="n"/>
      <c r="D951" s="54" t="n"/>
      <c r="E951" s="15" t="n"/>
      <c r="F951" s="17" t="n"/>
      <c r="G951" s="54" t="n"/>
      <c r="H951" s="54" t="n"/>
      <c r="I951" s="15" t="n"/>
      <c r="J951" s="56" t="n"/>
      <c r="K951" s="57" t="n"/>
      <c r="L951" s="19" t="n"/>
      <c r="M951" s="20" t="n"/>
      <c r="N951" s="21" t="n"/>
      <c r="O951" s="22" t="n"/>
      <c r="P951" s="24" t="n"/>
    </row>
    <row r="952" ht="33" customHeight="1">
      <c r="A952" s="53" t="n"/>
      <c r="B952" s="54" t="n"/>
      <c r="C952" s="54" t="n"/>
      <c r="D952" s="54" t="n"/>
      <c r="E952" s="15" t="n"/>
      <c r="F952" s="17" t="n"/>
      <c r="G952" s="54" t="n"/>
      <c r="H952" s="54" t="n"/>
      <c r="I952" s="15" t="n"/>
      <c r="J952" s="56" t="n"/>
      <c r="K952" s="57" t="n"/>
      <c r="L952" s="19" t="n"/>
      <c r="M952" s="20" t="n"/>
      <c r="N952" s="21" t="n"/>
      <c r="O952" s="22" t="n"/>
      <c r="P952" s="24" t="n"/>
    </row>
    <row r="953" ht="33" customHeight="1">
      <c r="A953" s="53" t="n"/>
      <c r="B953" s="54" t="n"/>
      <c r="C953" s="54" t="n"/>
      <c r="D953" s="54" t="n"/>
      <c r="E953" s="15" t="n"/>
      <c r="F953" s="17" t="n"/>
      <c r="G953" s="54" t="n"/>
      <c r="H953" s="54" t="n"/>
      <c r="I953" s="15" t="n"/>
      <c r="J953" s="56" t="n"/>
      <c r="K953" s="57" t="n"/>
      <c r="L953" s="19" t="n"/>
      <c r="M953" s="20" t="n"/>
      <c r="N953" s="21" t="n"/>
      <c r="O953" s="22" t="n"/>
      <c r="P953" s="24" t="n"/>
    </row>
    <row r="954" ht="33" customHeight="1">
      <c r="A954" s="53" t="n"/>
      <c r="B954" s="54" t="n"/>
      <c r="C954" s="54" t="n"/>
      <c r="D954" s="54" t="n"/>
      <c r="E954" s="15" t="n"/>
      <c r="F954" s="17" t="n"/>
      <c r="G954" s="54" t="n"/>
      <c r="H954" s="54" t="n"/>
      <c r="I954" s="15" t="n"/>
      <c r="J954" s="56" t="n"/>
      <c r="K954" s="57" t="n"/>
      <c r="L954" s="19" t="n"/>
      <c r="M954" s="20" t="n"/>
      <c r="N954" s="21" t="n"/>
      <c r="O954" s="22" t="n"/>
      <c r="P954" s="24" t="n"/>
    </row>
    <row r="955" ht="33" customHeight="1">
      <c r="A955" s="53" t="n"/>
      <c r="B955" s="54" t="n"/>
      <c r="C955" s="54" t="n"/>
      <c r="D955" s="54" t="n"/>
      <c r="E955" s="15" t="n"/>
      <c r="F955" s="17" t="n"/>
      <c r="G955" s="54" t="n"/>
      <c r="H955" s="54" t="n"/>
      <c r="I955" s="15" t="n"/>
      <c r="J955" s="56" t="n"/>
      <c r="K955" s="57" t="n"/>
      <c r="L955" s="19" t="n"/>
      <c r="M955" s="20" t="n"/>
      <c r="N955" s="21" t="n"/>
      <c r="O955" s="22" t="n"/>
      <c r="P955" s="24" t="n"/>
    </row>
    <row r="956" ht="33" customHeight="1">
      <c r="A956" s="53" t="n"/>
      <c r="B956" s="54" t="n"/>
      <c r="C956" s="54" t="n"/>
      <c r="D956" s="54" t="n"/>
      <c r="E956" s="15" t="n"/>
      <c r="F956" s="17" t="n"/>
      <c r="G956" s="54" t="n"/>
      <c r="H956" s="54" t="n"/>
      <c r="I956" s="15" t="n"/>
      <c r="J956" s="56" t="n"/>
      <c r="K956" s="57" t="n"/>
      <c r="L956" s="19" t="n"/>
      <c r="M956" s="20" t="n"/>
      <c r="N956" s="21" t="n"/>
      <c r="O956" s="22" t="n"/>
      <c r="P956" s="24" t="n"/>
    </row>
    <row r="957" ht="33" customHeight="1">
      <c r="A957" s="53" t="n"/>
      <c r="B957" s="54" t="n"/>
      <c r="C957" s="54" t="n"/>
      <c r="D957" s="54" t="n"/>
      <c r="E957" s="15" t="n"/>
      <c r="F957" s="17" t="n"/>
      <c r="G957" s="54" t="n"/>
      <c r="H957" s="54" t="n"/>
      <c r="I957" s="15" t="n"/>
      <c r="J957" s="56" t="n"/>
      <c r="K957" s="57" t="n"/>
      <c r="L957" s="19" t="n"/>
      <c r="M957" s="20" t="n"/>
      <c r="N957" s="21" t="n"/>
      <c r="O957" s="22" t="n"/>
      <c r="P957" s="24" t="n"/>
    </row>
    <row r="958" ht="33" customHeight="1">
      <c r="A958" s="53" t="n"/>
      <c r="B958" s="54" t="n"/>
      <c r="C958" s="54" t="n"/>
      <c r="D958" s="54" t="n"/>
      <c r="E958" s="15" t="n"/>
      <c r="F958" s="17" t="n"/>
      <c r="G958" s="54" t="n"/>
      <c r="H958" s="54" t="n"/>
      <c r="I958" s="15" t="n"/>
      <c r="J958" s="56" t="n"/>
      <c r="K958" s="57" t="n"/>
      <c r="L958" s="19" t="n"/>
      <c r="M958" s="20" t="n"/>
      <c r="N958" s="21" t="n"/>
      <c r="O958" s="22" t="n"/>
      <c r="P958" s="24" t="n"/>
    </row>
    <row r="959" ht="33" customHeight="1">
      <c r="A959" s="53" t="n"/>
      <c r="B959" s="54" t="n"/>
      <c r="C959" s="54" t="n"/>
      <c r="D959" s="54" t="n"/>
      <c r="E959" s="15" t="n"/>
      <c r="F959" s="17" t="n"/>
      <c r="G959" s="54" t="n"/>
      <c r="H959" s="54" t="n"/>
      <c r="I959" s="15" t="n"/>
      <c r="J959" s="56" t="n"/>
      <c r="K959" s="57" t="n"/>
      <c r="L959" s="19" t="n"/>
      <c r="M959" s="20" t="n"/>
      <c r="N959" s="21" t="n"/>
      <c r="O959" s="22" t="n"/>
      <c r="P959" s="24" t="n"/>
    </row>
    <row r="960" ht="33" customHeight="1">
      <c r="A960" s="53" t="n"/>
      <c r="B960" s="54" t="n"/>
      <c r="C960" s="54" t="n"/>
      <c r="D960" s="54" t="n"/>
      <c r="E960" s="15" t="n"/>
      <c r="F960" s="17" t="n"/>
      <c r="G960" s="54" t="n"/>
      <c r="H960" s="54" t="n"/>
      <c r="I960" s="15" t="n"/>
      <c r="J960" s="56" t="n"/>
      <c r="K960" s="57" t="n"/>
      <c r="L960" s="19" t="n"/>
      <c r="M960" s="20" t="n"/>
      <c r="N960" s="21" t="n"/>
      <c r="O960" s="22" t="n"/>
      <c r="P960" s="24" t="n"/>
    </row>
    <row r="961" ht="33" customHeight="1">
      <c r="A961" s="53" t="n"/>
      <c r="B961" s="54" t="n"/>
      <c r="C961" s="54" t="n"/>
      <c r="D961" s="54" t="n"/>
      <c r="E961" s="15" t="n"/>
      <c r="F961" s="17" t="n"/>
      <c r="G961" s="54" t="n"/>
      <c r="H961" s="54" t="n"/>
      <c r="I961" s="15" t="n"/>
      <c r="J961" s="56" t="n"/>
      <c r="K961" s="57" t="n"/>
      <c r="L961" s="19" t="n"/>
      <c r="M961" s="20" t="n"/>
      <c r="N961" s="21" t="n"/>
      <c r="O961" s="22" t="n"/>
      <c r="P961" s="24" t="n"/>
    </row>
    <row r="962" ht="33" customHeight="1">
      <c r="A962" s="53" t="n"/>
      <c r="B962" s="54" t="n"/>
      <c r="C962" s="54" t="n"/>
      <c r="D962" s="54" t="n"/>
      <c r="E962" s="15" t="n"/>
      <c r="F962" s="17" t="n"/>
      <c r="G962" s="54" t="n"/>
      <c r="H962" s="54" t="n"/>
      <c r="I962" s="15" t="n"/>
      <c r="J962" s="56" t="n"/>
      <c r="K962" s="57" t="n"/>
      <c r="L962" s="19" t="n"/>
      <c r="M962" s="20" t="n"/>
      <c r="N962" s="21" t="n"/>
      <c r="O962" s="22" t="n"/>
      <c r="P962" s="24" t="n"/>
    </row>
    <row r="963" ht="33" customHeight="1">
      <c r="A963" s="53" t="n"/>
      <c r="B963" s="54" t="n"/>
      <c r="C963" s="54" t="n"/>
      <c r="D963" s="54" t="n"/>
      <c r="E963" s="15" t="n"/>
      <c r="F963" s="17" t="n"/>
      <c r="G963" s="54" t="n"/>
      <c r="H963" s="54" t="n"/>
      <c r="I963" s="15" t="n"/>
      <c r="J963" s="56" t="n"/>
      <c r="K963" s="57" t="n"/>
      <c r="L963" s="19" t="n"/>
      <c r="M963" s="20" t="n"/>
      <c r="N963" s="21" t="n"/>
      <c r="O963" s="22" t="n"/>
      <c r="P963" s="24" t="n"/>
    </row>
    <row r="964" ht="33" customHeight="1">
      <c r="A964" s="53" t="n"/>
      <c r="B964" s="54" t="n"/>
      <c r="C964" s="54" t="n"/>
      <c r="D964" s="54" t="n"/>
      <c r="E964" s="15" t="n"/>
      <c r="F964" s="17" t="n"/>
      <c r="G964" s="54" t="n"/>
      <c r="H964" s="54" t="n"/>
      <c r="I964" s="15" t="n"/>
      <c r="J964" s="56" t="n"/>
      <c r="K964" s="57" t="n"/>
      <c r="L964" s="19" t="n"/>
      <c r="M964" s="20" t="n"/>
      <c r="N964" s="21" t="n"/>
      <c r="O964" s="22" t="n"/>
      <c r="P964" s="24" t="n"/>
    </row>
    <row r="965" ht="33" customHeight="1">
      <c r="A965" s="53" t="n"/>
      <c r="B965" s="54" t="n"/>
      <c r="C965" s="54" t="n"/>
      <c r="D965" s="54" t="n"/>
      <c r="E965" s="15" t="n"/>
      <c r="F965" s="17" t="n"/>
      <c r="G965" s="54" t="n"/>
      <c r="H965" s="54" t="n"/>
      <c r="I965" s="15" t="n"/>
      <c r="J965" s="56" t="n"/>
      <c r="K965" s="57" t="n"/>
      <c r="L965" s="19" t="n"/>
      <c r="M965" s="20" t="n"/>
      <c r="N965" s="21" t="n"/>
      <c r="O965" s="22" t="n"/>
      <c r="P965" s="24" t="n"/>
    </row>
    <row r="966" ht="33" customHeight="1">
      <c r="A966" s="53" t="n"/>
      <c r="B966" s="54" t="n"/>
      <c r="C966" s="54" t="n"/>
      <c r="D966" s="54" t="n"/>
      <c r="E966" s="15" t="n"/>
      <c r="F966" s="17" t="n"/>
      <c r="G966" s="54" t="n"/>
      <c r="H966" s="54" t="n"/>
      <c r="I966" s="15" t="n"/>
      <c r="J966" s="56" t="n"/>
      <c r="K966" s="57" t="n"/>
      <c r="L966" s="19" t="n"/>
      <c r="M966" s="20" t="n"/>
      <c r="N966" s="21" t="n"/>
      <c r="O966" s="22" t="n"/>
      <c r="P966" s="24" t="n"/>
    </row>
    <row r="967" ht="33" customHeight="1">
      <c r="A967" s="53" t="n"/>
      <c r="B967" s="54" t="n"/>
      <c r="C967" s="54" t="n"/>
      <c r="D967" s="54" t="n"/>
      <c r="E967" s="15" t="n"/>
      <c r="F967" s="17" t="n"/>
      <c r="G967" s="54" t="n"/>
      <c r="H967" s="54" t="n"/>
      <c r="I967" s="15" t="n"/>
      <c r="J967" s="56" t="n"/>
      <c r="K967" s="57" t="n"/>
      <c r="L967" s="19" t="n"/>
      <c r="M967" s="20" t="n"/>
      <c r="N967" s="21" t="n"/>
      <c r="O967" s="22" t="n"/>
      <c r="P967" s="24" t="n"/>
    </row>
    <row r="968" ht="33" customHeight="1">
      <c r="A968" s="53" t="n"/>
      <c r="B968" s="54" t="n"/>
      <c r="C968" s="54" t="n"/>
      <c r="D968" s="54" t="n"/>
      <c r="E968" s="15" t="n"/>
      <c r="F968" s="17" t="n"/>
      <c r="G968" s="54" t="n"/>
      <c r="H968" s="54" t="n"/>
      <c r="I968" s="15" t="n"/>
      <c r="J968" s="56" t="n"/>
      <c r="K968" s="57" t="n"/>
      <c r="L968" s="19" t="n"/>
      <c r="M968" s="20" t="n"/>
      <c r="N968" s="21" t="n"/>
      <c r="O968" s="22" t="n"/>
      <c r="P968" s="24" t="n"/>
    </row>
    <row r="969" ht="33" customHeight="1">
      <c r="A969" s="53" t="n"/>
      <c r="B969" s="54" t="n"/>
      <c r="C969" s="54" t="n"/>
      <c r="D969" s="54" t="n"/>
      <c r="E969" s="15" t="n"/>
      <c r="F969" s="17" t="n"/>
      <c r="G969" s="54" t="n"/>
      <c r="H969" s="54" t="n"/>
      <c r="I969" s="15" t="n"/>
      <c r="J969" s="56" t="n"/>
      <c r="K969" s="57" t="n"/>
      <c r="L969" s="19" t="n"/>
      <c r="M969" s="20" t="n"/>
      <c r="N969" s="21" t="n"/>
      <c r="O969" s="22" t="n"/>
      <c r="P969" s="24" t="n"/>
    </row>
    <row r="970" ht="33" customHeight="1">
      <c r="A970" s="53" t="n"/>
      <c r="B970" s="54" t="n"/>
      <c r="C970" s="54" t="n"/>
      <c r="D970" s="54" t="n"/>
      <c r="E970" s="15" t="n"/>
      <c r="F970" s="17" t="n"/>
      <c r="G970" s="54" t="n"/>
      <c r="H970" s="54" t="n"/>
      <c r="I970" s="15" t="n"/>
      <c r="J970" s="56" t="n"/>
      <c r="K970" s="57" t="n"/>
      <c r="L970" s="19" t="n"/>
      <c r="M970" s="20" t="n"/>
      <c r="N970" s="21" t="n"/>
      <c r="O970" s="22" t="n"/>
      <c r="P970" s="24" t="n"/>
    </row>
    <row r="971" ht="33" customHeight="1">
      <c r="A971" s="53" t="n"/>
      <c r="B971" s="54" t="n"/>
      <c r="C971" s="54" t="n"/>
      <c r="D971" s="54" t="n"/>
      <c r="E971" s="15" t="n"/>
      <c r="F971" s="17" t="n"/>
      <c r="G971" s="54" t="n"/>
      <c r="H971" s="54" t="n"/>
      <c r="I971" s="15" t="n"/>
      <c r="J971" s="56" t="n"/>
      <c r="K971" s="57" t="n"/>
      <c r="L971" s="19" t="n"/>
      <c r="M971" s="20" t="n"/>
      <c r="N971" s="21" t="n"/>
      <c r="O971" s="22" t="n"/>
      <c r="P971" s="24" t="n"/>
    </row>
    <row r="972" ht="33" customHeight="1">
      <c r="A972" s="53" t="n"/>
      <c r="B972" s="54" t="n"/>
      <c r="C972" s="54" t="n"/>
      <c r="D972" s="54" t="n"/>
      <c r="E972" s="15" t="n"/>
      <c r="F972" s="17" t="n"/>
      <c r="G972" s="54" t="n"/>
      <c r="H972" s="54" t="n"/>
      <c r="I972" s="15" t="n"/>
      <c r="J972" s="56" t="n"/>
      <c r="K972" s="57" t="n"/>
      <c r="L972" s="19" t="n"/>
      <c r="M972" s="20" t="n"/>
      <c r="N972" s="21" t="n"/>
      <c r="O972" s="22" t="n"/>
      <c r="P972" s="24" t="n"/>
    </row>
    <row r="973" ht="33" customHeight="1">
      <c r="A973" s="53" t="n"/>
      <c r="B973" s="54" t="n"/>
      <c r="C973" s="54" t="n"/>
      <c r="D973" s="54" t="n"/>
      <c r="E973" s="15" t="n"/>
      <c r="F973" s="17" t="n"/>
      <c r="G973" s="54" t="n"/>
      <c r="H973" s="54" t="n"/>
      <c r="I973" s="15" t="n"/>
      <c r="J973" s="56" t="n"/>
      <c r="K973" s="57" t="n"/>
      <c r="L973" s="19" t="n"/>
      <c r="M973" s="20" t="n"/>
      <c r="N973" s="21" t="n"/>
      <c r="O973" s="22" t="n"/>
      <c r="P973" s="24" t="n"/>
    </row>
    <row r="974" ht="33" customHeight="1">
      <c r="A974" s="53" t="n"/>
      <c r="B974" s="54" t="n"/>
      <c r="C974" s="54" t="n"/>
      <c r="D974" s="54" t="n"/>
      <c r="E974" s="15" t="n"/>
      <c r="F974" s="17" t="n"/>
      <c r="G974" s="54" t="n"/>
      <c r="H974" s="54" t="n"/>
      <c r="I974" s="15" t="n"/>
      <c r="J974" s="56" t="n"/>
      <c r="K974" s="57" t="n"/>
      <c r="L974" s="19" t="n"/>
      <c r="M974" s="20" t="n"/>
      <c r="N974" s="21" t="n"/>
      <c r="O974" s="22" t="n"/>
      <c r="P974" s="24" t="n"/>
    </row>
    <row r="975" ht="33" customHeight="1">
      <c r="A975" s="53" t="n"/>
      <c r="B975" s="54" t="n"/>
      <c r="C975" s="54" t="n"/>
      <c r="D975" s="54" t="n"/>
      <c r="E975" s="15" t="n"/>
      <c r="F975" s="17" t="n"/>
      <c r="G975" s="54" t="n"/>
      <c r="H975" s="54" t="n"/>
      <c r="I975" s="15" t="n"/>
      <c r="J975" s="56" t="n"/>
      <c r="K975" s="57" t="n"/>
      <c r="L975" s="19" t="n"/>
      <c r="M975" s="20" t="n"/>
      <c r="N975" s="21" t="n"/>
      <c r="O975" s="22" t="n"/>
      <c r="P975" s="24" t="n"/>
    </row>
    <row r="976" ht="33" customHeight="1">
      <c r="A976" s="53" t="n"/>
      <c r="B976" s="54" t="n"/>
      <c r="C976" s="54" t="n"/>
      <c r="D976" s="54" t="n"/>
      <c r="E976" s="15" t="n"/>
      <c r="F976" s="17" t="n"/>
      <c r="G976" s="54" t="n"/>
      <c r="H976" s="54" t="n"/>
      <c r="I976" s="15" t="n"/>
      <c r="J976" s="56" t="n"/>
      <c r="K976" s="57" t="n"/>
      <c r="L976" s="19" t="n"/>
      <c r="M976" s="20" t="n"/>
      <c r="N976" s="21" t="n"/>
      <c r="O976" s="22" t="n"/>
      <c r="P976" s="24" t="n"/>
    </row>
    <row r="977" ht="33" customHeight="1">
      <c r="A977" s="53" t="n"/>
      <c r="B977" s="54" t="n"/>
      <c r="C977" s="54" t="n"/>
      <c r="D977" s="54" t="n"/>
      <c r="E977" s="15" t="n"/>
      <c r="F977" s="17" t="n"/>
      <c r="G977" s="54" t="n"/>
      <c r="H977" s="54" t="n"/>
      <c r="I977" s="15" t="n"/>
      <c r="J977" s="56" t="n"/>
      <c r="K977" s="57" t="n"/>
      <c r="L977" s="19" t="n"/>
      <c r="M977" s="20" t="n"/>
      <c r="N977" s="21" t="n"/>
      <c r="O977" s="22" t="n"/>
      <c r="P977" s="24" t="n"/>
    </row>
    <row r="978" ht="33" customHeight="1">
      <c r="A978" s="53" t="n"/>
      <c r="B978" s="54" t="n"/>
      <c r="C978" s="54" t="n"/>
      <c r="D978" s="54" t="n"/>
      <c r="E978" s="15" t="n"/>
      <c r="F978" s="17" t="n"/>
      <c r="G978" s="54" t="n"/>
      <c r="H978" s="54" t="n"/>
      <c r="I978" s="15" t="n"/>
      <c r="J978" s="56" t="n"/>
      <c r="K978" s="57" t="n"/>
      <c r="L978" s="19" t="n"/>
      <c r="M978" s="20" t="n"/>
      <c r="N978" s="21" t="n"/>
      <c r="O978" s="22" t="n"/>
      <c r="P978" s="24" t="n"/>
    </row>
    <row r="979" ht="33" customHeight="1">
      <c r="A979" s="53" t="n"/>
      <c r="B979" s="54" t="n"/>
      <c r="C979" s="54" t="n"/>
      <c r="D979" s="54" t="n"/>
      <c r="E979" s="15" t="n"/>
      <c r="F979" s="17" t="n"/>
      <c r="G979" s="54" t="n"/>
      <c r="H979" s="54" t="n"/>
      <c r="I979" s="15" t="n"/>
      <c r="J979" s="56" t="n"/>
      <c r="K979" s="57" t="n"/>
      <c r="L979" s="19" t="n"/>
      <c r="M979" s="20" t="n"/>
      <c r="N979" s="21" t="n"/>
      <c r="O979" s="22" t="n"/>
      <c r="P979" s="24" t="n"/>
    </row>
    <row r="980" ht="33" customHeight="1">
      <c r="A980" s="53" t="n"/>
      <c r="B980" s="54" t="n"/>
      <c r="C980" s="54" t="n"/>
      <c r="D980" s="54" t="n"/>
      <c r="E980" s="15" t="n"/>
      <c r="F980" s="17" t="n"/>
      <c r="G980" s="54" t="n"/>
      <c r="H980" s="54" t="n"/>
      <c r="I980" s="15" t="n"/>
      <c r="J980" s="56" t="n"/>
      <c r="K980" s="57" t="n"/>
      <c r="L980" s="19" t="n"/>
      <c r="M980" s="20" t="n"/>
      <c r="N980" s="21" t="n"/>
      <c r="O980" s="22" t="n"/>
      <c r="P980" s="24" t="n"/>
    </row>
    <row r="981" ht="33" customHeight="1">
      <c r="A981" s="53" t="n"/>
      <c r="B981" s="54" t="n"/>
      <c r="C981" s="54" t="n"/>
      <c r="D981" s="54" t="n"/>
      <c r="E981" s="15" t="n"/>
      <c r="F981" s="17" t="n"/>
      <c r="G981" s="54" t="n"/>
      <c r="H981" s="54" t="n"/>
      <c r="I981" s="15" t="n"/>
      <c r="J981" s="56" t="n"/>
      <c r="K981" s="57" t="n"/>
      <c r="L981" s="19" t="n"/>
      <c r="M981" s="20" t="n"/>
      <c r="N981" s="21" t="n"/>
      <c r="O981" s="22" t="n"/>
      <c r="P981" s="24" t="n"/>
    </row>
    <row r="982" ht="33" customHeight="1">
      <c r="A982" s="53" t="n"/>
      <c r="B982" s="54" t="n"/>
      <c r="C982" s="54" t="n"/>
      <c r="D982" s="54" t="n"/>
      <c r="E982" s="15" t="n"/>
      <c r="F982" s="17" t="n"/>
      <c r="G982" s="54" t="n"/>
      <c r="H982" s="54" t="n"/>
      <c r="I982" s="15" t="n"/>
      <c r="J982" s="56" t="n"/>
      <c r="K982" s="57" t="n"/>
      <c r="L982" s="19" t="n"/>
      <c r="M982" s="20" t="n"/>
      <c r="N982" s="21" t="n"/>
      <c r="O982" s="22" t="n"/>
      <c r="P982" s="24" t="n"/>
    </row>
    <row r="983" ht="33" customHeight="1">
      <c r="A983" s="53" t="n"/>
      <c r="B983" s="54" t="n"/>
      <c r="C983" s="54" t="n"/>
      <c r="D983" s="54" t="n"/>
      <c r="E983" s="15" t="n"/>
      <c r="F983" s="17" t="n"/>
      <c r="G983" s="54" t="n"/>
      <c r="H983" s="54" t="n"/>
      <c r="I983" s="15" t="n"/>
      <c r="J983" s="56" t="n"/>
      <c r="K983" s="57" t="n"/>
      <c r="L983" s="19" t="n"/>
      <c r="M983" s="20" t="n"/>
      <c r="N983" s="21" t="n"/>
      <c r="O983" s="22" t="n"/>
      <c r="P983" s="24" t="n"/>
    </row>
    <row r="984" ht="33" customHeight="1">
      <c r="A984" s="53" t="n"/>
      <c r="B984" s="54" t="n"/>
      <c r="C984" s="54" t="n"/>
      <c r="D984" s="54" t="n"/>
      <c r="E984" s="15" t="n"/>
      <c r="F984" s="17" t="n"/>
      <c r="G984" s="54" t="n"/>
      <c r="H984" s="54" t="n"/>
      <c r="I984" s="15" t="n"/>
      <c r="J984" s="56" t="n"/>
      <c r="K984" s="57" t="n"/>
      <c r="L984" s="19" t="n"/>
      <c r="M984" s="20" t="n"/>
      <c r="N984" s="21" t="n"/>
      <c r="O984" s="22" t="n"/>
      <c r="P984" s="24" t="n"/>
    </row>
    <row r="985" ht="33" customHeight="1">
      <c r="A985" s="53" t="n"/>
      <c r="B985" s="54" t="n"/>
      <c r="C985" s="54" t="n"/>
      <c r="D985" s="54" t="n"/>
      <c r="E985" s="15" t="n"/>
      <c r="F985" s="17" t="n"/>
      <c r="G985" s="54" t="n"/>
      <c r="H985" s="54" t="n"/>
      <c r="I985" s="15" t="n"/>
      <c r="J985" s="56" t="n"/>
      <c r="K985" s="57" t="n"/>
      <c r="L985" s="19" t="n"/>
      <c r="M985" s="20" t="n"/>
      <c r="N985" s="21" t="n"/>
      <c r="O985" s="22" t="n"/>
      <c r="P985" s="24" t="n"/>
    </row>
    <row r="986" ht="33" customHeight="1">
      <c r="A986" s="53" t="n"/>
      <c r="B986" s="54" t="n"/>
      <c r="C986" s="54" t="n"/>
      <c r="D986" s="54" t="n"/>
      <c r="E986" s="15" t="n"/>
      <c r="F986" s="17" t="n"/>
      <c r="G986" s="54" t="n"/>
      <c r="H986" s="54" t="n"/>
      <c r="I986" s="15" t="n"/>
      <c r="J986" s="56" t="n"/>
      <c r="K986" s="57" t="n"/>
      <c r="L986" s="19" t="n"/>
      <c r="M986" s="20" t="n"/>
      <c r="N986" s="21" t="n"/>
      <c r="O986" s="22" t="n"/>
      <c r="P986" s="24" t="n"/>
    </row>
    <row r="987" ht="33" customHeight="1">
      <c r="A987" s="53" t="n"/>
      <c r="B987" s="54" t="n"/>
      <c r="C987" s="54" t="n"/>
      <c r="D987" s="54" t="n"/>
      <c r="E987" s="15" t="n"/>
      <c r="F987" s="17" t="n"/>
      <c r="G987" s="54" t="n"/>
      <c r="H987" s="54" t="n"/>
      <c r="I987" s="15" t="n"/>
      <c r="J987" s="56" t="n"/>
      <c r="K987" s="57" t="n"/>
      <c r="L987" s="19" t="n"/>
      <c r="M987" s="20" t="n"/>
      <c r="N987" s="21" t="n"/>
      <c r="O987" s="22" t="n"/>
      <c r="P987" s="24" t="n"/>
    </row>
    <row r="988" ht="33" customHeight="1">
      <c r="A988" s="53" t="n"/>
      <c r="B988" s="54" t="n"/>
      <c r="C988" s="54" t="n"/>
      <c r="D988" s="54" t="n"/>
      <c r="E988" s="15" t="n"/>
      <c r="F988" s="17" t="n"/>
      <c r="G988" s="54" t="n"/>
      <c r="H988" s="54" t="n"/>
      <c r="I988" s="15" t="n"/>
      <c r="J988" s="56" t="n"/>
      <c r="K988" s="57" t="n"/>
      <c r="L988" s="19" t="n"/>
      <c r="M988" s="20" t="n"/>
      <c r="N988" s="21" t="n"/>
      <c r="O988" s="22" t="n"/>
      <c r="P988" s="24" t="n"/>
    </row>
    <row r="989" ht="33" customHeight="1">
      <c r="A989" s="53" t="n"/>
      <c r="B989" s="54" t="n"/>
      <c r="C989" s="54" t="n"/>
      <c r="D989" s="54" t="n"/>
      <c r="E989" s="15" t="n"/>
      <c r="F989" s="17" t="n"/>
      <c r="G989" s="54" t="n"/>
      <c r="H989" s="54" t="n"/>
      <c r="I989" s="15" t="n"/>
      <c r="J989" s="56" t="n"/>
      <c r="K989" s="57" t="n"/>
      <c r="L989" s="19" t="n"/>
      <c r="M989" s="20" t="n"/>
      <c r="N989" s="21" t="n"/>
      <c r="O989" s="22" t="n"/>
      <c r="P989" s="24" t="n"/>
    </row>
    <row r="990" ht="33" customHeight="1">
      <c r="A990" s="53" t="n"/>
      <c r="B990" s="54" t="n"/>
      <c r="C990" s="54" t="n"/>
      <c r="D990" s="54" t="n"/>
      <c r="E990" s="15" t="n"/>
      <c r="F990" s="17" t="n"/>
      <c r="G990" s="54" t="n"/>
      <c r="H990" s="54" t="n"/>
      <c r="I990" s="15" t="n"/>
      <c r="J990" s="56" t="n"/>
      <c r="K990" s="57" t="n"/>
      <c r="L990" s="19" t="n"/>
      <c r="M990" s="20" t="n"/>
      <c r="N990" s="21" t="n"/>
      <c r="O990" s="22" t="n"/>
      <c r="P990" s="24" t="n"/>
    </row>
    <row r="991" ht="33" customHeight="1">
      <c r="A991" s="53" t="n"/>
      <c r="B991" s="54" t="n"/>
      <c r="C991" s="54" t="n"/>
      <c r="D991" s="54" t="n"/>
      <c r="E991" s="15" t="n"/>
      <c r="F991" s="17" t="n"/>
      <c r="G991" s="54" t="n"/>
      <c r="H991" s="54" t="n"/>
      <c r="I991" s="15" t="n"/>
      <c r="J991" s="56" t="n"/>
      <c r="K991" s="57" t="n"/>
      <c r="L991" s="19" t="n"/>
      <c r="M991" s="20" t="n"/>
      <c r="N991" s="21" t="n"/>
      <c r="O991" s="22" t="n"/>
      <c r="P991" s="24" t="n"/>
    </row>
    <row r="992" ht="33" customHeight="1">
      <c r="A992" s="53" t="n"/>
      <c r="B992" s="54" t="n"/>
      <c r="C992" s="54" t="n"/>
      <c r="D992" s="54" t="n"/>
      <c r="E992" s="15" t="n"/>
      <c r="F992" s="17" t="n"/>
      <c r="G992" s="54" t="n"/>
      <c r="H992" s="54" t="n"/>
      <c r="I992" s="15" t="n"/>
      <c r="J992" s="56" t="n"/>
      <c r="K992" s="57" t="n"/>
      <c r="L992" s="19" t="n"/>
      <c r="M992" s="20" t="n"/>
      <c r="N992" s="21" t="n"/>
      <c r="O992" s="22" t="n"/>
      <c r="P992" s="24" t="n"/>
    </row>
    <row r="993" ht="33" customHeight="1">
      <c r="A993" s="53" t="n"/>
      <c r="B993" s="54" t="n"/>
      <c r="C993" s="54" t="n"/>
      <c r="D993" s="54" t="n"/>
      <c r="E993" s="15" t="n"/>
      <c r="F993" s="17" t="n"/>
      <c r="G993" s="54" t="n"/>
      <c r="H993" s="54" t="n"/>
      <c r="I993" s="15" t="n"/>
      <c r="J993" s="56" t="n"/>
      <c r="K993" s="57" t="n"/>
      <c r="L993" s="19" t="n"/>
      <c r="M993" s="20" t="n"/>
      <c r="N993" s="21" t="n"/>
      <c r="O993" s="22" t="n"/>
      <c r="P993" s="24" t="n"/>
    </row>
    <row r="994" ht="33" customHeight="1">
      <c r="A994" s="53" t="n"/>
      <c r="B994" s="54" t="n"/>
      <c r="C994" s="54" t="n"/>
      <c r="D994" s="54" t="n"/>
      <c r="E994" s="15" t="n"/>
      <c r="F994" s="17" t="n"/>
      <c r="G994" s="54" t="n"/>
      <c r="H994" s="54" t="n"/>
      <c r="I994" s="15" t="n"/>
      <c r="J994" s="56" t="n"/>
      <c r="K994" s="57" t="n"/>
      <c r="L994" s="19" t="n"/>
      <c r="M994" s="20" t="n"/>
      <c r="N994" s="21" t="n"/>
      <c r="O994" s="22" t="n"/>
      <c r="P994" s="24" t="n"/>
    </row>
    <row r="995" ht="33" customHeight="1">
      <c r="A995" s="53" t="n"/>
      <c r="B995" s="54" t="n"/>
      <c r="C995" s="54" t="n"/>
      <c r="D995" s="54" t="n"/>
      <c r="E995" s="15" t="n"/>
      <c r="F995" s="17" t="n"/>
      <c r="G995" s="54" t="n"/>
      <c r="H995" s="54" t="n"/>
      <c r="I995" s="15" t="n"/>
      <c r="J995" s="56" t="n"/>
      <c r="K995" s="57" t="n"/>
      <c r="L995" s="19" t="n"/>
      <c r="M995" s="20" t="n"/>
      <c r="N995" s="21" t="n"/>
      <c r="O995" s="22" t="n"/>
      <c r="P995" s="24" t="n"/>
    </row>
    <row r="996" ht="33" customHeight="1">
      <c r="A996" s="53" t="n"/>
      <c r="B996" s="54" t="n"/>
      <c r="C996" s="54" t="n"/>
      <c r="D996" s="54" t="n"/>
      <c r="E996" s="15" t="n"/>
      <c r="F996" s="17" t="n"/>
      <c r="G996" s="54" t="n"/>
      <c r="H996" s="54" t="n"/>
      <c r="I996" s="15" t="n"/>
      <c r="J996" s="56" t="n"/>
      <c r="K996" s="57" t="n"/>
      <c r="L996" s="19" t="n"/>
      <c r="M996" s="20" t="n"/>
      <c r="N996" s="21" t="n"/>
      <c r="O996" s="22" t="n"/>
      <c r="P996" s="24" t="n"/>
    </row>
    <row r="997" ht="33" customHeight="1">
      <c r="A997" s="53" t="n"/>
      <c r="B997" s="54" t="n"/>
      <c r="C997" s="54" t="n"/>
      <c r="D997" s="54" t="n"/>
      <c r="E997" s="15" t="n"/>
      <c r="F997" s="17" t="n"/>
      <c r="G997" s="54" t="n"/>
      <c r="H997" s="54" t="n"/>
      <c r="I997" s="15" t="n"/>
      <c r="J997" s="56" t="n"/>
      <c r="K997" s="57" t="n"/>
      <c r="L997" s="19" t="n"/>
      <c r="M997" s="20" t="n"/>
      <c r="N997" s="21" t="n"/>
      <c r="O997" s="22" t="n"/>
      <c r="P997" s="24" t="n"/>
    </row>
    <row r="998" ht="33" customHeight="1">
      <c r="A998" s="53" t="n"/>
      <c r="B998" s="54" t="n"/>
      <c r="C998" s="54" t="n"/>
      <c r="D998" s="54" t="n"/>
      <c r="E998" s="15" t="n"/>
      <c r="F998" s="17" t="n"/>
      <c r="G998" s="54" t="n"/>
      <c r="H998" s="54" t="n"/>
      <c r="I998" s="15" t="n"/>
      <c r="J998" s="56" t="n"/>
      <c r="K998" s="57" t="n"/>
      <c r="L998" s="19" t="n"/>
      <c r="M998" s="20" t="n"/>
      <c r="N998" s="21" t="n"/>
      <c r="O998" s="22" t="n"/>
      <c r="P998" s="24" t="n"/>
    </row>
    <row r="999" ht="33" customHeight="1">
      <c r="A999" s="53" t="n"/>
      <c r="B999" s="54" t="n"/>
      <c r="C999" s="54" t="n"/>
      <c r="D999" s="54" t="n"/>
      <c r="E999" s="15" t="n"/>
      <c r="F999" s="17" t="n"/>
      <c r="G999" s="54" t="n"/>
      <c r="H999" s="54" t="n"/>
      <c r="I999" s="15" t="n"/>
      <c r="J999" s="56" t="n"/>
      <c r="K999" s="57" t="n"/>
      <c r="L999" s="19" t="n"/>
      <c r="M999" s="20" t="n"/>
      <c r="N999" s="21" t="n"/>
      <c r="O999" s="22" t="n"/>
      <c r="P999" s="24" t="n"/>
    </row>
    <row r="1000" ht="33" customHeight="1">
      <c r="A1000" s="53" t="n"/>
      <c r="B1000" s="54" t="n"/>
      <c r="C1000" s="54" t="n"/>
      <c r="D1000" s="54" t="n"/>
      <c r="E1000" s="15" t="n"/>
      <c r="F1000" s="17" t="n"/>
      <c r="G1000" s="54" t="n"/>
      <c r="H1000" s="54" t="n"/>
      <c r="I1000" s="15" t="n"/>
      <c r="J1000" s="56" t="n"/>
      <c r="K1000" s="57" t="n"/>
      <c r="L1000" s="19" t="n"/>
      <c r="M1000" s="20" t="n"/>
      <c r="N1000" s="21" t="n"/>
      <c r="O1000" s="22" t="n"/>
      <c r="P1000" s="24" t="n"/>
    </row>
    <row r="1001" ht="33" customHeight="1">
      <c r="A1001" s="53" t="n"/>
      <c r="B1001" s="54" t="n"/>
      <c r="C1001" s="54" t="n"/>
      <c r="D1001" s="54" t="n"/>
      <c r="E1001" s="15" t="n"/>
      <c r="F1001" s="17" t="n"/>
      <c r="G1001" s="54" t="n"/>
      <c r="H1001" s="54" t="n"/>
      <c r="I1001" s="15" t="n"/>
      <c r="J1001" s="56" t="n"/>
      <c r="K1001" s="57" t="n"/>
      <c r="L1001" s="19" t="n"/>
      <c r="M1001" s="20" t="n"/>
      <c r="N1001" s="21" t="n"/>
      <c r="O1001" s="22" t="n"/>
      <c r="P1001" s="24" t="n"/>
    </row>
    <row r="1002" ht="33" customHeight="1">
      <c r="A1002" s="53" t="n"/>
      <c r="B1002" s="54" t="n"/>
      <c r="C1002" s="54" t="n"/>
      <c r="D1002" s="54" t="n"/>
      <c r="E1002" s="15" t="n"/>
      <c r="F1002" s="17" t="n"/>
      <c r="G1002" s="54" t="n"/>
      <c r="H1002" s="54" t="n"/>
      <c r="I1002" s="15" t="n"/>
      <c r="J1002" s="56" t="n"/>
      <c r="K1002" s="57" t="n"/>
      <c r="L1002" s="19" t="n"/>
      <c r="M1002" s="20" t="n"/>
      <c r="N1002" s="21" t="n"/>
      <c r="O1002" s="22" t="n"/>
      <c r="P1002" s="24" t="n"/>
    </row>
    <row r="1003" ht="33" customHeight="1">
      <c r="A1003" s="53" t="n"/>
      <c r="B1003" s="54" t="n"/>
      <c r="C1003" s="54" t="n"/>
      <c r="D1003" s="54" t="n"/>
      <c r="E1003" s="15" t="n"/>
      <c r="F1003" s="17" t="n"/>
      <c r="G1003" s="54" t="n"/>
      <c r="H1003" s="54" t="n"/>
      <c r="I1003" s="15" t="n"/>
      <c r="J1003" s="56" t="n"/>
      <c r="K1003" s="57" t="n"/>
      <c r="L1003" s="19" t="n"/>
      <c r="M1003" s="20" t="n"/>
      <c r="N1003" s="21" t="n"/>
      <c r="O1003" s="22" t="n"/>
      <c r="P1003" s="24" t="n"/>
    </row>
    <row r="1004" ht="33" customHeight="1">
      <c r="A1004" s="53" t="n"/>
      <c r="B1004" s="54" t="n"/>
      <c r="C1004" s="54" t="n"/>
      <c r="D1004" s="54" t="n"/>
      <c r="E1004" s="15" t="n"/>
      <c r="F1004" s="17" t="n"/>
      <c r="G1004" s="54" t="n"/>
      <c r="H1004" s="54" t="n"/>
      <c r="I1004" s="15" t="n"/>
      <c r="J1004" s="56" t="n"/>
      <c r="K1004" s="57" t="n"/>
      <c r="L1004" s="19" t="n"/>
      <c r="M1004" s="20" t="n"/>
      <c r="N1004" s="21" t="n"/>
      <c r="O1004" s="22" t="n"/>
      <c r="P1004" s="24" t="n"/>
    </row>
    <row r="1005" ht="33" customHeight="1">
      <c r="A1005" s="53" t="n"/>
      <c r="B1005" s="54" t="n"/>
      <c r="C1005" s="54" t="n"/>
      <c r="D1005" s="54" t="n"/>
      <c r="E1005" s="15" t="n"/>
      <c r="F1005" s="17" t="n"/>
      <c r="G1005" s="54" t="n"/>
      <c r="H1005" s="54" t="n"/>
      <c r="I1005" s="15" t="n"/>
      <c r="J1005" s="56" t="n"/>
      <c r="K1005" s="57" t="n"/>
      <c r="L1005" s="19" t="n"/>
      <c r="M1005" s="20" t="n"/>
      <c r="N1005" s="21" t="n"/>
      <c r="O1005" s="22" t="n"/>
      <c r="P1005" s="24" t="n"/>
    </row>
    <row r="1006" ht="33" customHeight="1">
      <c r="A1006" s="53" t="n"/>
      <c r="B1006" s="54" t="n"/>
      <c r="C1006" s="54" t="n"/>
      <c r="D1006" s="54" t="n"/>
      <c r="E1006" s="15" t="n"/>
      <c r="F1006" s="17" t="n"/>
      <c r="G1006" s="54" t="n"/>
      <c r="H1006" s="54" t="n"/>
      <c r="I1006" s="15" t="n"/>
      <c r="J1006" s="56" t="n"/>
      <c r="K1006" s="57" t="n"/>
      <c r="L1006" s="19" t="n"/>
      <c r="M1006" s="20" t="n"/>
      <c r="N1006" s="21" t="n"/>
      <c r="O1006" s="22" t="n"/>
      <c r="P1006" s="24" t="n"/>
    </row>
    <row r="1007" ht="33" customHeight="1">
      <c r="A1007" s="53" t="n"/>
      <c r="B1007" s="54" t="n"/>
      <c r="C1007" s="54" t="n"/>
      <c r="D1007" s="54" t="n"/>
      <c r="E1007" s="15" t="n"/>
      <c r="F1007" s="17" t="n"/>
      <c r="G1007" s="54" t="n"/>
      <c r="H1007" s="54" t="n"/>
      <c r="I1007" s="15" t="n"/>
      <c r="J1007" s="56" t="n"/>
      <c r="K1007" s="57" t="n"/>
      <c r="L1007" s="19" t="n"/>
      <c r="M1007" s="20" t="n"/>
      <c r="N1007" s="21" t="n"/>
      <c r="O1007" s="22" t="n"/>
      <c r="P1007" s="24" t="n"/>
    </row>
    <row r="1008" ht="33" customHeight="1">
      <c r="A1008" s="53" t="n"/>
      <c r="B1008" s="54" t="n"/>
      <c r="C1008" s="54" t="n"/>
      <c r="D1008" s="54" t="n"/>
      <c r="E1008" s="15" t="n"/>
      <c r="F1008" s="17" t="n"/>
      <c r="G1008" s="54" t="n"/>
      <c r="H1008" s="54" t="n"/>
      <c r="I1008" s="15" t="n"/>
      <c r="J1008" s="56" t="n"/>
      <c r="K1008" s="57" t="n"/>
      <c r="L1008" s="19" t="n"/>
      <c r="M1008" s="20" t="n"/>
      <c r="N1008" s="21" t="n"/>
      <c r="O1008" s="22" t="n"/>
      <c r="P1008" s="24" t="n"/>
    </row>
    <row r="1009" ht="33" customHeight="1">
      <c r="A1009" s="53" t="n"/>
      <c r="B1009" s="54" t="n"/>
      <c r="C1009" s="54" t="n"/>
      <c r="D1009" s="54" t="n"/>
      <c r="E1009" s="15" t="n"/>
      <c r="F1009" s="17" t="n"/>
      <c r="G1009" s="54" t="n"/>
      <c r="H1009" s="54" t="n"/>
      <c r="I1009" s="15" t="n"/>
      <c r="J1009" s="56" t="n"/>
      <c r="K1009" s="57" t="n"/>
      <c r="L1009" s="19" t="n"/>
      <c r="M1009" s="20" t="n"/>
      <c r="N1009" s="21" t="n"/>
      <c r="O1009" s="22" t="n"/>
      <c r="P1009" s="24" t="n"/>
    </row>
    <row r="1010" ht="33" customHeight="1">
      <c r="A1010" s="53" t="n"/>
      <c r="B1010" s="54" t="n"/>
      <c r="C1010" s="54" t="n"/>
      <c r="D1010" s="54" t="n"/>
      <c r="E1010" s="15" t="n"/>
      <c r="F1010" s="17" t="n"/>
      <c r="G1010" s="54" t="n"/>
      <c r="H1010" s="54" t="n"/>
      <c r="I1010" s="15" t="n"/>
      <c r="J1010" s="56" t="n"/>
      <c r="K1010" s="57" t="n"/>
      <c r="L1010" s="19" t="n"/>
      <c r="M1010" s="20" t="n"/>
      <c r="N1010" s="21" t="n"/>
      <c r="O1010" s="22" t="n"/>
      <c r="P1010" s="24" t="n"/>
    </row>
    <row r="1011" ht="33" customHeight="1">
      <c r="A1011" s="53" t="n"/>
      <c r="B1011" s="54" t="n"/>
      <c r="C1011" s="54" t="n"/>
      <c r="D1011" s="54" t="n"/>
      <c r="E1011" s="15" t="n"/>
      <c r="F1011" s="17" t="n"/>
      <c r="G1011" s="54" t="n"/>
      <c r="H1011" s="54" t="n"/>
      <c r="I1011" s="15" t="n"/>
      <c r="J1011" s="56" t="n"/>
      <c r="K1011" s="57" t="n"/>
      <c r="L1011" s="19" t="n"/>
      <c r="M1011" s="20" t="n"/>
      <c r="N1011" s="21" t="n"/>
      <c r="O1011" s="22" t="n"/>
      <c r="P1011" s="24" t="n"/>
    </row>
    <row r="1012" ht="33" customHeight="1">
      <c r="A1012" s="53" t="n"/>
      <c r="B1012" s="54" t="n"/>
      <c r="C1012" s="54" t="n"/>
      <c r="D1012" s="54" t="n"/>
      <c r="E1012" s="15" t="n"/>
      <c r="F1012" s="17" t="n"/>
      <c r="G1012" s="54" t="n"/>
      <c r="H1012" s="54" t="n"/>
      <c r="I1012" s="15" t="n"/>
      <c r="J1012" s="56" t="n"/>
      <c r="K1012" s="57" t="n"/>
      <c r="L1012" s="19" t="n"/>
      <c r="M1012" s="20" t="n"/>
      <c r="N1012" s="21" t="n"/>
      <c r="O1012" s="22" t="n"/>
      <c r="P1012" s="24" t="n"/>
    </row>
    <row r="1013" ht="33" customHeight="1">
      <c r="A1013" s="53" t="n"/>
      <c r="B1013" s="54" t="n"/>
      <c r="C1013" s="54" t="n"/>
      <c r="D1013" s="54" t="n"/>
      <c r="E1013" s="15" t="n"/>
      <c r="F1013" s="17" t="n"/>
      <c r="G1013" s="54" t="n"/>
      <c r="H1013" s="54" t="n"/>
      <c r="I1013" s="15" t="n"/>
      <c r="J1013" s="56" t="n"/>
      <c r="K1013" s="57" t="n"/>
      <c r="L1013" s="19" t="n"/>
      <c r="M1013" s="20" t="n"/>
      <c r="N1013" s="21" t="n"/>
      <c r="O1013" s="22" t="n"/>
      <c r="P1013" s="24" t="n"/>
    </row>
    <row r="1014" ht="33" customHeight="1">
      <c r="A1014" s="53" t="n"/>
      <c r="B1014" s="54" t="n"/>
      <c r="C1014" s="54" t="n"/>
      <c r="D1014" s="54" t="n"/>
      <c r="E1014" s="15" t="n"/>
      <c r="F1014" s="17" t="n"/>
      <c r="G1014" s="54" t="n"/>
      <c r="H1014" s="54" t="n"/>
      <c r="I1014" s="15" t="n"/>
      <c r="J1014" s="56" t="n"/>
      <c r="K1014" s="57" t="n"/>
      <c r="L1014" s="19" t="n"/>
      <c r="M1014" s="20" t="n"/>
      <c r="N1014" s="21" t="n"/>
      <c r="O1014" s="22" t="n"/>
      <c r="P1014" s="24" t="n"/>
    </row>
    <row r="1015" ht="33" customHeight="1">
      <c r="A1015" s="53" t="n"/>
      <c r="B1015" s="54" t="n"/>
      <c r="C1015" s="54" t="n"/>
      <c r="D1015" s="54" t="n"/>
      <c r="E1015" s="15" t="n"/>
      <c r="F1015" s="17" t="n"/>
      <c r="G1015" s="54" t="n"/>
      <c r="H1015" s="54" t="n"/>
      <c r="I1015" s="15" t="n"/>
      <c r="J1015" s="56" t="n"/>
      <c r="K1015" s="57" t="n"/>
      <c r="L1015" s="19" t="n"/>
      <c r="M1015" s="20" t="n"/>
      <c r="N1015" s="21" t="n"/>
      <c r="O1015" s="22" t="n"/>
      <c r="P1015" s="24" t="n"/>
    </row>
    <row r="1016" ht="33" customHeight="1">
      <c r="A1016" s="53" t="n"/>
      <c r="B1016" s="54" t="n"/>
      <c r="C1016" s="54" t="n"/>
      <c r="D1016" s="54" t="n"/>
      <c r="E1016" s="15" t="n"/>
      <c r="F1016" s="17" t="n"/>
      <c r="G1016" s="54" t="n"/>
      <c r="H1016" s="54" t="n"/>
      <c r="I1016" s="15" t="n"/>
      <c r="J1016" s="56" t="n"/>
      <c r="K1016" s="57" t="n"/>
      <c r="L1016" s="19" t="n"/>
      <c r="M1016" s="20" t="n"/>
      <c r="N1016" s="21" t="n"/>
      <c r="O1016" s="22" t="n"/>
      <c r="P1016" s="24" t="n"/>
    </row>
    <row r="1017" ht="33" customHeight="1">
      <c r="A1017" s="53" t="n"/>
      <c r="B1017" s="54" t="n"/>
      <c r="C1017" s="54" t="n"/>
      <c r="D1017" s="54" t="n"/>
      <c r="E1017" s="15" t="n"/>
      <c r="F1017" s="17" t="n"/>
      <c r="G1017" s="54" t="n"/>
      <c r="H1017" s="54" t="n"/>
      <c r="I1017" s="15" t="n"/>
      <c r="J1017" s="56" t="n"/>
      <c r="K1017" s="57" t="n"/>
      <c r="L1017" s="19" t="n"/>
      <c r="M1017" s="20" t="n"/>
      <c r="N1017" s="21" t="n"/>
      <c r="O1017" s="22" t="n"/>
      <c r="P1017" s="24" t="n"/>
    </row>
    <row r="1018" ht="33" customHeight="1">
      <c r="A1018" s="53" t="n"/>
      <c r="B1018" s="54" t="n"/>
      <c r="C1018" s="54" t="n"/>
      <c r="D1018" s="54" t="n"/>
      <c r="E1018" s="15" t="n"/>
      <c r="F1018" s="17" t="n"/>
      <c r="G1018" s="54" t="n"/>
      <c r="H1018" s="54" t="n"/>
      <c r="I1018" s="15" t="n"/>
      <c r="J1018" s="56" t="n"/>
      <c r="K1018" s="57" t="n"/>
      <c r="L1018" s="19" t="n"/>
      <c r="M1018" s="20" t="n"/>
      <c r="N1018" s="21" t="n"/>
      <c r="O1018" s="22" t="n"/>
      <c r="P1018" s="24" t="n"/>
    </row>
    <row r="1019" ht="33" customHeight="1">
      <c r="A1019" s="53" t="n"/>
      <c r="B1019" s="54" t="n"/>
      <c r="C1019" s="54" t="n"/>
      <c r="D1019" s="54" t="n"/>
      <c r="E1019" s="15" t="n"/>
      <c r="F1019" s="17" t="n"/>
      <c r="G1019" s="54" t="n"/>
      <c r="H1019" s="54" t="n"/>
      <c r="I1019" s="15" t="n"/>
      <c r="J1019" s="56" t="n"/>
      <c r="K1019" s="57" t="n"/>
      <c r="L1019" s="19" t="n"/>
      <c r="M1019" s="20" t="n"/>
      <c r="N1019" s="21" t="n"/>
      <c r="O1019" s="22" t="n"/>
      <c r="P1019" s="24" t="n"/>
    </row>
    <row r="1020" ht="33" customHeight="1">
      <c r="A1020" s="53" t="n"/>
      <c r="B1020" s="54" t="n"/>
      <c r="C1020" s="54" t="n"/>
      <c r="D1020" s="54" t="n"/>
      <c r="E1020" s="15" t="n"/>
      <c r="F1020" s="17" t="n"/>
      <c r="G1020" s="54" t="n"/>
      <c r="H1020" s="54" t="n"/>
      <c r="I1020" s="15" t="n"/>
      <c r="J1020" s="56" t="n"/>
      <c r="K1020" s="57" t="n"/>
      <c r="L1020" s="19" t="n"/>
      <c r="M1020" s="20" t="n"/>
      <c r="N1020" s="21" t="n"/>
      <c r="O1020" s="22" t="n"/>
      <c r="P1020" s="24" t="n"/>
    </row>
    <row r="1021" ht="33" customHeight="1">
      <c r="A1021" s="53" t="n"/>
      <c r="B1021" s="54" t="n"/>
      <c r="C1021" s="54" t="n"/>
      <c r="D1021" s="54" t="n"/>
      <c r="E1021" s="15" t="n"/>
      <c r="F1021" s="17" t="n"/>
      <c r="G1021" s="54" t="n"/>
      <c r="H1021" s="54" t="n"/>
      <c r="I1021" s="15" t="n"/>
      <c r="J1021" s="56" t="n"/>
      <c r="K1021" s="57" t="n"/>
      <c r="L1021" s="19" t="n"/>
      <c r="M1021" s="20" t="n"/>
      <c r="N1021" s="21" t="n"/>
      <c r="O1021" s="22" t="n"/>
      <c r="P1021" s="24" t="n"/>
    </row>
    <row r="1022" ht="33" customHeight="1">
      <c r="A1022" s="53" t="n"/>
      <c r="B1022" s="54" t="n"/>
      <c r="C1022" s="54" t="n"/>
      <c r="D1022" s="54" t="n"/>
      <c r="E1022" s="15" t="n"/>
      <c r="F1022" s="17" t="n"/>
      <c r="G1022" s="54" t="n"/>
      <c r="H1022" s="54" t="n"/>
      <c r="I1022" s="15" t="n"/>
      <c r="J1022" s="56" t="n"/>
      <c r="K1022" s="57" t="n"/>
      <c r="L1022" s="19" t="n"/>
      <c r="M1022" s="20" t="n"/>
      <c r="N1022" s="21" t="n"/>
      <c r="O1022" s="22" t="n"/>
      <c r="P1022" s="24" t="n"/>
    </row>
    <row r="1023" ht="33" customHeight="1">
      <c r="A1023" s="53" t="n"/>
      <c r="B1023" s="54" t="n"/>
      <c r="C1023" s="54" t="n"/>
      <c r="D1023" s="54" t="n"/>
      <c r="E1023" s="15" t="n"/>
      <c r="F1023" s="17" t="n"/>
      <c r="G1023" s="54" t="n"/>
      <c r="H1023" s="54" t="n"/>
      <c r="I1023" s="15" t="n"/>
      <c r="J1023" s="56" t="n"/>
      <c r="K1023" s="57" t="n"/>
      <c r="L1023" s="19" t="n"/>
      <c r="M1023" s="20" t="n"/>
      <c r="N1023" s="21" t="n"/>
      <c r="O1023" s="22" t="n"/>
      <c r="P1023" s="24" t="n"/>
    </row>
    <row r="1024" ht="33" customHeight="1">
      <c r="A1024" s="53" t="n"/>
      <c r="B1024" s="54" t="n"/>
      <c r="C1024" s="54" t="n"/>
      <c r="D1024" s="54" t="n"/>
      <c r="E1024" s="15" t="n"/>
      <c r="F1024" s="17" t="n"/>
      <c r="G1024" s="54" t="n"/>
      <c r="H1024" s="54" t="n"/>
      <c r="I1024" s="15" t="n"/>
      <c r="J1024" s="56" t="n"/>
      <c r="K1024" s="57" t="n"/>
      <c r="L1024" s="19" t="n"/>
      <c r="M1024" s="20" t="n"/>
      <c r="N1024" s="21" t="n"/>
      <c r="O1024" s="22" t="n"/>
      <c r="P1024" s="24" t="n"/>
    </row>
    <row r="1025" ht="33" customHeight="1">
      <c r="A1025" s="53" t="n"/>
      <c r="B1025" s="54" t="n"/>
      <c r="C1025" s="54" t="n"/>
      <c r="D1025" s="54" t="n"/>
      <c r="E1025" s="15" t="n"/>
      <c r="F1025" s="17" t="n"/>
      <c r="G1025" s="54" t="n"/>
      <c r="H1025" s="54" t="n"/>
      <c r="I1025" s="15" t="n"/>
      <c r="J1025" s="56" t="n"/>
      <c r="K1025" s="57" t="n"/>
      <c r="L1025" s="19" t="n"/>
      <c r="M1025" s="20" t="n"/>
      <c r="N1025" s="21" t="n"/>
      <c r="O1025" s="22" t="n"/>
      <c r="P1025" s="24" t="n"/>
    </row>
    <row r="1026" ht="33" customHeight="1">
      <c r="A1026" s="53" t="n"/>
      <c r="B1026" s="54" t="n"/>
      <c r="C1026" s="54" t="n"/>
      <c r="D1026" s="54" t="n"/>
      <c r="E1026" s="15" t="n"/>
      <c r="F1026" s="17" t="n"/>
      <c r="G1026" s="54" t="n"/>
      <c r="H1026" s="54" t="n"/>
      <c r="I1026" s="15" t="n"/>
      <c r="J1026" s="56" t="n"/>
      <c r="K1026" s="57" t="n"/>
      <c r="L1026" s="19" t="n"/>
      <c r="M1026" s="20" t="n"/>
      <c r="N1026" s="21" t="n"/>
      <c r="O1026" s="22" t="n"/>
      <c r="P1026" s="24" t="n"/>
    </row>
    <row r="1027" ht="33" customHeight="1">
      <c r="A1027" s="53" t="n"/>
      <c r="B1027" s="54" t="n"/>
      <c r="C1027" s="54" t="n"/>
      <c r="D1027" s="54" t="n"/>
      <c r="E1027" s="15" t="n"/>
      <c r="F1027" s="17" t="n"/>
      <c r="G1027" s="54" t="n"/>
      <c r="H1027" s="54" t="n"/>
      <c r="I1027" s="15" t="n"/>
      <c r="J1027" s="56" t="n"/>
      <c r="K1027" s="57" t="n"/>
      <c r="L1027" s="19" t="n"/>
      <c r="M1027" s="20" t="n"/>
      <c r="N1027" s="21" t="n"/>
      <c r="O1027" s="22" t="n"/>
      <c r="P1027" s="24" t="n"/>
    </row>
    <row r="1028" ht="33" customHeight="1">
      <c r="A1028" s="53" t="n"/>
      <c r="B1028" s="54" t="n"/>
      <c r="C1028" s="54" t="n"/>
      <c r="D1028" s="54" t="n"/>
      <c r="E1028" s="15" t="n"/>
      <c r="F1028" s="17" t="n"/>
      <c r="G1028" s="54" t="n"/>
      <c r="H1028" s="54" t="n"/>
      <c r="I1028" s="15" t="n"/>
      <c r="J1028" s="56" t="n"/>
      <c r="K1028" s="57" t="n"/>
      <c r="L1028" s="19" t="n"/>
      <c r="M1028" s="20" t="n"/>
      <c r="N1028" s="21" t="n"/>
      <c r="O1028" s="22" t="n"/>
      <c r="P1028" s="24" t="n"/>
    </row>
    <row r="1029" ht="33" customHeight="1">
      <c r="A1029" s="53" t="n"/>
      <c r="B1029" s="54" t="n"/>
      <c r="C1029" s="54" t="n"/>
      <c r="D1029" s="54" t="n"/>
      <c r="E1029" s="15" t="n"/>
      <c r="F1029" s="17" t="n"/>
      <c r="G1029" s="54" t="n"/>
      <c r="H1029" s="54" t="n"/>
      <c r="I1029" s="15" t="n"/>
      <c r="J1029" s="56" t="n"/>
      <c r="K1029" s="57" t="n"/>
      <c r="L1029" s="19" t="n"/>
      <c r="M1029" s="20" t="n"/>
      <c r="N1029" s="21" t="n"/>
      <c r="O1029" s="22" t="n"/>
      <c r="P1029" s="24" t="n"/>
    </row>
    <row r="1030" ht="33" customHeight="1">
      <c r="A1030" s="53" t="n"/>
      <c r="B1030" s="54" t="n"/>
      <c r="C1030" s="54" t="n"/>
      <c r="D1030" s="54" t="n"/>
      <c r="E1030" s="15" t="n"/>
      <c r="F1030" s="17" t="n"/>
      <c r="G1030" s="54" t="n"/>
      <c r="H1030" s="54" t="n"/>
      <c r="I1030" s="15" t="n"/>
      <c r="J1030" s="56" t="n"/>
      <c r="K1030" s="57" t="n"/>
      <c r="L1030" s="19" t="n"/>
      <c r="M1030" s="20" t="n"/>
      <c r="N1030" s="21" t="n"/>
      <c r="O1030" s="22" t="n"/>
      <c r="P1030" s="24" t="n"/>
    </row>
    <row r="1031" ht="33" customHeight="1">
      <c r="A1031" s="53" t="n"/>
      <c r="B1031" s="54" t="n"/>
      <c r="C1031" s="54" t="n"/>
      <c r="D1031" s="54" t="n"/>
      <c r="E1031" s="15" t="n"/>
      <c r="F1031" s="17" t="n"/>
      <c r="G1031" s="54" t="n"/>
      <c r="H1031" s="54" t="n"/>
      <c r="I1031" s="15" t="n"/>
      <c r="J1031" s="56" t="n"/>
      <c r="K1031" s="57" t="n"/>
      <c r="L1031" s="19" t="n"/>
      <c r="M1031" s="20" t="n"/>
      <c r="N1031" s="21" t="n"/>
      <c r="O1031" s="22" t="n"/>
      <c r="P1031" s="24" t="n"/>
    </row>
    <row r="1032" ht="33" customHeight="1">
      <c r="A1032" s="53" t="n"/>
      <c r="B1032" s="54" t="n"/>
      <c r="C1032" s="54" t="n"/>
      <c r="D1032" s="54" t="n"/>
      <c r="E1032" s="15" t="n"/>
      <c r="F1032" s="17" t="n"/>
      <c r="G1032" s="54" t="n"/>
      <c r="H1032" s="54" t="n"/>
      <c r="I1032" s="15" t="n"/>
      <c r="J1032" s="56" t="n"/>
      <c r="K1032" s="57" t="n"/>
      <c r="L1032" s="19" t="n"/>
      <c r="M1032" s="20" t="n"/>
      <c r="N1032" s="21" t="n"/>
      <c r="O1032" s="22" t="n"/>
      <c r="P1032" s="24" t="n"/>
    </row>
    <row r="1033" ht="33" customHeight="1">
      <c r="A1033" s="53" t="n"/>
      <c r="B1033" s="54" t="n"/>
      <c r="C1033" s="54" t="n"/>
      <c r="D1033" s="54" t="n"/>
      <c r="E1033" s="15" t="n"/>
      <c r="F1033" s="17" t="n"/>
      <c r="G1033" s="54" t="n"/>
      <c r="H1033" s="54" t="n"/>
      <c r="I1033" s="15" t="n"/>
      <c r="J1033" s="56" t="n"/>
      <c r="K1033" s="57" t="n"/>
      <c r="L1033" s="19" t="n"/>
      <c r="M1033" s="20" t="n"/>
      <c r="N1033" s="21" t="n"/>
      <c r="O1033" s="22" t="n"/>
      <c r="P1033" s="24" t="n"/>
    </row>
    <row r="1034" ht="33" customHeight="1">
      <c r="A1034" s="53" t="n"/>
      <c r="B1034" s="54" t="n"/>
      <c r="C1034" s="54" t="n"/>
      <c r="D1034" s="54" t="n"/>
      <c r="E1034" s="15" t="n"/>
      <c r="F1034" s="17" t="n"/>
      <c r="G1034" s="54" t="n"/>
      <c r="H1034" s="54" t="n"/>
      <c r="I1034" s="15" t="n"/>
      <c r="J1034" s="56" t="n"/>
      <c r="K1034" s="57" t="n"/>
      <c r="L1034" s="19" t="n"/>
      <c r="M1034" s="20" t="n"/>
      <c r="N1034" s="21" t="n"/>
      <c r="O1034" s="22" t="n"/>
      <c r="P1034" s="24" t="n"/>
    </row>
    <row r="1035" ht="33" customHeight="1">
      <c r="A1035" s="53" t="n"/>
      <c r="B1035" s="54" t="n"/>
      <c r="C1035" s="54" t="n"/>
      <c r="D1035" s="54" t="n"/>
      <c r="E1035" s="15" t="n"/>
      <c r="F1035" s="17" t="n"/>
      <c r="G1035" s="54" t="n"/>
      <c r="H1035" s="54" t="n"/>
      <c r="I1035" s="15" t="n"/>
      <c r="J1035" s="56" t="n"/>
      <c r="K1035" s="57" t="n"/>
      <c r="L1035" s="19" t="n"/>
      <c r="M1035" s="20" t="n"/>
      <c r="N1035" s="21" t="n"/>
      <c r="O1035" s="22" t="n"/>
      <c r="P1035" s="24" t="n"/>
    </row>
    <row r="1036" ht="33" customHeight="1">
      <c r="A1036" s="53" t="n"/>
      <c r="B1036" s="54" t="n"/>
      <c r="C1036" s="54" t="n"/>
      <c r="D1036" s="54" t="n"/>
      <c r="E1036" s="15" t="n"/>
      <c r="F1036" s="17" t="n"/>
      <c r="G1036" s="54" t="n"/>
      <c r="H1036" s="54" t="n"/>
      <c r="I1036" s="15" t="n"/>
      <c r="J1036" s="56" t="n"/>
      <c r="K1036" s="57" t="n"/>
      <c r="L1036" s="19" t="n"/>
      <c r="M1036" s="20" t="n"/>
      <c r="N1036" s="21" t="n"/>
      <c r="O1036" s="22" t="n"/>
      <c r="P1036" s="24" t="n"/>
    </row>
    <row r="1037" ht="33" customHeight="1">
      <c r="A1037" s="53" t="n"/>
      <c r="B1037" s="54" t="n"/>
      <c r="C1037" s="54" t="n"/>
      <c r="D1037" s="54" t="n"/>
      <c r="E1037" s="15" t="n"/>
      <c r="F1037" s="17" t="n"/>
      <c r="G1037" s="54" t="n"/>
      <c r="H1037" s="54" t="n"/>
      <c r="I1037" s="15" t="n"/>
      <c r="J1037" s="56" t="n"/>
      <c r="K1037" s="57" t="n"/>
      <c r="L1037" s="19" t="n"/>
      <c r="M1037" s="20" t="n"/>
      <c r="N1037" s="21" t="n"/>
      <c r="O1037" s="22" t="n"/>
      <c r="P1037" s="24" t="n"/>
    </row>
    <row r="1038" ht="33" customHeight="1">
      <c r="A1038" s="53" t="n"/>
      <c r="B1038" s="54" t="n"/>
      <c r="C1038" s="54" t="n"/>
      <c r="D1038" s="54" t="n"/>
      <c r="E1038" s="15" t="n"/>
      <c r="F1038" s="17" t="n"/>
      <c r="G1038" s="54" t="n"/>
      <c r="H1038" s="54" t="n"/>
      <c r="I1038" s="15" t="n"/>
      <c r="J1038" s="56" t="n"/>
      <c r="K1038" s="57" t="n"/>
      <c r="L1038" s="19" t="n"/>
      <c r="M1038" s="20" t="n"/>
      <c r="N1038" s="21" t="n"/>
      <c r="O1038" s="22" t="n"/>
      <c r="P1038" s="24" t="n"/>
    </row>
    <row r="1039" ht="33" customHeight="1">
      <c r="A1039" s="53" t="n"/>
      <c r="B1039" s="54" t="n"/>
      <c r="C1039" s="54" t="n"/>
      <c r="D1039" s="54" t="n"/>
      <c r="E1039" s="15" t="n"/>
      <c r="F1039" s="17" t="n"/>
      <c r="G1039" s="54" t="n"/>
      <c r="H1039" s="54" t="n"/>
      <c r="I1039" s="15" t="n"/>
      <c r="J1039" s="56" t="n"/>
      <c r="K1039" s="57" t="n"/>
      <c r="L1039" s="19" t="n"/>
      <c r="M1039" s="20" t="n"/>
      <c r="N1039" s="21" t="n"/>
      <c r="O1039" s="22" t="n"/>
      <c r="P1039" s="24" t="n"/>
    </row>
    <row r="1040" ht="33" customHeight="1">
      <c r="A1040" s="53" t="n"/>
      <c r="B1040" s="54" t="n"/>
      <c r="C1040" s="54" t="n"/>
      <c r="D1040" s="54" t="n"/>
      <c r="E1040" s="15" t="n"/>
      <c r="F1040" s="17" t="n"/>
      <c r="G1040" s="54" t="n"/>
      <c r="H1040" s="54" t="n"/>
      <c r="I1040" s="15" t="n"/>
      <c r="J1040" s="56" t="n"/>
      <c r="K1040" s="57" t="n"/>
      <c r="L1040" s="19" t="n"/>
      <c r="M1040" s="20" t="n"/>
      <c r="N1040" s="21" t="n"/>
      <c r="O1040" s="22" t="n"/>
      <c r="P1040" s="24" t="n"/>
    </row>
    <row r="1041" ht="33" customHeight="1">
      <c r="A1041" s="53" t="n"/>
      <c r="B1041" s="54" t="n"/>
      <c r="C1041" s="54" t="n"/>
      <c r="D1041" s="54" t="n"/>
      <c r="E1041" s="15" t="n"/>
      <c r="F1041" s="17" t="n"/>
      <c r="G1041" s="54" t="n"/>
      <c r="H1041" s="54" t="n"/>
      <c r="I1041" s="15" t="n"/>
      <c r="J1041" s="56" t="n"/>
      <c r="K1041" s="57" t="n"/>
      <c r="L1041" s="19" t="n"/>
      <c r="M1041" s="20" t="n"/>
      <c r="N1041" s="21" t="n"/>
      <c r="O1041" s="22" t="n"/>
      <c r="P1041" s="24" t="n"/>
    </row>
    <row r="1042" ht="33" customHeight="1">
      <c r="A1042" s="53" t="n"/>
      <c r="B1042" s="54" t="n"/>
      <c r="C1042" s="54" t="n"/>
      <c r="D1042" s="54" t="n"/>
      <c r="E1042" s="15" t="n"/>
      <c r="F1042" s="17" t="n"/>
      <c r="G1042" s="54" t="n"/>
      <c r="H1042" s="54" t="n"/>
      <c r="I1042" s="15" t="n"/>
      <c r="J1042" s="56" t="n"/>
      <c r="K1042" s="57" t="n"/>
      <c r="L1042" s="19" t="n"/>
      <c r="M1042" s="20" t="n"/>
      <c r="N1042" s="21" t="n"/>
      <c r="O1042" s="22" t="n"/>
      <c r="P1042" s="24" t="n"/>
    </row>
    <row r="1043" ht="33" customHeight="1">
      <c r="A1043" s="53" t="n"/>
      <c r="B1043" s="54" t="n"/>
      <c r="C1043" s="54" t="n"/>
      <c r="D1043" s="54" t="n"/>
      <c r="E1043" s="15" t="n"/>
      <c r="F1043" s="17" t="n"/>
      <c r="G1043" s="54" t="n"/>
      <c r="H1043" s="54" t="n"/>
      <c r="I1043" s="15" t="n"/>
      <c r="J1043" s="56" t="n"/>
      <c r="K1043" s="57" t="n"/>
      <c r="L1043" s="19" t="n"/>
      <c r="M1043" s="20" t="n"/>
      <c r="N1043" s="21" t="n"/>
      <c r="O1043" s="22" t="n"/>
      <c r="P1043" s="24" t="n"/>
    </row>
    <row r="1044" ht="33" customHeight="1">
      <c r="A1044" s="53" t="n"/>
      <c r="B1044" s="54" t="n"/>
      <c r="C1044" s="54" t="n"/>
      <c r="D1044" s="54" t="n"/>
      <c r="E1044" s="15" t="n"/>
      <c r="F1044" s="17" t="n"/>
      <c r="G1044" s="54" t="n"/>
      <c r="H1044" s="54" t="n"/>
      <c r="I1044" s="15" t="n"/>
      <c r="J1044" s="56" t="n"/>
      <c r="K1044" s="57" t="n"/>
      <c r="L1044" s="19" t="n"/>
      <c r="M1044" s="20" t="n"/>
      <c r="N1044" s="21" t="n"/>
      <c r="O1044" s="22" t="n"/>
      <c r="P1044" s="24" t="n"/>
    </row>
    <row r="1045" ht="33" customHeight="1">
      <c r="A1045" s="53" t="n"/>
      <c r="B1045" s="54" t="n"/>
      <c r="C1045" s="54" t="n"/>
      <c r="D1045" s="54" t="n"/>
      <c r="E1045" s="15" t="n"/>
      <c r="F1045" s="17" t="n"/>
      <c r="G1045" s="54" t="n"/>
      <c r="H1045" s="54" t="n"/>
      <c r="I1045" s="15" t="n"/>
      <c r="J1045" s="56" t="n"/>
      <c r="K1045" s="57" t="n"/>
      <c r="L1045" s="19" t="n"/>
      <c r="M1045" s="20" t="n"/>
      <c r="N1045" s="21" t="n"/>
      <c r="O1045" s="22" t="n"/>
      <c r="P1045" s="24" t="n"/>
    </row>
    <row r="1046" ht="33" customHeight="1">
      <c r="A1046" s="53" t="n"/>
      <c r="B1046" s="54" t="n"/>
      <c r="C1046" s="54" t="n"/>
      <c r="D1046" s="54" t="n"/>
      <c r="E1046" s="15" t="n"/>
      <c r="F1046" s="17" t="n"/>
      <c r="G1046" s="54" t="n"/>
      <c r="H1046" s="54" t="n"/>
      <c r="I1046" s="15" t="n"/>
      <c r="J1046" s="56" t="n"/>
      <c r="K1046" s="57" t="n"/>
      <c r="L1046" s="19" t="n"/>
      <c r="M1046" s="20" t="n"/>
      <c r="N1046" s="21" t="n"/>
      <c r="O1046" s="22" t="n"/>
      <c r="P1046" s="24" t="n"/>
    </row>
    <row r="1047" ht="33" customHeight="1">
      <c r="A1047" s="53" t="n"/>
      <c r="B1047" s="54" t="n"/>
      <c r="C1047" s="54" t="n"/>
      <c r="D1047" s="54" t="n"/>
      <c r="E1047" s="15" t="n"/>
      <c r="F1047" s="17" t="n"/>
      <c r="G1047" s="54" t="n"/>
      <c r="H1047" s="54" t="n"/>
      <c r="I1047" s="15" t="n"/>
      <c r="J1047" s="56" t="n"/>
      <c r="K1047" s="57" t="n"/>
      <c r="L1047" s="19" t="n"/>
      <c r="M1047" s="20" t="n"/>
      <c r="N1047" s="21" t="n"/>
      <c r="O1047" s="22" t="n"/>
      <c r="P1047" s="24" t="n"/>
    </row>
    <row r="1048" ht="33" customHeight="1">
      <c r="A1048" s="53" t="n"/>
      <c r="B1048" s="54" t="n"/>
      <c r="C1048" s="54" t="n"/>
      <c r="D1048" s="54" t="n"/>
      <c r="E1048" s="15" t="n"/>
      <c r="F1048" s="17" t="n"/>
      <c r="G1048" s="54" t="n"/>
      <c r="H1048" s="54" t="n"/>
      <c r="I1048" s="15" t="n"/>
      <c r="J1048" s="56" t="n"/>
      <c r="K1048" s="57" t="n"/>
      <c r="L1048" s="19" t="n"/>
      <c r="M1048" s="20" t="n"/>
      <c r="N1048" s="21" t="n"/>
      <c r="O1048" s="22" t="n"/>
      <c r="P1048" s="24" t="n"/>
    </row>
    <row r="1049" ht="33" customHeight="1">
      <c r="A1049" s="53" t="n"/>
      <c r="B1049" s="54" t="n"/>
      <c r="C1049" s="54" t="n"/>
      <c r="D1049" s="54" t="n"/>
      <c r="E1049" s="15" t="n"/>
      <c r="F1049" s="17" t="n"/>
      <c r="G1049" s="54" t="n"/>
      <c r="H1049" s="54" t="n"/>
      <c r="I1049" s="15" t="n"/>
      <c r="J1049" s="56" t="n"/>
      <c r="K1049" s="57" t="n"/>
      <c r="L1049" s="19" t="n"/>
      <c r="M1049" s="20" t="n"/>
      <c r="N1049" s="21" t="n"/>
      <c r="O1049" s="22" t="n"/>
      <c r="P1049" s="24" t="n"/>
    </row>
    <row r="1050" ht="33" customHeight="1">
      <c r="A1050" s="53" t="n"/>
      <c r="B1050" s="54" t="n"/>
      <c r="C1050" s="54" t="n"/>
      <c r="D1050" s="54" t="n"/>
      <c r="E1050" s="15" t="n"/>
      <c r="F1050" s="17" t="n"/>
      <c r="G1050" s="54" t="n"/>
      <c r="H1050" s="54" t="n"/>
      <c r="I1050" s="15" t="n"/>
      <c r="J1050" s="56" t="n"/>
      <c r="K1050" s="57" t="n"/>
      <c r="L1050" s="19" t="n"/>
      <c r="M1050" s="20" t="n"/>
      <c r="N1050" s="21" t="n"/>
      <c r="O1050" s="22" t="n"/>
      <c r="P1050" s="24" t="n"/>
    </row>
    <row r="1051" ht="33" customHeight="1">
      <c r="A1051" s="53" t="n"/>
      <c r="B1051" s="54" t="n"/>
      <c r="C1051" s="54" t="n"/>
      <c r="D1051" s="54" t="n"/>
      <c r="E1051" s="15" t="n"/>
      <c r="F1051" s="17" t="n"/>
      <c r="G1051" s="54" t="n"/>
      <c r="H1051" s="54" t="n"/>
      <c r="I1051" s="15" t="n"/>
      <c r="J1051" s="56" t="n"/>
      <c r="K1051" s="57" t="n"/>
      <c r="L1051" s="19" t="n"/>
      <c r="M1051" s="20" t="n"/>
      <c r="N1051" s="21" t="n"/>
      <c r="O1051" s="22" t="n"/>
      <c r="P1051" s="24" t="n"/>
    </row>
    <row r="1052" ht="33" customHeight="1">
      <c r="A1052" s="53" t="n"/>
      <c r="B1052" s="54" t="n"/>
      <c r="C1052" s="54" t="n"/>
      <c r="D1052" s="54" t="n"/>
      <c r="E1052" s="15" t="n"/>
      <c r="F1052" s="17" t="n"/>
      <c r="G1052" s="54" t="n"/>
      <c r="H1052" s="54" t="n"/>
      <c r="I1052" s="15" t="n"/>
      <c r="J1052" s="56" t="n"/>
      <c r="K1052" s="57" t="n"/>
      <c r="L1052" s="19" t="n"/>
      <c r="M1052" s="20" t="n"/>
      <c r="N1052" s="21" t="n"/>
      <c r="O1052" s="22" t="n"/>
      <c r="P1052" s="24" t="n"/>
    </row>
    <row r="1053" ht="33" customHeight="1">
      <c r="A1053" s="53" t="n"/>
      <c r="B1053" s="54" t="n"/>
      <c r="C1053" s="54" t="n"/>
      <c r="D1053" s="54" t="n"/>
      <c r="E1053" s="15" t="n"/>
      <c r="F1053" s="17" t="n"/>
      <c r="G1053" s="54" t="n"/>
      <c r="H1053" s="54" t="n"/>
      <c r="I1053" s="15" t="n"/>
      <c r="J1053" s="56" t="n"/>
      <c r="K1053" s="57" t="n"/>
      <c r="L1053" s="19" t="n"/>
      <c r="M1053" s="20" t="n"/>
      <c r="N1053" s="21" t="n"/>
      <c r="O1053" s="22" t="n"/>
      <c r="P1053" s="24" t="n"/>
    </row>
    <row r="1054" ht="33" customHeight="1">
      <c r="A1054" s="53" t="n"/>
      <c r="B1054" s="54" t="n"/>
      <c r="C1054" s="54" t="n"/>
      <c r="D1054" s="54" t="n"/>
      <c r="E1054" s="15" t="n"/>
      <c r="F1054" s="17" t="n"/>
      <c r="G1054" s="54" t="n"/>
      <c r="H1054" s="54" t="n"/>
      <c r="I1054" s="15" t="n"/>
      <c r="J1054" s="56" t="n"/>
      <c r="K1054" s="57" t="n"/>
      <c r="L1054" s="19" t="n"/>
      <c r="M1054" s="20" t="n"/>
      <c r="N1054" s="21" t="n"/>
      <c r="O1054" s="22" t="n"/>
      <c r="P1054" s="24" t="n"/>
    </row>
    <row r="1055" ht="33" customHeight="1">
      <c r="A1055" s="53" t="n"/>
      <c r="B1055" s="54" t="n"/>
      <c r="C1055" s="54" t="n"/>
      <c r="D1055" s="54" t="n"/>
      <c r="E1055" s="15" t="n"/>
      <c r="F1055" s="17" t="n"/>
      <c r="G1055" s="54" t="n"/>
      <c r="H1055" s="54" t="n"/>
      <c r="I1055" s="15" t="n"/>
      <c r="J1055" s="56" t="n"/>
      <c r="K1055" s="57" t="n"/>
      <c r="L1055" s="19" t="n"/>
      <c r="M1055" s="20" t="n"/>
      <c r="N1055" s="21" t="n"/>
      <c r="O1055" s="22" t="n"/>
      <c r="P1055" s="24" t="n"/>
    </row>
    <row r="1056" ht="33" customHeight="1">
      <c r="A1056" s="53" t="n"/>
      <c r="B1056" s="54" t="n"/>
      <c r="C1056" s="54" t="n"/>
      <c r="D1056" s="54" t="n"/>
      <c r="E1056" s="15" t="n"/>
      <c r="F1056" s="17" t="n"/>
      <c r="G1056" s="54" t="n"/>
      <c r="H1056" s="54" t="n"/>
      <c r="I1056" s="15" t="n"/>
      <c r="J1056" s="56" t="n"/>
      <c r="K1056" s="57" t="n"/>
      <c r="L1056" s="19" t="n"/>
      <c r="M1056" s="20" t="n"/>
      <c r="N1056" s="21" t="n"/>
      <c r="O1056" s="22" t="n"/>
      <c r="P1056" s="24" t="n"/>
    </row>
    <row r="1057" ht="33" customHeight="1">
      <c r="A1057" s="53" t="n"/>
      <c r="B1057" s="54" t="n"/>
      <c r="C1057" s="54" t="n"/>
      <c r="D1057" s="54" t="n"/>
      <c r="E1057" s="15" t="n"/>
      <c r="F1057" s="17" t="n"/>
      <c r="G1057" s="54" t="n"/>
      <c r="H1057" s="54" t="n"/>
      <c r="I1057" s="15" t="n"/>
      <c r="J1057" s="56" t="n"/>
      <c r="K1057" s="57" t="n"/>
      <c r="L1057" s="19" t="n"/>
      <c r="M1057" s="20" t="n"/>
      <c r="N1057" s="21" t="n"/>
      <c r="O1057" s="22" t="n"/>
      <c r="P1057" s="24" t="n"/>
    </row>
    <row r="1058" ht="33" customHeight="1">
      <c r="A1058" s="53" t="n"/>
      <c r="B1058" s="54" t="n"/>
      <c r="C1058" s="54" t="n"/>
      <c r="D1058" s="54" t="n"/>
      <c r="E1058" s="15" t="n"/>
      <c r="F1058" s="17" t="n"/>
      <c r="G1058" s="54" t="n"/>
      <c r="H1058" s="54" t="n"/>
      <c r="I1058" s="15" t="n"/>
      <c r="J1058" s="56" t="n"/>
      <c r="K1058" s="57" t="n"/>
      <c r="L1058" s="19" t="n"/>
      <c r="M1058" s="20" t="n"/>
      <c r="N1058" s="21" t="n"/>
      <c r="O1058" s="22" t="n"/>
      <c r="P1058" s="24" t="n"/>
    </row>
    <row r="1059" ht="33" customHeight="1">
      <c r="A1059" s="53" t="n"/>
      <c r="B1059" s="54" t="n"/>
      <c r="C1059" s="54" t="n"/>
      <c r="D1059" s="54" t="n"/>
      <c r="E1059" s="15" t="n"/>
      <c r="F1059" s="17" t="n"/>
      <c r="G1059" s="54" t="n"/>
      <c r="H1059" s="54" t="n"/>
      <c r="I1059" s="15" t="n"/>
      <c r="J1059" s="56" t="n"/>
      <c r="K1059" s="57" t="n"/>
      <c r="L1059" s="19" t="n"/>
      <c r="M1059" s="20" t="n"/>
      <c r="N1059" s="21" t="n"/>
      <c r="O1059" s="22" t="n"/>
      <c r="P1059" s="24" t="n"/>
    </row>
    <row r="1060" ht="33" customHeight="1">
      <c r="A1060" s="53" t="n"/>
      <c r="B1060" s="54" t="n"/>
      <c r="C1060" s="54" t="n"/>
      <c r="D1060" s="54" t="n"/>
      <c r="E1060" s="15" t="n"/>
      <c r="F1060" s="17" t="n"/>
      <c r="G1060" s="54" t="n"/>
      <c r="H1060" s="54" t="n"/>
      <c r="I1060" s="15" t="n"/>
      <c r="J1060" s="56" t="n"/>
      <c r="K1060" s="57" t="n"/>
      <c r="L1060" s="19" t="n"/>
      <c r="M1060" s="20" t="n"/>
      <c r="N1060" s="21" t="n"/>
      <c r="O1060" s="22" t="n"/>
      <c r="P1060" s="24" t="n"/>
    </row>
    <row r="1061" ht="33" customHeight="1">
      <c r="A1061" s="53" t="n"/>
      <c r="B1061" s="54" t="n"/>
      <c r="C1061" s="54" t="n"/>
      <c r="D1061" s="54" t="n"/>
      <c r="E1061" s="15" t="n"/>
      <c r="F1061" s="17" t="n"/>
      <c r="G1061" s="54" t="n"/>
      <c r="H1061" s="54" t="n"/>
      <c r="I1061" s="15" t="n"/>
      <c r="J1061" s="56" t="n"/>
      <c r="K1061" s="57" t="n"/>
      <c r="L1061" s="19" t="n"/>
      <c r="M1061" s="20" t="n"/>
      <c r="N1061" s="21" t="n"/>
      <c r="O1061" s="22" t="n"/>
      <c r="P1061" s="24" t="n"/>
    </row>
    <row r="1062" ht="33" customHeight="1">
      <c r="A1062" s="53" t="n"/>
      <c r="B1062" s="54" t="n"/>
      <c r="C1062" s="54" t="n"/>
      <c r="D1062" s="54" t="n"/>
      <c r="E1062" s="15" t="n"/>
      <c r="F1062" s="17" t="n"/>
      <c r="G1062" s="54" t="n"/>
      <c r="H1062" s="54" t="n"/>
      <c r="I1062" s="15" t="n"/>
      <c r="J1062" s="56" t="n"/>
      <c r="K1062" s="57" t="n"/>
      <c r="L1062" s="19" t="n"/>
      <c r="M1062" s="20" t="n"/>
      <c r="N1062" s="21" t="n"/>
      <c r="O1062" s="22" t="n"/>
      <c r="P1062" s="24" t="n"/>
    </row>
    <row r="1063" ht="33" customHeight="1">
      <c r="A1063" s="53" t="n"/>
      <c r="B1063" s="54" t="n"/>
      <c r="C1063" s="54" t="n"/>
      <c r="D1063" s="54" t="n"/>
      <c r="E1063" s="15" t="n"/>
      <c r="F1063" s="17" t="n"/>
      <c r="G1063" s="54" t="n"/>
      <c r="H1063" s="54" t="n"/>
      <c r="I1063" s="15" t="n"/>
      <c r="J1063" s="56" t="n"/>
      <c r="K1063" s="57" t="n"/>
      <c r="L1063" s="19" t="n"/>
      <c r="M1063" s="20" t="n"/>
      <c r="N1063" s="21" t="n"/>
      <c r="O1063" s="22" t="n"/>
      <c r="P1063" s="24" t="n"/>
    </row>
    <row r="1064" ht="33" customHeight="1">
      <c r="A1064" s="53" t="n"/>
      <c r="B1064" s="54" t="n"/>
      <c r="C1064" s="54" t="n"/>
      <c r="D1064" s="54" t="n"/>
      <c r="E1064" s="15" t="n"/>
      <c r="F1064" s="17" t="n"/>
      <c r="G1064" s="54" t="n"/>
      <c r="H1064" s="54" t="n"/>
      <c r="I1064" s="15" t="n"/>
      <c r="J1064" s="56" t="n"/>
      <c r="K1064" s="57" t="n"/>
      <c r="L1064" s="19" t="n"/>
      <c r="M1064" s="20" t="n"/>
      <c r="N1064" s="21" t="n"/>
      <c r="O1064" s="22" t="n"/>
      <c r="P1064" s="24" t="n"/>
    </row>
    <row r="1065" ht="33" customHeight="1">
      <c r="A1065" s="53" t="n"/>
      <c r="B1065" s="54" t="n"/>
      <c r="C1065" s="54" t="n"/>
      <c r="D1065" s="54" t="n"/>
      <c r="E1065" s="15" t="n"/>
      <c r="F1065" s="17" t="n"/>
      <c r="G1065" s="54" t="n"/>
      <c r="H1065" s="54" t="n"/>
      <c r="I1065" s="15" t="n"/>
      <c r="J1065" s="56" t="n"/>
      <c r="K1065" s="57" t="n"/>
      <c r="L1065" s="19" t="n"/>
      <c r="M1065" s="20" t="n"/>
      <c r="N1065" s="21" t="n"/>
      <c r="O1065" s="22" t="n"/>
      <c r="P1065" s="24" t="n"/>
    </row>
    <row r="1066" ht="33" customHeight="1">
      <c r="A1066" s="53" t="n"/>
      <c r="B1066" s="54" t="n"/>
      <c r="C1066" s="54" t="n"/>
      <c r="D1066" s="54" t="n"/>
      <c r="E1066" s="15" t="n"/>
      <c r="F1066" s="17" t="n"/>
      <c r="G1066" s="54" t="n"/>
      <c r="H1066" s="54" t="n"/>
      <c r="I1066" s="15" t="n"/>
      <c r="J1066" s="56" t="n"/>
      <c r="K1066" s="57" t="n"/>
      <c r="L1066" s="19" t="n"/>
      <c r="M1066" s="20" t="n"/>
      <c r="N1066" s="21" t="n"/>
      <c r="O1066" s="22" t="n"/>
      <c r="P1066" s="24" t="n"/>
    </row>
    <row r="1067" ht="33" customHeight="1">
      <c r="A1067" s="53" t="n"/>
      <c r="B1067" s="54" t="n"/>
      <c r="C1067" s="54" t="n"/>
      <c r="D1067" s="54" t="n"/>
      <c r="E1067" s="15" t="n"/>
      <c r="F1067" s="17" t="n"/>
      <c r="G1067" s="54" t="n"/>
      <c r="H1067" s="54" t="n"/>
      <c r="I1067" s="15" t="n"/>
      <c r="J1067" s="56" t="n"/>
      <c r="K1067" s="57" t="n"/>
      <c r="L1067" s="19" t="n"/>
      <c r="M1067" s="20" t="n"/>
      <c r="N1067" s="21" t="n"/>
      <c r="O1067" s="22" t="n"/>
      <c r="P1067" s="24" t="n"/>
    </row>
    <row r="1068" ht="33" customHeight="1">
      <c r="A1068" s="53" t="n"/>
      <c r="B1068" s="54" t="n"/>
      <c r="C1068" s="54" t="n"/>
      <c r="D1068" s="54" t="n"/>
      <c r="E1068" s="15" t="n"/>
      <c r="F1068" s="17" t="n"/>
      <c r="G1068" s="54" t="n"/>
      <c r="H1068" s="54" t="n"/>
      <c r="I1068" s="15" t="n"/>
      <c r="J1068" s="56" t="n"/>
      <c r="K1068" s="57" t="n"/>
      <c r="L1068" s="19" t="n"/>
      <c r="M1068" s="20" t="n"/>
      <c r="N1068" s="21" t="n"/>
      <c r="O1068" s="22" t="n"/>
      <c r="P1068" s="24" t="n"/>
    </row>
    <row r="1069" ht="33" customHeight="1">
      <c r="A1069" s="53" t="n"/>
      <c r="B1069" s="54" t="n"/>
      <c r="C1069" s="54" t="n"/>
      <c r="D1069" s="54" t="n"/>
      <c r="E1069" s="15" t="n"/>
      <c r="F1069" s="17" t="n"/>
      <c r="G1069" s="54" t="n"/>
      <c r="H1069" s="54" t="n"/>
      <c r="I1069" s="15" t="n"/>
      <c r="J1069" s="56" t="n"/>
      <c r="K1069" s="57" t="n"/>
      <c r="L1069" s="19" t="n"/>
      <c r="M1069" s="20" t="n"/>
      <c r="N1069" s="21" t="n"/>
      <c r="O1069" s="22" t="n"/>
      <c r="P1069" s="24" t="n"/>
    </row>
    <row r="1070" ht="33" customHeight="1">
      <c r="A1070" s="53" t="n"/>
      <c r="B1070" s="54" t="n"/>
      <c r="C1070" s="54" t="n"/>
      <c r="D1070" s="54" t="n"/>
      <c r="E1070" s="15" t="n"/>
      <c r="F1070" s="17" t="n"/>
      <c r="G1070" s="54" t="n"/>
      <c r="H1070" s="54" t="n"/>
      <c r="I1070" s="15" t="n"/>
      <c r="J1070" s="56" t="n"/>
      <c r="K1070" s="57" t="n"/>
      <c r="L1070" s="19" t="n"/>
      <c r="M1070" s="20" t="n"/>
      <c r="N1070" s="21" t="n"/>
      <c r="O1070" s="22" t="n"/>
      <c r="P1070" s="24" t="n"/>
    </row>
    <row r="1071" ht="33" customHeight="1">
      <c r="A1071" s="53" t="n"/>
      <c r="B1071" s="54" t="n"/>
      <c r="C1071" s="54" t="n"/>
      <c r="D1071" s="54" t="n"/>
      <c r="E1071" s="15" t="n"/>
      <c r="F1071" s="17" t="n"/>
      <c r="G1071" s="54" t="n"/>
      <c r="H1071" s="54" t="n"/>
      <c r="I1071" s="15" t="n"/>
      <c r="J1071" s="56" t="n"/>
      <c r="K1071" s="57" t="n"/>
      <c r="L1071" s="19" t="n"/>
      <c r="M1071" s="20" t="n"/>
      <c r="N1071" s="21" t="n"/>
      <c r="O1071" s="22" t="n"/>
      <c r="P1071" s="24" t="n"/>
    </row>
    <row r="1072" ht="33" customHeight="1">
      <c r="A1072" s="53" t="n"/>
      <c r="B1072" s="54" t="n"/>
      <c r="C1072" s="54" t="n"/>
      <c r="D1072" s="54" t="n"/>
      <c r="E1072" s="15" t="n"/>
      <c r="F1072" s="17" t="n"/>
      <c r="G1072" s="54" t="n"/>
      <c r="H1072" s="54" t="n"/>
      <c r="I1072" s="15" t="n"/>
      <c r="J1072" s="56" t="n"/>
      <c r="K1072" s="57" t="n"/>
      <c r="L1072" s="19" t="n"/>
      <c r="M1072" s="20" t="n"/>
      <c r="N1072" s="21" t="n"/>
      <c r="O1072" s="22" t="n"/>
      <c r="P1072" s="24" t="n"/>
    </row>
    <row r="1073" ht="33" customHeight="1">
      <c r="A1073" s="53" t="n"/>
      <c r="B1073" s="54" t="n"/>
      <c r="C1073" s="54" t="n"/>
      <c r="D1073" s="54" t="n"/>
      <c r="E1073" s="15" t="n"/>
      <c r="F1073" s="17" t="n"/>
      <c r="G1073" s="54" t="n"/>
      <c r="H1073" s="54" t="n"/>
      <c r="I1073" s="15" t="n"/>
      <c r="J1073" s="56" t="n"/>
      <c r="K1073" s="57" t="n"/>
      <c r="L1073" s="19" t="n"/>
      <c r="M1073" s="20" t="n"/>
      <c r="N1073" s="21" t="n"/>
      <c r="O1073" s="22" t="n"/>
      <c r="P1073" s="24" t="n"/>
    </row>
    <row r="1074" ht="33" customHeight="1">
      <c r="A1074" s="53" t="n"/>
      <c r="B1074" s="54" t="n"/>
      <c r="C1074" s="54" t="n"/>
      <c r="D1074" s="54" t="n"/>
      <c r="E1074" s="15" t="n"/>
      <c r="F1074" s="17" t="n"/>
      <c r="G1074" s="54" t="n"/>
      <c r="H1074" s="54" t="n"/>
      <c r="I1074" s="15" t="n"/>
      <c r="J1074" s="56" t="n"/>
      <c r="K1074" s="57" t="n"/>
      <c r="L1074" s="19" t="n"/>
      <c r="M1074" s="20" t="n"/>
      <c r="N1074" s="21" t="n"/>
      <c r="O1074" s="22" t="n"/>
      <c r="P1074" s="24" t="n"/>
    </row>
    <row r="1075" ht="33" customHeight="1">
      <c r="A1075" s="53" t="n"/>
      <c r="B1075" s="54" t="n"/>
      <c r="C1075" s="54" t="n"/>
      <c r="D1075" s="54" t="n"/>
      <c r="E1075" s="15" t="n"/>
      <c r="F1075" s="17" t="n"/>
      <c r="G1075" s="54" t="n"/>
      <c r="H1075" s="54" t="n"/>
      <c r="I1075" s="15" t="n"/>
      <c r="J1075" s="56" t="n"/>
      <c r="K1075" s="57" t="n"/>
      <c r="L1075" s="19" t="n"/>
      <c r="M1075" s="20" t="n"/>
      <c r="N1075" s="21" t="n"/>
      <c r="O1075" s="22" t="n"/>
      <c r="P1075" s="24" t="n"/>
    </row>
    <row r="1076" ht="33" customHeight="1">
      <c r="A1076" s="53" t="n"/>
      <c r="B1076" s="54" t="n"/>
      <c r="C1076" s="54" t="n"/>
      <c r="D1076" s="54" t="n"/>
      <c r="E1076" s="15" t="n"/>
      <c r="F1076" s="17" t="n"/>
      <c r="G1076" s="54" t="n"/>
      <c r="H1076" s="54" t="n"/>
      <c r="I1076" s="15" t="n"/>
      <c r="J1076" s="56" t="n"/>
      <c r="K1076" s="57" t="n"/>
      <c r="L1076" s="19" t="n"/>
      <c r="M1076" s="20" t="n"/>
      <c r="N1076" s="21" t="n"/>
      <c r="O1076" s="22" t="n"/>
      <c r="P1076" s="24" t="n"/>
    </row>
    <row r="1077" ht="33" customHeight="1">
      <c r="A1077" s="53" t="n"/>
      <c r="B1077" s="54" t="n"/>
      <c r="C1077" s="54" t="n"/>
      <c r="D1077" s="54" t="n"/>
      <c r="E1077" s="15" t="n"/>
      <c r="F1077" s="17" t="n"/>
      <c r="G1077" s="54" t="n"/>
      <c r="H1077" s="54" t="n"/>
      <c r="I1077" s="15" t="n"/>
      <c r="J1077" s="56" t="n"/>
      <c r="K1077" s="57" t="n"/>
      <c r="L1077" s="19" t="n"/>
      <c r="M1077" s="20" t="n"/>
      <c r="N1077" s="21" t="n"/>
      <c r="O1077" s="22" t="n"/>
      <c r="P1077" s="24" t="n"/>
    </row>
    <row r="1078" ht="33" customHeight="1">
      <c r="A1078" s="53" t="n"/>
      <c r="B1078" s="54" t="n"/>
      <c r="C1078" s="54" t="n"/>
      <c r="D1078" s="54" t="n"/>
      <c r="E1078" s="15" t="n"/>
      <c r="F1078" s="17" t="n"/>
      <c r="G1078" s="54" t="n"/>
      <c r="H1078" s="54" t="n"/>
      <c r="I1078" s="15" t="n"/>
      <c r="J1078" s="56" t="n"/>
      <c r="K1078" s="57" t="n"/>
      <c r="L1078" s="19" t="n"/>
      <c r="M1078" s="20" t="n"/>
      <c r="N1078" s="21" t="n"/>
      <c r="O1078" s="22" t="n"/>
      <c r="P1078" s="24" t="n"/>
    </row>
    <row r="1079" ht="33" customHeight="1">
      <c r="A1079" s="53" t="n"/>
      <c r="B1079" s="54" t="n"/>
      <c r="C1079" s="54" t="n"/>
      <c r="D1079" s="54" t="n"/>
      <c r="E1079" s="15" t="n"/>
      <c r="F1079" s="17" t="n"/>
      <c r="G1079" s="54" t="n"/>
      <c r="H1079" s="54" t="n"/>
      <c r="I1079" s="15" t="n"/>
      <c r="J1079" s="56" t="n"/>
      <c r="K1079" s="57" t="n"/>
      <c r="L1079" s="19" t="n"/>
      <c r="M1079" s="20" t="n"/>
      <c r="N1079" s="21" t="n"/>
      <c r="O1079" s="22" t="n"/>
      <c r="P1079" s="24" t="n"/>
    </row>
    <row r="1080" ht="33" customHeight="1">
      <c r="A1080" s="53" t="n"/>
      <c r="B1080" s="54" t="n"/>
      <c r="C1080" s="54" t="n"/>
      <c r="D1080" s="54" t="n"/>
      <c r="E1080" s="15" t="n"/>
      <c r="F1080" s="17" t="n"/>
      <c r="G1080" s="54" t="n"/>
      <c r="H1080" s="54" t="n"/>
      <c r="I1080" s="15" t="n"/>
      <c r="J1080" s="56" t="n"/>
      <c r="K1080" s="57" t="n"/>
      <c r="L1080" s="19" t="n"/>
      <c r="M1080" s="20" t="n"/>
      <c r="N1080" s="21" t="n"/>
      <c r="O1080" s="22" t="n"/>
      <c r="P1080" s="24" t="n"/>
    </row>
    <row r="1081" ht="33" customHeight="1">
      <c r="A1081" s="53" t="n"/>
      <c r="B1081" s="54" t="n"/>
      <c r="C1081" s="54" t="n"/>
      <c r="D1081" s="54" t="n"/>
      <c r="E1081" s="15" t="n"/>
      <c r="F1081" s="17" t="n"/>
      <c r="G1081" s="54" t="n"/>
      <c r="H1081" s="54" t="n"/>
      <c r="I1081" s="15" t="n"/>
      <c r="J1081" s="56" t="n"/>
      <c r="K1081" s="57" t="n"/>
      <c r="L1081" s="19" t="n"/>
      <c r="M1081" s="20" t="n"/>
      <c r="N1081" s="21" t="n"/>
      <c r="O1081" s="22" t="n"/>
      <c r="P1081" s="24" t="n"/>
    </row>
    <row r="1082" ht="33" customHeight="1">
      <c r="A1082" s="53" t="n"/>
      <c r="B1082" s="54" t="n"/>
      <c r="C1082" s="54" t="n"/>
      <c r="D1082" s="54" t="n"/>
      <c r="E1082" s="15" t="n"/>
      <c r="F1082" s="17" t="n"/>
      <c r="G1082" s="54" t="n"/>
      <c r="H1082" s="54" t="n"/>
      <c r="I1082" s="15" t="n"/>
      <c r="J1082" s="56" t="n"/>
      <c r="K1082" s="57" t="n"/>
      <c r="L1082" s="19" t="n"/>
      <c r="M1082" s="20" t="n"/>
      <c r="N1082" s="21" t="n"/>
      <c r="O1082" s="22" t="n"/>
      <c r="P1082" s="24" t="n"/>
    </row>
    <row r="1083" ht="33" customHeight="1">
      <c r="A1083" s="53" t="n"/>
      <c r="B1083" s="54" t="n"/>
      <c r="C1083" s="54" t="n"/>
      <c r="D1083" s="54" t="n"/>
      <c r="E1083" s="15" t="n"/>
      <c r="F1083" s="17" t="n"/>
      <c r="G1083" s="54" t="n"/>
      <c r="H1083" s="54" t="n"/>
      <c r="I1083" s="15" t="n"/>
      <c r="J1083" s="56" t="n"/>
      <c r="K1083" s="57" t="n"/>
      <c r="L1083" s="19" t="n"/>
      <c r="M1083" s="20" t="n"/>
      <c r="N1083" s="21" t="n"/>
      <c r="O1083" s="22" t="n"/>
      <c r="P1083" s="24" t="n"/>
    </row>
    <row r="1084" ht="33" customHeight="1">
      <c r="A1084" s="53" t="n"/>
      <c r="B1084" s="54" t="n"/>
      <c r="C1084" s="54" t="n"/>
      <c r="D1084" s="54" t="n"/>
      <c r="E1084" s="15" t="n"/>
      <c r="F1084" s="17" t="n"/>
      <c r="G1084" s="54" t="n"/>
      <c r="H1084" s="54" t="n"/>
      <c r="I1084" s="15" t="n"/>
      <c r="J1084" s="56" t="n"/>
      <c r="K1084" s="57" t="n"/>
      <c r="L1084" s="19" t="n"/>
      <c r="M1084" s="20" t="n"/>
      <c r="N1084" s="21" t="n"/>
      <c r="O1084" s="22" t="n"/>
      <c r="P1084" s="24" t="n"/>
    </row>
    <row r="1085" ht="33" customHeight="1">
      <c r="A1085" s="53" t="n"/>
      <c r="B1085" s="54" t="n"/>
      <c r="C1085" s="54" t="n"/>
      <c r="D1085" s="54" t="n"/>
      <c r="E1085" s="15" t="n"/>
      <c r="F1085" s="17" t="n"/>
      <c r="G1085" s="54" t="n"/>
      <c r="H1085" s="54" t="n"/>
      <c r="I1085" s="15" t="n"/>
      <c r="J1085" s="56" t="n"/>
      <c r="K1085" s="57" t="n"/>
      <c r="L1085" s="19" t="n"/>
      <c r="M1085" s="20" t="n"/>
      <c r="N1085" s="21" t="n"/>
      <c r="O1085" s="22" t="n"/>
      <c r="P1085" s="24" t="n"/>
    </row>
    <row r="1086" ht="33" customHeight="1">
      <c r="A1086" s="53" t="n"/>
      <c r="B1086" s="54" t="n"/>
      <c r="C1086" s="54" t="n"/>
      <c r="D1086" s="54" t="n"/>
      <c r="E1086" s="15" t="n"/>
      <c r="F1086" s="17" t="n"/>
      <c r="G1086" s="54" t="n"/>
      <c r="H1086" s="54" t="n"/>
      <c r="I1086" s="15" t="n"/>
      <c r="J1086" s="56" t="n"/>
      <c r="K1086" s="57" t="n"/>
      <c r="L1086" s="19" t="n"/>
      <c r="M1086" s="20" t="n"/>
      <c r="N1086" s="21" t="n"/>
      <c r="O1086" s="22" t="n"/>
      <c r="P1086" s="24" t="n"/>
    </row>
    <row r="1087" ht="33" customHeight="1">
      <c r="A1087" s="53" t="n"/>
      <c r="B1087" s="54" t="n"/>
      <c r="C1087" s="54" t="n"/>
      <c r="D1087" s="54" t="n"/>
      <c r="E1087" s="15" t="n"/>
      <c r="F1087" s="17" t="n"/>
      <c r="G1087" s="54" t="n"/>
      <c r="H1087" s="54" t="n"/>
      <c r="I1087" s="15" t="n"/>
      <c r="J1087" s="56" t="n"/>
      <c r="K1087" s="57" t="n"/>
      <c r="L1087" s="19" t="n"/>
      <c r="M1087" s="20" t="n"/>
      <c r="N1087" s="21" t="n"/>
      <c r="O1087" s="22" t="n"/>
      <c r="P1087" s="24" t="n"/>
    </row>
    <row r="1088" ht="33" customHeight="1">
      <c r="A1088" s="53" t="n"/>
      <c r="B1088" s="54" t="n"/>
      <c r="C1088" s="54" t="n"/>
      <c r="D1088" s="54" t="n"/>
      <c r="E1088" s="15" t="n"/>
      <c r="F1088" s="17" t="n"/>
      <c r="G1088" s="54" t="n"/>
      <c r="H1088" s="54" t="n"/>
      <c r="I1088" s="15" t="n"/>
      <c r="J1088" s="56" t="n"/>
      <c r="K1088" s="57" t="n"/>
      <c r="L1088" s="19" t="n"/>
      <c r="M1088" s="20" t="n"/>
      <c r="N1088" s="21" t="n"/>
      <c r="O1088" s="22" t="n"/>
      <c r="P1088" s="24" t="n"/>
    </row>
    <row r="1089" ht="33" customHeight="1">
      <c r="A1089" s="53" t="n"/>
      <c r="B1089" s="54" t="n"/>
      <c r="C1089" s="54" t="n"/>
      <c r="D1089" s="54" t="n"/>
      <c r="E1089" s="15" t="n"/>
      <c r="F1089" s="17" t="n"/>
      <c r="G1089" s="54" t="n"/>
      <c r="H1089" s="54" t="n"/>
      <c r="I1089" s="15" t="n"/>
      <c r="J1089" s="56" t="n"/>
      <c r="K1089" s="57" t="n"/>
      <c r="L1089" s="19" t="n"/>
      <c r="M1089" s="20" t="n"/>
      <c r="N1089" s="21" t="n"/>
      <c r="O1089" s="22" t="n"/>
      <c r="P1089" s="24" t="n"/>
    </row>
    <row r="1090" ht="33" customHeight="1">
      <c r="A1090" s="53" t="n"/>
      <c r="B1090" s="54" t="n"/>
      <c r="C1090" s="54" t="n"/>
      <c r="D1090" s="54" t="n"/>
      <c r="E1090" s="15" t="n"/>
      <c r="F1090" s="17" t="n"/>
      <c r="G1090" s="54" t="n"/>
      <c r="H1090" s="54" t="n"/>
      <c r="I1090" s="15" t="n"/>
      <c r="J1090" s="56" t="n"/>
      <c r="K1090" s="57" t="n"/>
      <c r="L1090" s="19" t="n"/>
      <c r="M1090" s="20" t="n"/>
      <c r="N1090" s="21" t="n"/>
      <c r="O1090" s="22" t="n"/>
      <c r="P1090" s="24" t="n"/>
    </row>
    <row r="1091" ht="33" customHeight="1">
      <c r="A1091" s="53" t="n"/>
      <c r="B1091" s="54" t="n"/>
      <c r="C1091" s="54" t="n"/>
      <c r="D1091" s="54" t="n"/>
      <c r="E1091" s="15" t="n"/>
      <c r="F1091" s="17" t="n"/>
      <c r="G1091" s="54" t="n"/>
      <c r="H1091" s="54" t="n"/>
      <c r="I1091" s="15" t="n"/>
      <c r="J1091" s="56" t="n"/>
      <c r="K1091" s="57" t="n"/>
      <c r="L1091" s="19" t="n"/>
      <c r="M1091" s="20" t="n"/>
      <c r="N1091" s="21" t="n"/>
      <c r="O1091" s="22" t="n"/>
      <c r="P1091" s="24" t="n"/>
    </row>
    <row r="1092" ht="33" customHeight="1">
      <c r="A1092" s="53" t="n"/>
      <c r="B1092" s="54" t="n"/>
      <c r="C1092" s="54" t="n"/>
      <c r="D1092" s="54" t="n"/>
      <c r="E1092" s="15" t="n"/>
      <c r="F1092" s="17" t="n"/>
      <c r="G1092" s="54" t="n"/>
      <c r="H1092" s="54" t="n"/>
      <c r="I1092" s="15" t="n"/>
      <c r="J1092" s="56" t="n"/>
      <c r="K1092" s="57" t="n"/>
      <c r="L1092" s="19" t="n"/>
      <c r="M1092" s="20" t="n"/>
      <c r="N1092" s="21" t="n"/>
      <c r="O1092" s="22" t="n"/>
      <c r="P1092" s="24" t="n"/>
    </row>
    <row r="1093" ht="33" customHeight="1">
      <c r="A1093" s="53" t="n"/>
      <c r="B1093" s="54" t="n"/>
      <c r="C1093" s="54" t="n"/>
      <c r="D1093" s="54" t="n"/>
      <c r="E1093" s="15" t="n"/>
      <c r="F1093" s="17" t="n"/>
      <c r="G1093" s="54" t="n"/>
      <c r="H1093" s="54" t="n"/>
      <c r="I1093" s="15" t="n"/>
      <c r="J1093" s="56" t="n"/>
      <c r="K1093" s="57" t="n"/>
      <c r="L1093" s="19" t="n"/>
      <c r="M1093" s="20" t="n"/>
      <c r="N1093" s="21" t="n"/>
      <c r="O1093" s="22" t="n"/>
      <c r="P1093" s="24" t="n"/>
    </row>
    <row r="1094" ht="33" customHeight="1">
      <c r="A1094" s="53" t="n"/>
      <c r="B1094" s="54" t="n"/>
      <c r="C1094" s="54" t="n"/>
      <c r="D1094" s="54" t="n"/>
      <c r="E1094" s="15" t="n"/>
      <c r="F1094" s="17" t="n"/>
      <c r="G1094" s="54" t="n"/>
      <c r="H1094" s="54" t="n"/>
      <c r="I1094" s="15" t="n"/>
      <c r="J1094" s="56" t="n"/>
      <c r="K1094" s="57" t="n"/>
      <c r="L1094" s="19" t="n"/>
      <c r="M1094" s="20" t="n"/>
      <c r="N1094" s="21" t="n"/>
      <c r="O1094" s="22" t="n"/>
      <c r="P1094" s="24" t="n"/>
    </row>
    <row r="1095" ht="33" customHeight="1">
      <c r="A1095" s="53" t="n"/>
      <c r="B1095" s="54" t="n"/>
      <c r="C1095" s="54" t="n"/>
      <c r="D1095" s="54" t="n"/>
      <c r="E1095" s="15" t="n"/>
      <c r="F1095" s="17" t="n"/>
      <c r="G1095" s="54" t="n"/>
      <c r="H1095" s="54" t="n"/>
      <c r="I1095" s="15" t="n"/>
      <c r="J1095" s="56" t="n"/>
      <c r="K1095" s="57" t="n"/>
      <c r="L1095" s="19" t="n"/>
      <c r="M1095" s="20" t="n"/>
      <c r="N1095" s="21" t="n"/>
      <c r="O1095" s="22" t="n"/>
      <c r="P1095" s="24" t="n"/>
    </row>
    <row r="1096" ht="33" customHeight="1">
      <c r="A1096" s="53" t="n"/>
      <c r="B1096" s="54" t="n"/>
      <c r="C1096" s="54" t="n"/>
      <c r="D1096" s="54" t="n"/>
      <c r="E1096" s="15" t="n"/>
      <c r="F1096" s="17" t="n"/>
      <c r="G1096" s="54" t="n"/>
      <c r="H1096" s="54" t="n"/>
      <c r="I1096" s="15" t="n"/>
      <c r="J1096" s="56" t="n"/>
      <c r="K1096" s="57" t="n"/>
      <c r="L1096" s="19" t="n"/>
      <c r="M1096" s="20" t="n"/>
      <c r="N1096" s="21" t="n"/>
      <c r="O1096" s="22" t="n"/>
      <c r="P1096" s="24" t="n"/>
    </row>
    <row r="1097" ht="33" customHeight="1">
      <c r="A1097" s="53" t="n"/>
      <c r="B1097" s="54" t="n"/>
      <c r="C1097" s="54" t="n"/>
      <c r="D1097" s="54" t="n"/>
      <c r="E1097" s="15" t="n"/>
      <c r="F1097" s="17" t="n"/>
      <c r="G1097" s="54" t="n"/>
      <c r="H1097" s="54" t="n"/>
      <c r="I1097" s="15" t="n"/>
      <c r="J1097" s="56" t="n"/>
      <c r="K1097" s="57" t="n"/>
      <c r="L1097" s="19" t="n"/>
      <c r="M1097" s="20" t="n"/>
      <c r="N1097" s="21" t="n"/>
      <c r="O1097" s="22" t="n"/>
      <c r="P1097" s="24" t="n"/>
    </row>
    <row r="1098" ht="33" customHeight="1">
      <c r="A1098" s="53" t="n"/>
      <c r="B1098" s="54" t="n"/>
      <c r="C1098" s="54" t="n"/>
      <c r="D1098" s="54" t="n"/>
      <c r="E1098" s="15" t="n"/>
      <c r="F1098" s="17" t="n"/>
      <c r="G1098" s="54" t="n"/>
      <c r="H1098" s="54" t="n"/>
      <c r="I1098" s="15" t="n"/>
      <c r="J1098" s="56" t="n"/>
      <c r="K1098" s="57" t="n"/>
      <c r="L1098" s="19" t="n"/>
      <c r="M1098" s="20" t="n"/>
      <c r="N1098" s="21" t="n"/>
      <c r="O1098" s="22" t="n"/>
      <c r="P1098" s="24" t="n"/>
    </row>
    <row r="1099" ht="33" customHeight="1">
      <c r="A1099" s="53" t="n"/>
      <c r="B1099" s="54" t="n"/>
      <c r="C1099" s="54" t="n"/>
      <c r="D1099" s="54" t="n"/>
      <c r="E1099" s="15" t="n"/>
      <c r="F1099" s="17" t="n"/>
      <c r="G1099" s="54" t="n"/>
      <c r="H1099" s="54" t="n"/>
      <c r="I1099" s="15" t="n"/>
      <c r="J1099" s="56" t="n"/>
      <c r="K1099" s="57" t="n"/>
      <c r="L1099" s="19" t="n"/>
      <c r="M1099" s="20" t="n"/>
      <c r="N1099" s="21" t="n"/>
      <c r="O1099" s="22" t="n"/>
      <c r="P1099" s="24" t="n"/>
    </row>
    <row r="1100" ht="33" customHeight="1">
      <c r="A1100" s="53" t="n"/>
      <c r="B1100" s="54" t="n"/>
      <c r="C1100" s="54" t="n"/>
      <c r="D1100" s="54" t="n"/>
      <c r="E1100" s="15" t="n"/>
      <c r="F1100" s="17" t="n"/>
      <c r="G1100" s="54" t="n"/>
      <c r="H1100" s="54" t="n"/>
      <c r="I1100" s="15" t="n"/>
      <c r="J1100" s="56" t="n"/>
      <c r="K1100" s="57" t="n"/>
      <c r="L1100" s="19" t="n"/>
      <c r="M1100" s="20" t="n"/>
      <c r="N1100" s="21" t="n"/>
      <c r="O1100" s="22" t="n"/>
      <c r="P1100" s="24" t="n"/>
    </row>
    <row r="1101" ht="33" customHeight="1">
      <c r="A1101" s="53" t="n"/>
      <c r="B1101" s="54" t="n"/>
      <c r="C1101" s="54" t="n"/>
      <c r="D1101" s="54" t="n"/>
      <c r="E1101" s="15" t="n"/>
      <c r="F1101" s="17" t="n"/>
      <c r="G1101" s="54" t="n"/>
      <c r="H1101" s="54" t="n"/>
      <c r="I1101" s="15" t="n"/>
      <c r="J1101" s="56" t="n"/>
      <c r="K1101" s="57" t="n"/>
      <c r="L1101" s="19" t="n"/>
      <c r="M1101" s="20" t="n"/>
      <c r="N1101" s="21" t="n"/>
      <c r="O1101" s="22" t="n"/>
      <c r="P1101" s="24" t="n"/>
    </row>
    <row r="1102" ht="33" customHeight="1">
      <c r="A1102" s="53" t="n"/>
      <c r="B1102" s="54" t="n"/>
      <c r="C1102" s="54" t="n"/>
      <c r="D1102" s="54" t="n"/>
      <c r="E1102" s="15" t="n"/>
      <c r="F1102" s="17" t="n"/>
      <c r="G1102" s="54" t="n"/>
      <c r="H1102" s="54" t="n"/>
      <c r="I1102" s="15" t="n"/>
      <c r="J1102" s="56" t="n"/>
      <c r="K1102" s="57" t="n"/>
      <c r="L1102" s="19" t="n"/>
      <c r="M1102" s="20" t="n"/>
      <c r="N1102" s="21" t="n"/>
      <c r="O1102" s="22" t="n"/>
      <c r="P1102" s="24" t="n"/>
    </row>
    <row r="1103" ht="33" customHeight="1">
      <c r="A1103" s="53" t="n"/>
      <c r="B1103" s="54" t="n"/>
      <c r="C1103" s="54" t="n"/>
      <c r="D1103" s="54" t="n"/>
      <c r="E1103" s="15" t="n"/>
      <c r="F1103" s="17" t="n"/>
      <c r="G1103" s="54" t="n"/>
      <c r="H1103" s="54" t="n"/>
      <c r="I1103" s="15" t="n"/>
      <c r="J1103" s="56" t="n"/>
      <c r="K1103" s="57" t="n"/>
      <c r="L1103" s="19" t="n"/>
      <c r="M1103" s="20" t="n"/>
      <c r="N1103" s="21" t="n"/>
      <c r="O1103" s="22" t="n"/>
      <c r="P1103" s="24" t="n"/>
    </row>
    <row r="1104" ht="33" customHeight="1">
      <c r="A1104" s="53" t="n"/>
      <c r="B1104" s="54" t="n"/>
      <c r="C1104" s="54" t="n"/>
      <c r="D1104" s="54" t="n"/>
      <c r="E1104" s="15" t="n"/>
      <c r="F1104" s="17" t="n"/>
      <c r="G1104" s="54" t="n"/>
      <c r="H1104" s="54" t="n"/>
      <c r="I1104" s="15" t="n"/>
      <c r="J1104" s="56" t="n"/>
      <c r="K1104" s="57" t="n"/>
      <c r="L1104" s="19" t="n"/>
      <c r="M1104" s="20" t="n"/>
      <c r="N1104" s="21" t="n"/>
      <c r="O1104" s="22" t="n"/>
      <c r="P1104" s="24" t="n"/>
    </row>
    <row r="1105" ht="33" customHeight="1">
      <c r="A1105" s="53" t="n"/>
      <c r="B1105" s="54" t="n"/>
      <c r="C1105" s="54" t="n"/>
      <c r="D1105" s="54" t="n"/>
      <c r="E1105" s="15" t="n"/>
      <c r="F1105" s="17" t="n"/>
      <c r="G1105" s="54" t="n"/>
      <c r="H1105" s="54" t="n"/>
      <c r="I1105" s="15" t="n"/>
      <c r="J1105" s="56" t="n"/>
      <c r="K1105" s="57" t="n"/>
      <c r="L1105" s="19" t="n"/>
      <c r="M1105" s="20" t="n"/>
      <c r="N1105" s="21" t="n"/>
      <c r="O1105" s="22" t="n"/>
      <c r="P1105" s="24" t="n"/>
    </row>
    <row r="1106" ht="33" customHeight="1">
      <c r="A1106" s="53" t="n"/>
      <c r="B1106" s="54" t="n"/>
      <c r="C1106" s="54" t="n"/>
      <c r="D1106" s="54" t="n"/>
      <c r="E1106" s="15" t="n"/>
      <c r="F1106" s="17" t="n"/>
      <c r="G1106" s="54" t="n"/>
      <c r="H1106" s="54" t="n"/>
      <c r="I1106" s="15" t="n"/>
      <c r="J1106" s="56" t="n"/>
      <c r="K1106" s="57" t="n"/>
      <c r="L1106" s="19" t="n"/>
      <c r="M1106" s="20" t="n"/>
      <c r="N1106" s="21" t="n"/>
      <c r="O1106" s="22" t="n"/>
      <c r="P1106" s="24" t="n"/>
    </row>
    <row r="1107" ht="33" customHeight="1">
      <c r="A1107" s="53" t="n"/>
      <c r="B1107" s="54" t="n"/>
      <c r="C1107" s="54" t="n"/>
      <c r="D1107" s="54" t="n"/>
      <c r="E1107" s="15" t="n"/>
      <c r="F1107" s="17" t="n"/>
      <c r="G1107" s="54" t="n"/>
      <c r="H1107" s="54" t="n"/>
      <c r="I1107" s="15" t="n"/>
      <c r="J1107" s="56" t="n"/>
      <c r="K1107" s="57" t="n"/>
      <c r="L1107" s="19" t="n"/>
      <c r="M1107" s="20" t="n"/>
      <c r="N1107" s="21" t="n"/>
      <c r="O1107" s="22" t="n"/>
      <c r="P1107" s="24" t="n"/>
    </row>
    <row r="1108" ht="33" customHeight="1">
      <c r="A1108" s="53" t="n"/>
      <c r="B1108" s="54" t="n"/>
      <c r="C1108" s="54" t="n"/>
      <c r="D1108" s="54" t="n"/>
      <c r="E1108" s="15" t="n"/>
      <c r="F1108" s="17" t="n"/>
      <c r="G1108" s="54" t="n"/>
      <c r="H1108" s="54" t="n"/>
      <c r="I1108" s="15" t="n"/>
      <c r="J1108" s="56" t="n"/>
      <c r="K1108" s="57" t="n"/>
      <c r="L1108" s="19" t="n"/>
      <c r="M1108" s="20" t="n"/>
      <c r="N1108" s="21" t="n"/>
      <c r="O1108" s="22" t="n"/>
      <c r="P1108" s="24" t="n"/>
    </row>
    <row r="1109" ht="33" customHeight="1">
      <c r="A1109" s="53" t="n"/>
      <c r="B1109" s="54" t="n"/>
      <c r="C1109" s="54" t="n"/>
      <c r="D1109" s="54" t="n"/>
      <c r="E1109" s="15" t="n"/>
      <c r="F1109" s="17" t="n"/>
      <c r="G1109" s="54" t="n"/>
      <c r="H1109" s="54" t="n"/>
      <c r="I1109" s="15" t="n"/>
      <c r="J1109" s="56" t="n"/>
      <c r="K1109" s="57" t="n"/>
      <c r="L1109" s="19" t="n"/>
      <c r="M1109" s="20" t="n"/>
      <c r="N1109" s="21" t="n"/>
      <c r="O1109" s="22" t="n"/>
      <c r="P1109" s="24" t="n"/>
    </row>
    <row r="1110" ht="33" customHeight="1">
      <c r="A1110" s="53" t="n"/>
      <c r="B1110" s="54" t="n"/>
      <c r="C1110" s="54" t="n"/>
      <c r="D1110" s="54" t="n"/>
      <c r="E1110" s="15" t="n"/>
      <c r="F1110" s="17" t="n"/>
      <c r="G1110" s="54" t="n"/>
      <c r="H1110" s="54" t="n"/>
      <c r="I1110" s="15" t="n"/>
      <c r="J1110" s="56" t="n"/>
      <c r="K1110" s="57" t="n"/>
      <c r="L1110" s="19" t="n"/>
      <c r="M1110" s="20" t="n"/>
      <c r="N1110" s="21" t="n"/>
      <c r="O1110" s="22" t="n"/>
      <c r="P1110" s="24" t="n"/>
    </row>
    <row r="1111" ht="33" customHeight="1">
      <c r="A1111" s="53" t="n"/>
      <c r="B1111" s="54" t="n"/>
      <c r="C1111" s="54" t="n"/>
      <c r="D1111" s="54" t="n"/>
      <c r="E1111" s="15" t="n"/>
      <c r="F1111" s="17" t="n"/>
      <c r="G1111" s="54" t="n"/>
      <c r="H1111" s="54" t="n"/>
      <c r="I1111" s="15" t="n"/>
      <c r="J1111" s="56" t="n"/>
      <c r="K1111" s="57" t="n"/>
      <c r="L1111" s="19" t="n"/>
      <c r="M1111" s="20" t="n"/>
      <c r="N1111" s="21" t="n"/>
      <c r="O1111" s="22" t="n"/>
      <c r="P1111" s="24" t="n"/>
    </row>
    <row r="1112" ht="33" customHeight="1">
      <c r="A1112" s="53" t="n"/>
      <c r="B1112" s="54" t="n"/>
      <c r="C1112" s="54" t="n"/>
      <c r="D1112" s="54" t="n"/>
      <c r="E1112" s="15" t="n"/>
      <c r="F1112" s="17" t="n"/>
      <c r="G1112" s="54" t="n"/>
      <c r="H1112" s="54" t="n"/>
      <c r="I1112" s="15" t="n"/>
      <c r="J1112" s="56" t="n"/>
      <c r="K1112" s="57" t="n"/>
      <c r="L1112" s="19" t="n"/>
      <c r="M1112" s="20" t="n"/>
      <c r="N1112" s="21" t="n"/>
      <c r="O1112" s="22" t="n"/>
      <c r="P1112" s="24" t="n"/>
    </row>
    <row r="1113" ht="33" customHeight="1">
      <c r="A1113" s="53" t="n"/>
      <c r="B1113" s="54" t="n"/>
      <c r="C1113" s="54" t="n"/>
      <c r="D1113" s="54" t="n"/>
      <c r="E1113" s="15" t="n"/>
      <c r="F1113" s="17" t="n"/>
      <c r="G1113" s="54" t="n"/>
      <c r="H1113" s="54" t="n"/>
      <c r="I1113" s="15" t="n"/>
      <c r="J1113" s="56" t="n"/>
      <c r="K1113" s="57" t="n"/>
      <c r="L1113" s="19" t="n"/>
      <c r="M1113" s="20" t="n"/>
      <c r="N1113" s="21" t="n"/>
      <c r="O1113" s="22" t="n"/>
      <c r="P1113" s="24" t="n"/>
    </row>
    <row r="1114" ht="33" customHeight="1">
      <c r="A1114" s="53" t="n"/>
      <c r="B1114" s="54" t="n"/>
      <c r="C1114" s="54" t="n"/>
      <c r="D1114" s="54" t="n"/>
      <c r="E1114" s="15" t="n"/>
      <c r="F1114" s="17" t="n"/>
      <c r="G1114" s="54" t="n"/>
      <c r="H1114" s="54" t="n"/>
      <c r="I1114" s="15" t="n"/>
      <c r="J1114" s="56" t="n"/>
      <c r="K1114" s="57" t="n"/>
      <c r="L1114" s="19" t="n"/>
      <c r="M1114" s="20" t="n"/>
      <c r="N1114" s="21" t="n"/>
      <c r="O1114" s="22" t="n"/>
      <c r="P1114" s="24" t="n"/>
    </row>
    <row r="1115" ht="33" customHeight="1">
      <c r="A1115" s="53" t="n"/>
      <c r="B1115" s="54" t="n"/>
      <c r="C1115" s="54" t="n"/>
      <c r="D1115" s="54" t="n"/>
      <c r="E1115" s="15" t="n"/>
      <c r="F1115" s="17" t="n"/>
      <c r="G1115" s="54" t="n"/>
      <c r="H1115" s="54" t="n"/>
      <c r="I1115" s="15" t="n"/>
      <c r="J1115" s="56" t="n"/>
      <c r="K1115" s="57" t="n"/>
      <c r="L1115" s="19" t="n"/>
      <c r="M1115" s="20" t="n"/>
      <c r="N1115" s="21" t="n"/>
      <c r="O1115" s="22" t="n"/>
      <c r="P1115" s="24" t="n"/>
    </row>
    <row r="1116" ht="33" customHeight="1">
      <c r="A1116" s="53" t="n"/>
      <c r="B1116" s="54" t="n"/>
      <c r="C1116" s="54" t="n"/>
      <c r="D1116" s="54" t="n"/>
      <c r="E1116" s="15" t="n"/>
      <c r="F1116" s="17" t="n"/>
      <c r="G1116" s="54" t="n"/>
      <c r="H1116" s="54" t="n"/>
      <c r="I1116" s="15" t="n"/>
      <c r="J1116" s="56" t="n"/>
      <c r="K1116" s="57" t="n"/>
      <c r="L1116" s="19" t="n"/>
      <c r="M1116" s="20" t="n"/>
      <c r="N1116" s="21" t="n"/>
      <c r="O1116" s="22" t="n"/>
      <c r="P1116" s="24" t="n"/>
    </row>
    <row r="1117" ht="33" customHeight="1">
      <c r="A1117" s="53" t="n"/>
      <c r="B1117" s="54" t="n"/>
      <c r="C1117" s="54" t="n"/>
      <c r="D1117" s="54" t="n"/>
      <c r="E1117" s="15" t="n"/>
      <c r="F1117" s="17" t="n"/>
      <c r="G1117" s="54" t="n"/>
      <c r="H1117" s="54" t="n"/>
      <c r="I1117" s="15" t="n"/>
      <c r="J1117" s="56" t="n"/>
      <c r="K1117" s="57" t="n"/>
      <c r="L1117" s="19" t="n"/>
      <c r="M1117" s="20" t="n"/>
      <c r="N1117" s="21" t="n"/>
      <c r="O1117" s="22" t="n"/>
      <c r="P1117" s="24" t="n"/>
    </row>
    <row r="1118" ht="33" customHeight="1">
      <c r="A1118" s="53" t="n"/>
      <c r="B1118" s="54" t="n"/>
      <c r="C1118" s="54" t="n"/>
      <c r="D1118" s="54" t="n"/>
      <c r="E1118" s="15" t="n"/>
      <c r="F1118" s="17" t="n"/>
      <c r="G1118" s="54" t="n"/>
      <c r="H1118" s="54" t="n"/>
      <c r="I1118" s="15" t="n"/>
      <c r="J1118" s="56" t="n"/>
      <c r="K1118" s="57" t="n"/>
      <c r="L1118" s="19" t="n"/>
      <c r="M1118" s="20" t="n"/>
      <c r="N1118" s="21" t="n"/>
      <c r="O1118" s="22" t="n"/>
      <c r="P1118" s="24" t="n"/>
    </row>
    <row r="1119" ht="33" customHeight="1">
      <c r="A1119" s="53" t="n"/>
      <c r="B1119" s="54" t="n"/>
      <c r="C1119" s="54" t="n"/>
      <c r="D1119" s="54" t="n"/>
      <c r="E1119" s="15" t="n"/>
      <c r="F1119" s="17" t="n"/>
      <c r="G1119" s="54" t="n"/>
      <c r="H1119" s="54" t="n"/>
      <c r="I1119" s="15" t="n"/>
      <c r="J1119" s="56" t="n"/>
      <c r="K1119" s="57" t="n"/>
      <c r="L1119" s="19" t="n"/>
      <c r="M1119" s="20" t="n"/>
      <c r="N1119" s="21" t="n"/>
      <c r="O1119" s="22" t="n"/>
      <c r="P1119" s="24" t="n"/>
    </row>
    <row r="1120" ht="33" customHeight="1">
      <c r="A1120" s="53" t="n"/>
      <c r="B1120" s="54" t="n"/>
      <c r="C1120" s="54" t="n"/>
      <c r="D1120" s="54" t="n"/>
      <c r="E1120" s="15" t="n"/>
      <c r="F1120" s="17" t="n"/>
      <c r="G1120" s="54" t="n"/>
      <c r="H1120" s="54" t="n"/>
      <c r="I1120" s="15" t="n"/>
      <c r="J1120" s="56" t="n"/>
      <c r="K1120" s="57" t="n"/>
      <c r="L1120" s="19" t="n"/>
      <c r="M1120" s="20" t="n"/>
      <c r="N1120" s="21" t="n"/>
      <c r="O1120" s="22" t="n"/>
      <c r="P1120" s="24" t="n"/>
    </row>
    <row r="1121" ht="33" customHeight="1">
      <c r="A1121" s="53" t="n"/>
      <c r="B1121" s="54" t="n"/>
      <c r="C1121" s="54" t="n"/>
      <c r="D1121" s="54" t="n"/>
      <c r="E1121" s="15" t="n"/>
      <c r="F1121" s="17" t="n"/>
      <c r="G1121" s="54" t="n"/>
      <c r="H1121" s="54" t="n"/>
      <c r="I1121" s="15" t="n"/>
      <c r="J1121" s="56" t="n"/>
      <c r="K1121" s="57" t="n"/>
      <c r="L1121" s="19" t="n"/>
      <c r="M1121" s="20" t="n"/>
      <c r="N1121" s="21" t="n"/>
      <c r="O1121" s="22" t="n"/>
      <c r="P1121" s="24" t="n"/>
    </row>
    <row r="1122" ht="33" customHeight="1">
      <c r="A1122" s="53" t="n"/>
      <c r="B1122" s="54" t="n"/>
      <c r="C1122" s="54" t="n"/>
      <c r="D1122" s="54" t="n"/>
      <c r="E1122" s="15" t="n"/>
      <c r="F1122" s="17" t="n"/>
      <c r="G1122" s="54" t="n"/>
      <c r="H1122" s="54" t="n"/>
      <c r="I1122" s="15" t="n"/>
      <c r="J1122" s="56" t="n"/>
      <c r="K1122" s="57" t="n"/>
      <c r="L1122" s="19" t="n"/>
      <c r="M1122" s="20" t="n"/>
      <c r="N1122" s="21" t="n"/>
      <c r="O1122" s="22" t="n"/>
      <c r="P1122" s="24" t="n"/>
    </row>
    <row r="1123" ht="33" customHeight="1">
      <c r="A1123" s="53" t="n"/>
      <c r="B1123" s="54" t="n"/>
      <c r="C1123" s="54" t="n"/>
      <c r="D1123" s="54" t="n"/>
      <c r="E1123" s="15" t="n"/>
      <c r="F1123" s="17" t="n"/>
      <c r="G1123" s="54" t="n"/>
      <c r="H1123" s="54" t="n"/>
      <c r="I1123" s="15" t="n"/>
      <c r="J1123" s="56" t="n"/>
      <c r="K1123" s="57" t="n"/>
      <c r="L1123" s="19" t="n"/>
      <c r="M1123" s="20" t="n"/>
      <c r="N1123" s="21" t="n"/>
      <c r="O1123" s="22" t="n"/>
      <c r="P1123" s="24" t="n"/>
    </row>
    <row r="1124" ht="33" customHeight="1">
      <c r="A1124" s="53" t="n"/>
      <c r="B1124" s="54" t="n"/>
      <c r="C1124" s="54" t="n"/>
      <c r="D1124" s="54" t="n"/>
      <c r="E1124" s="15" t="n"/>
      <c r="F1124" s="17" t="n"/>
      <c r="G1124" s="54" t="n"/>
      <c r="H1124" s="54" t="n"/>
      <c r="I1124" s="15" t="n"/>
      <c r="J1124" s="56" t="n"/>
      <c r="K1124" s="57" t="n"/>
      <c r="L1124" s="19" t="n"/>
      <c r="M1124" s="20" t="n"/>
      <c r="N1124" s="21" t="n"/>
      <c r="O1124" s="22" t="n"/>
      <c r="P1124" s="24" t="n"/>
    </row>
    <row r="1125" ht="33" customHeight="1">
      <c r="A1125" s="53" t="n"/>
      <c r="B1125" s="54" t="n"/>
      <c r="C1125" s="54" t="n"/>
      <c r="D1125" s="54" t="n"/>
      <c r="E1125" s="15" t="n"/>
      <c r="F1125" s="17" t="n"/>
      <c r="G1125" s="54" t="n"/>
      <c r="H1125" s="54" t="n"/>
      <c r="I1125" s="15" t="n"/>
      <c r="J1125" s="56" t="n"/>
      <c r="K1125" s="57" t="n"/>
      <c r="L1125" s="19" t="n"/>
      <c r="M1125" s="20" t="n"/>
      <c r="N1125" s="21" t="n"/>
      <c r="O1125" s="22" t="n"/>
      <c r="P1125" s="24" t="n"/>
    </row>
    <row r="1126" ht="33" customHeight="1">
      <c r="A1126" s="53" t="n"/>
      <c r="B1126" s="54" t="n"/>
      <c r="C1126" s="54" t="n"/>
      <c r="D1126" s="54" t="n"/>
      <c r="E1126" s="15" t="n"/>
      <c r="F1126" s="17" t="n"/>
      <c r="G1126" s="54" t="n"/>
      <c r="H1126" s="54" t="n"/>
      <c r="I1126" s="15" t="n"/>
      <c r="J1126" s="56" t="n"/>
      <c r="K1126" s="57" t="n"/>
      <c r="L1126" s="19" t="n"/>
      <c r="M1126" s="20" t="n"/>
      <c r="N1126" s="21" t="n"/>
      <c r="O1126" s="22" t="n"/>
      <c r="P1126" s="24" t="n"/>
    </row>
    <row r="1127" ht="33" customHeight="1">
      <c r="A1127" s="53" t="n"/>
      <c r="B1127" s="54" t="n"/>
      <c r="C1127" s="54" t="n"/>
      <c r="D1127" s="54" t="n"/>
      <c r="E1127" s="15" t="n"/>
      <c r="F1127" s="17" t="n"/>
      <c r="G1127" s="54" t="n"/>
      <c r="H1127" s="54" t="n"/>
      <c r="I1127" s="15" t="n"/>
      <c r="J1127" s="56" t="n"/>
      <c r="K1127" s="57" t="n"/>
      <c r="L1127" s="19" t="n"/>
      <c r="M1127" s="20" t="n"/>
      <c r="N1127" s="21" t="n"/>
      <c r="O1127" s="22" t="n"/>
      <c r="P1127" s="24" t="n"/>
    </row>
    <row r="1128" ht="33" customHeight="1">
      <c r="A1128" s="53" t="n"/>
      <c r="B1128" s="54" t="n"/>
      <c r="C1128" s="54" t="n"/>
      <c r="D1128" s="54" t="n"/>
      <c r="E1128" s="15" t="n"/>
      <c r="F1128" s="17" t="n"/>
      <c r="G1128" s="54" t="n"/>
      <c r="H1128" s="54" t="n"/>
      <c r="I1128" s="15" t="n"/>
      <c r="J1128" s="56" t="n"/>
      <c r="K1128" s="57" t="n"/>
      <c r="L1128" s="19" t="n"/>
      <c r="M1128" s="20" t="n"/>
      <c r="N1128" s="21" t="n"/>
      <c r="O1128" s="22" t="n"/>
      <c r="P1128" s="24" t="n"/>
    </row>
    <row r="1129" ht="33" customHeight="1">
      <c r="A1129" s="53" t="n"/>
      <c r="B1129" s="54" t="n"/>
      <c r="C1129" s="54" t="n"/>
      <c r="D1129" s="54" t="n"/>
      <c r="E1129" s="15" t="n"/>
      <c r="F1129" s="17" t="n"/>
      <c r="G1129" s="54" t="n"/>
      <c r="H1129" s="54" t="n"/>
      <c r="I1129" s="15" t="n"/>
      <c r="J1129" s="56" t="n"/>
      <c r="K1129" s="57" t="n"/>
      <c r="L1129" s="19" t="n"/>
      <c r="M1129" s="20" t="n"/>
      <c r="N1129" s="21" t="n"/>
      <c r="O1129" s="22" t="n"/>
      <c r="P1129" s="24" t="n"/>
    </row>
    <row r="1130" ht="33" customHeight="1">
      <c r="A1130" s="53" t="n"/>
      <c r="B1130" s="54" t="n"/>
      <c r="C1130" s="54" t="n"/>
      <c r="D1130" s="54" t="n"/>
      <c r="E1130" s="15" t="n"/>
      <c r="F1130" s="17" t="n"/>
      <c r="G1130" s="54" t="n"/>
      <c r="H1130" s="54" t="n"/>
      <c r="I1130" s="15" t="n"/>
      <c r="J1130" s="56" t="n"/>
      <c r="K1130" s="57" t="n"/>
      <c r="L1130" s="19" t="n"/>
      <c r="M1130" s="20" t="n"/>
      <c r="N1130" s="21" t="n"/>
      <c r="O1130" s="22" t="n"/>
      <c r="P1130" s="24" t="n"/>
    </row>
    <row r="1131" ht="33" customHeight="1">
      <c r="A1131" s="53" t="n"/>
      <c r="B1131" s="54" t="n"/>
      <c r="C1131" s="54" t="n"/>
      <c r="D1131" s="54" t="n"/>
      <c r="E1131" s="15" t="n"/>
      <c r="F1131" s="17" t="n"/>
      <c r="G1131" s="54" t="n"/>
      <c r="H1131" s="54" t="n"/>
      <c r="I1131" s="15" t="n"/>
      <c r="J1131" s="56" t="n"/>
      <c r="K1131" s="57" t="n"/>
      <c r="L1131" s="19" t="n"/>
      <c r="M1131" s="20" t="n"/>
      <c r="N1131" s="21" t="n"/>
      <c r="O1131" s="22" t="n"/>
      <c r="P1131" s="24" t="n"/>
    </row>
    <row r="1132" ht="33" customHeight="1">
      <c r="A1132" s="53" t="n"/>
      <c r="B1132" s="54" t="n"/>
      <c r="C1132" s="54" t="n"/>
      <c r="D1132" s="54" t="n"/>
      <c r="E1132" s="15" t="n"/>
      <c r="F1132" s="17" t="n"/>
      <c r="G1132" s="54" t="n"/>
      <c r="H1132" s="54" t="n"/>
      <c r="I1132" s="15" t="n"/>
      <c r="J1132" s="56" t="n"/>
      <c r="K1132" s="57" t="n"/>
      <c r="L1132" s="19" t="n"/>
      <c r="M1132" s="20" t="n"/>
      <c r="N1132" s="21" t="n"/>
      <c r="O1132" s="22" t="n"/>
      <c r="P1132" s="24" t="n"/>
    </row>
    <row r="1133" ht="33" customHeight="1">
      <c r="A1133" s="53" t="n"/>
      <c r="B1133" s="54" t="n"/>
      <c r="C1133" s="54" t="n"/>
      <c r="D1133" s="54" t="n"/>
      <c r="E1133" s="15" t="n"/>
      <c r="F1133" s="17" t="n"/>
      <c r="G1133" s="54" t="n"/>
      <c r="H1133" s="54" t="n"/>
      <c r="I1133" s="15" t="n"/>
      <c r="J1133" s="56" t="n"/>
      <c r="K1133" s="57" t="n"/>
      <c r="L1133" s="19" t="n"/>
      <c r="M1133" s="20" t="n"/>
      <c r="N1133" s="21" t="n"/>
      <c r="O1133" s="22" t="n"/>
      <c r="P1133" s="24" t="n"/>
    </row>
    <row r="1134" ht="33" customHeight="1">
      <c r="A1134" s="53" t="n"/>
      <c r="B1134" s="54" t="n"/>
      <c r="C1134" s="54" t="n"/>
      <c r="D1134" s="54" t="n"/>
      <c r="E1134" s="15" t="n"/>
      <c r="F1134" s="17" t="n"/>
      <c r="G1134" s="54" t="n"/>
      <c r="H1134" s="54" t="n"/>
      <c r="I1134" s="15" t="n"/>
      <c r="J1134" s="56" t="n"/>
      <c r="K1134" s="57" t="n"/>
      <c r="L1134" s="19" t="n"/>
      <c r="M1134" s="20" t="n"/>
      <c r="N1134" s="21" t="n"/>
      <c r="O1134" s="22" t="n"/>
      <c r="P1134" s="24" t="n"/>
    </row>
    <row r="1135" ht="33" customHeight="1">
      <c r="A1135" s="53" t="n"/>
      <c r="B1135" s="54" t="n"/>
      <c r="C1135" s="54" t="n"/>
      <c r="D1135" s="54" t="n"/>
      <c r="E1135" s="15" t="n"/>
      <c r="F1135" s="17" t="n"/>
      <c r="G1135" s="54" t="n"/>
      <c r="H1135" s="54" t="n"/>
      <c r="I1135" s="15" t="n"/>
      <c r="J1135" s="56" t="n"/>
      <c r="K1135" s="57" t="n"/>
      <c r="L1135" s="19" t="n"/>
      <c r="M1135" s="20" t="n"/>
      <c r="N1135" s="21" t="n"/>
      <c r="O1135" s="22" t="n"/>
      <c r="P1135" s="24" t="n"/>
    </row>
    <row r="1136" ht="33" customHeight="1">
      <c r="A1136" s="53" t="n"/>
      <c r="B1136" s="54" t="n"/>
      <c r="C1136" s="54" t="n"/>
      <c r="D1136" s="54" t="n"/>
      <c r="E1136" s="15" t="n"/>
      <c r="F1136" s="17" t="n"/>
      <c r="G1136" s="54" t="n"/>
      <c r="H1136" s="54" t="n"/>
      <c r="I1136" s="15" t="n"/>
      <c r="J1136" s="56" t="n"/>
      <c r="K1136" s="57" t="n"/>
      <c r="L1136" s="19" t="n"/>
      <c r="M1136" s="20" t="n"/>
      <c r="N1136" s="21" t="n"/>
      <c r="O1136" s="22" t="n"/>
      <c r="P1136" s="24" t="n"/>
    </row>
    <row r="1137" ht="33" customHeight="1">
      <c r="A1137" s="53" t="n"/>
      <c r="B1137" s="54" t="n"/>
      <c r="C1137" s="54" t="n"/>
      <c r="D1137" s="54" t="n"/>
      <c r="E1137" s="15" t="n"/>
      <c r="F1137" s="17" t="n"/>
      <c r="G1137" s="54" t="n"/>
      <c r="H1137" s="54" t="n"/>
      <c r="I1137" s="15" t="n"/>
      <c r="J1137" s="56" t="n"/>
      <c r="K1137" s="57" t="n"/>
      <c r="L1137" s="19" t="n"/>
      <c r="M1137" s="20" t="n"/>
      <c r="N1137" s="21" t="n"/>
      <c r="O1137" s="22" t="n"/>
      <c r="P1137" s="24" t="n"/>
    </row>
    <row r="1138" ht="12.5" customHeight="1">
      <c r="A1138" s="14" t="inlineStr">
        <is>
          <t>0</t>
        </is>
      </c>
      <c r="B1138" s="15" t="n"/>
      <c r="C1138" s="15" t="n"/>
      <c r="D1138" s="15" t="n"/>
      <c r="E1138" s="15" t="n"/>
      <c r="F1138" s="17" t="n"/>
      <c r="G1138" s="15" t="inlineStr">
        <is>
          <t>Other</t>
        </is>
      </c>
      <c r="H1138" s="15" t="inlineStr">
        <is>
          <t>2434</t>
        </is>
      </c>
      <c r="I1138" s="15" t="n"/>
      <c r="J1138" s="98" t="n">
        <v>2</v>
      </c>
      <c r="K1138" s="21" t="n">
        <v>45960</v>
      </c>
      <c r="L1138" s="14" t="inlineStr">
        <is>
          <t>10/13/2025</t>
        </is>
      </c>
      <c r="M1138" s="99" t="n"/>
      <c r="N1138" s="21" t="n"/>
      <c r="O1138" s="22" t="n"/>
    </row>
    <row r="1139" ht="25" customHeight="1">
      <c r="A1139" s="14" t="inlineStr">
        <is>
          <t>1</t>
        </is>
      </c>
      <c r="B1139" s="15" t="inlineStr">
        <is>
          <t>Unknown</t>
        </is>
      </c>
      <c r="C1139" s="15" t="n"/>
      <c r="D1139" s="15" t="inlineStr">
        <is>
          <t>18-8 Stainless Steel Button Head Hex Drive Screw
5/16"-18 Thread Size, 5/8" Long</t>
        </is>
      </c>
      <c r="E1139" s="15" t="inlineStr">
        <is>
          <t>25</t>
        </is>
      </c>
      <c r="F1139" s="17" t="inlineStr">
        <is>
          <t>Packs</t>
        </is>
      </c>
      <c r="G1139" s="15" t="inlineStr">
        <is>
          <t>McMaster-Carr</t>
        </is>
      </c>
      <c r="H1139" s="15" t="inlineStr">
        <is>
          <t>92949a580</t>
        </is>
      </c>
      <c r="I1139" s="15" t="n"/>
      <c r="J1139" s="83" t="inlineStr">
        <is>
          <t>5.87</t>
        </is>
      </c>
      <c r="K1139" s="21" t="n"/>
      <c r="L1139" s="14" t="inlineStr">
        <is>
          <t>10/13/2025</t>
        </is>
      </c>
      <c r="M1139" s="84" t="n"/>
      <c r="N1139" s="21" t="n"/>
      <c r="O1139" s="22" t="n"/>
    </row>
    <row r="1140" ht="25" customHeight="1">
      <c r="A1140" s="14" t="inlineStr">
        <is>
          <t>3</t>
        </is>
      </c>
      <c r="B1140" s="15" t="inlineStr">
        <is>
          <t>Unknown</t>
        </is>
      </c>
      <c r="C1140" s="15" t="n"/>
      <c r="D1140" s="15" t="inlineStr">
        <is>
          <t>18-8 Stainless Steel Button Head Hex Drive Screw
5/16"-18 Thread Size, 5/8" Long</t>
        </is>
      </c>
      <c r="E1140" s="15" t="inlineStr">
        <is>
          <t>25</t>
        </is>
      </c>
      <c r="F1140" s="17" t="inlineStr">
        <is>
          <t>Packs</t>
        </is>
      </c>
      <c r="G1140" s="15" t="inlineStr">
        <is>
          <t>McMaster-Carr</t>
        </is>
      </c>
      <c r="H1140" s="15" t="inlineStr">
        <is>
          <t>92949a580</t>
        </is>
      </c>
      <c r="I1140" s="15" t="n"/>
      <c r="J1140" s="83" t="inlineStr">
        <is>
          <t>5.87</t>
        </is>
      </c>
      <c r="K1140" s="21" t="n"/>
      <c r="L1140" s="14" t="inlineStr">
        <is>
          <t>10/13/2025</t>
        </is>
      </c>
      <c r="M1140" s="84" t="n"/>
      <c r="N1140" s="21" t="n"/>
      <c r="O1140" s="22" t="n"/>
    </row>
    <row r="1141" ht="12.5" customHeight="1">
      <c r="A1141" s="14" t="inlineStr">
        <is>
          <t>6</t>
        </is>
      </c>
      <c r="B1141" s="15" t="n"/>
      <c r="C1141" s="15" t="n"/>
      <c r="D1141" s="15" t="n"/>
      <c r="E1141" s="15" t="n"/>
      <c r="F1141" s="17" t="n"/>
      <c r="G1141" s="15" t="inlineStr">
        <is>
          <t>Grainger</t>
        </is>
      </c>
      <c r="H1141" s="15" t="inlineStr">
        <is>
          <t>6</t>
        </is>
      </c>
      <c r="I1141" s="15" t="n"/>
      <c r="J1141" s="83" t="n"/>
      <c r="K1141" s="21" t="n"/>
      <c r="L1141" s="14" t="inlineStr">
        <is>
          <t>10/13/2025</t>
        </is>
      </c>
      <c r="M1141" s="84" t="n"/>
      <c r="N1141" s="21" t="n"/>
      <c r="O1141" s="22" t="n"/>
    </row>
    <row r="1142" ht="12.5" customHeight="1">
      <c r="A1142" s="14" t="inlineStr">
        <is>
          <t>7</t>
        </is>
      </c>
      <c r="B1142" s="15" t="n"/>
      <c r="C1142" s="15" t="n"/>
      <c r="D1142" s="15" t="n"/>
      <c r="E1142" s="15" t="n"/>
      <c r="F1142" s="17" t="n"/>
      <c r="G1142" s="15" t="inlineStr">
        <is>
          <t>Other</t>
        </is>
      </c>
      <c r="H1142" s="15" t="inlineStr">
        <is>
          <t>45444</t>
        </is>
      </c>
      <c r="I1142" s="15" t="n"/>
      <c r="J1142" s="83" t="n"/>
      <c r="K1142" s="21" t="n"/>
      <c r="L1142" s="14" t="inlineStr">
        <is>
          <t>10/13/2025</t>
        </is>
      </c>
      <c r="M1142" s="84" t="n"/>
      <c r="N1142" s="21" t="n"/>
      <c r="O1142" s="22" t="n"/>
    </row>
    <row r="1143">
      <c r="A1143" s="14" t="inlineStr">
        <is>
          <t>2WJT9</t>
        </is>
      </c>
      <c r="B1143" s="15" t="inlineStr">
        <is>
          <t>12F10EA03B16</t>
        </is>
      </c>
      <c r="C1143" s="15" t="inlineStr">
        <is>
          <t>ASHLAND CONVEYOR</t>
        </is>
      </c>
      <c r="D1143" s="15" t="inlineStr">
        <is>
          <t>Roller Conveyor: Light-Duty, 1 3/8 in Roller Dia., 16 in Between Frame Wd, 18 in Overall Wd, Rigid</t>
        </is>
      </c>
      <c r="E1143" s="15" t="inlineStr">
        <is>
          <t>1</t>
        </is>
      </c>
      <c r="F1143" s="17" t="inlineStr">
        <is>
          <t>each</t>
        </is>
      </c>
      <c r="G1143" s="15" t="inlineStr">
        <is>
          <t>Grainger</t>
        </is>
      </c>
      <c r="H1143" s="15" t="inlineStr">
        <is>
          <t>2WJT9</t>
        </is>
      </c>
      <c r="I1143" s="15" t="n"/>
      <c r="J1143" s="98" t="n">
        <v>564.3200000000001</v>
      </c>
      <c r="K1143" s="21" t="n">
        <v>45972</v>
      </c>
      <c r="L1143" s="14" t="n">
        <v>0</v>
      </c>
      <c r="M1143" s="99" t="n"/>
      <c r="N1143" s="21" t="n"/>
      <c r="O1143" s="22" t="n"/>
    </row>
  </sheetData>
  <pageMargins left="0.75" right="0.75" top="1" bottom="1" header="0.511811023622047" footer="0.511811023622047"/>
  <pageSetup orientation="portrait" horizontalDpi="300" verticalDpi="300"/>
</worksheet>
</file>

<file path=xl/worksheets/sheet2.xml><?xml version="1.0" encoding="utf-8"?>
<worksheet xmlns="http://schemas.openxmlformats.org/spreadsheetml/2006/main">
  <sheetPr>
    <outlinePr summaryBelow="1" summaryRight="1"/>
    <pageSetUpPr/>
  </sheetPr>
  <dimension ref="A1:E487"/>
  <sheetViews>
    <sheetView zoomScaleNormal="100" workbookViewId="0">
      <selection activeCell="H99" sqref="H99"/>
    </sheetView>
  </sheetViews>
  <sheetFormatPr baseColWidth="8" defaultColWidth="8.453125" defaultRowHeight="12" customHeight="1"/>
  <cols>
    <col width="17.1796875" customWidth="1" min="1" max="1"/>
    <col width="15.81640625" customWidth="1" min="2" max="2"/>
    <col width="6.81640625" customWidth="1" min="3" max="5"/>
    <col width="14.1796875" customWidth="1" min="6" max="6"/>
  </cols>
  <sheetData>
    <row r="1" ht="12.75" customHeight="1">
      <c r="A1" s="85" t="inlineStr">
        <is>
          <t>Item Number</t>
        </is>
      </c>
      <c r="B1" s="85" t="inlineStr">
        <is>
          <t>Description</t>
        </is>
      </c>
      <c r="C1" s="85" t="inlineStr">
        <is>
          <t>A</t>
        </is>
      </c>
      <c r="D1" s="85" t="inlineStr">
        <is>
          <t>B</t>
        </is>
      </c>
      <c r="E1" s="85" t="inlineStr">
        <is>
          <t>L</t>
        </is>
      </c>
    </row>
    <row r="2" ht="12.5" customHeight="1">
      <c r="A2" s="86" t="inlineStr">
        <is>
          <t>13RS012504</t>
        </is>
      </c>
      <c r="B2" s="86" t="inlineStr">
        <is>
          <t>RS 12504</t>
        </is>
      </c>
      <c r="C2" s="86" t="n">
        <v>0.125</v>
      </c>
      <c r="D2" s="86" t="n">
        <v>0.047</v>
      </c>
      <c r="E2" s="86" t="n">
        <v>0.375</v>
      </c>
    </row>
    <row r="3" ht="12.5" customHeight="1">
      <c r="A3" s="86" t="inlineStr">
        <is>
          <t>13RS014528</t>
        </is>
      </c>
      <c r="B3" s="86" t="inlineStr">
        <is>
          <t>RS 14528</t>
        </is>
      </c>
      <c r="C3" s="86" t="n">
        <v>0.148</v>
      </c>
      <c r="D3" s="86" t="n">
        <v>0.08500000000000001</v>
      </c>
      <c r="E3" s="86" t="n">
        <v>0.28</v>
      </c>
    </row>
    <row r="4" ht="12.5" customHeight="1">
      <c r="A4" s="86" t="inlineStr">
        <is>
          <t>13RS014529</t>
        </is>
      </c>
      <c r="B4" s="86" t="inlineStr">
        <is>
          <t>RS 14529</t>
        </is>
      </c>
      <c r="C4" s="86" t="n">
        <v>0.125</v>
      </c>
      <c r="D4" s="86" t="n">
        <v>0.047</v>
      </c>
      <c r="E4" s="86" t="n">
        <v>0.187</v>
      </c>
    </row>
    <row r="5" ht="12.5" customHeight="1">
      <c r="A5" s="86" t="inlineStr">
        <is>
          <t>13RS014530</t>
        </is>
      </c>
      <c r="B5" s="86" t="inlineStr">
        <is>
          <t>RS 14530</t>
        </is>
      </c>
      <c r="C5" s="86" t="n">
        <v>0.15</v>
      </c>
      <c r="D5" s="86" t="n">
        <v>0.078</v>
      </c>
      <c r="E5" s="86" t="n">
        <v>0.3125</v>
      </c>
    </row>
    <row r="6" ht="12.5" customHeight="1">
      <c r="A6" s="86" t="inlineStr">
        <is>
          <t>13RS014531</t>
        </is>
      </c>
      <c r="B6" s="86" t="inlineStr">
        <is>
          <t>RS 14531</t>
        </is>
      </c>
      <c r="C6" s="86" t="n">
        <v>0.138</v>
      </c>
      <c r="D6" s="86" t="n">
        <v>0.038</v>
      </c>
      <c r="E6" s="86" t="n">
        <v>0.125</v>
      </c>
    </row>
    <row r="7" ht="12.5" customHeight="1">
      <c r="A7" s="86" t="inlineStr">
        <is>
          <t>13RS014532</t>
        </is>
      </c>
      <c r="B7" s="86" t="inlineStr">
        <is>
          <t>RS 14532</t>
        </is>
      </c>
      <c r="C7" s="86" t="n">
        <v>0.156</v>
      </c>
      <c r="D7" s="86" t="n">
        <v>0.063</v>
      </c>
      <c r="E7" s="86" t="n">
        <v>0.12</v>
      </c>
    </row>
    <row r="8" ht="12.5" customHeight="1">
      <c r="A8" s="86" t="inlineStr">
        <is>
          <t>13RS014533</t>
        </is>
      </c>
      <c r="B8" s="86" t="inlineStr">
        <is>
          <t>RS 14533</t>
        </is>
      </c>
      <c r="C8" s="86" t="n">
        <v>0.138</v>
      </c>
      <c r="D8" s="86" t="n">
        <v>0.038</v>
      </c>
      <c r="E8" s="86" t="n">
        <v>0.065</v>
      </c>
    </row>
    <row r="9" ht="12.5" customHeight="1">
      <c r="A9" s="86" t="inlineStr">
        <is>
          <t>13RS014534</t>
        </is>
      </c>
      <c r="B9" s="86" t="inlineStr">
        <is>
          <t>RS 14534</t>
        </is>
      </c>
      <c r="C9" s="86" t="n">
        <v>0.125</v>
      </c>
      <c r="D9" s="86" t="n">
        <v>0.06900000000000001</v>
      </c>
      <c r="E9" s="86" t="n">
        <v>0.203</v>
      </c>
    </row>
    <row r="10" ht="12.5" customHeight="1">
      <c r="A10" s="86" t="inlineStr">
        <is>
          <t>13RS015721</t>
        </is>
      </c>
      <c r="B10" s="86" t="inlineStr">
        <is>
          <t>RS 15721</t>
        </is>
      </c>
      <c r="C10" s="86" t="n">
        <v>0.157</v>
      </c>
      <c r="D10" s="86" t="n">
        <v>0.102</v>
      </c>
      <c r="E10" s="86" t="n">
        <v>0.217</v>
      </c>
    </row>
    <row r="11" ht="12.5" customHeight="1">
      <c r="A11" s="86" t="inlineStr">
        <is>
          <t>13RS016040</t>
        </is>
      </c>
      <c r="B11" s="86" t="inlineStr">
        <is>
          <t>RS 16040</t>
        </is>
      </c>
      <c r="C11" s="86" t="n">
        <v>0.16</v>
      </c>
      <c r="D11" s="86" t="n">
        <v>0.1</v>
      </c>
      <c r="E11" s="86" t="n">
        <v>0.406</v>
      </c>
    </row>
    <row r="12" ht="12.5" customHeight="1">
      <c r="A12" s="86" t="inlineStr">
        <is>
          <t>13RS018020</t>
        </is>
      </c>
      <c r="B12" s="86" t="inlineStr">
        <is>
          <t>RS 18020</t>
        </is>
      </c>
      <c r="C12" s="86" t="n">
        <v>0.192</v>
      </c>
      <c r="D12" s="86" t="n">
        <v>0.093</v>
      </c>
      <c r="E12" s="86" t="n">
        <v>0.203</v>
      </c>
    </row>
    <row r="13" ht="12.5" customHeight="1">
      <c r="A13" s="86" t="inlineStr">
        <is>
          <t>13RS018713</t>
        </is>
      </c>
      <c r="B13" s="86" t="inlineStr">
        <is>
          <t>RS 18713</t>
        </is>
      </c>
      <c r="C13" s="86" t="n">
        <v>0.188</v>
      </c>
      <c r="D13" s="86" t="n">
        <v>0.091</v>
      </c>
      <c r="E13" s="86" t="n">
        <v>0.275</v>
      </c>
    </row>
    <row r="14" ht="12.5" customHeight="1">
      <c r="A14" s="86" t="inlineStr">
        <is>
          <t>13RS018714</t>
        </is>
      </c>
      <c r="B14" s="86" t="inlineStr">
        <is>
          <t>RS 18714</t>
        </is>
      </c>
      <c r="C14" s="86" t="n">
        <v>0.188</v>
      </c>
      <c r="D14" s="86" t="n">
        <v>0.09</v>
      </c>
      <c r="E14" s="86" t="n">
        <v>0.52</v>
      </c>
    </row>
    <row r="15" ht="12.5" customHeight="1">
      <c r="A15" s="86" t="inlineStr">
        <is>
          <t>13RS018715</t>
        </is>
      </c>
      <c r="B15" s="86" t="inlineStr">
        <is>
          <t>RS 18715</t>
        </is>
      </c>
      <c r="C15" s="86" t="n">
        <v>0.187</v>
      </c>
      <c r="D15" s="86" t="n">
        <v>0.067</v>
      </c>
      <c r="E15" s="86" t="n">
        <v>0.141</v>
      </c>
    </row>
    <row r="16" ht="12.5" customHeight="1">
      <c r="A16" s="86" t="inlineStr">
        <is>
          <t>13RS018716</t>
        </is>
      </c>
      <c r="B16" s="86" t="inlineStr">
        <is>
          <t>RS 18716</t>
        </is>
      </c>
      <c r="C16" s="86" t="n">
        <v>0.187</v>
      </c>
      <c r="D16" s="86" t="n">
        <v>0.064</v>
      </c>
      <c r="E16" s="86" t="n">
        <v>0.187</v>
      </c>
    </row>
    <row r="17" ht="12.5" customHeight="1">
      <c r="A17" s="86" t="inlineStr">
        <is>
          <t>13RS018720</t>
        </is>
      </c>
      <c r="B17" s="86" t="inlineStr">
        <is>
          <t>RS 18720</t>
        </is>
      </c>
      <c r="C17" s="86" t="n">
        <v>0.187</v>
      </c>
      <c r="D17" s="86" t="n">
        <v>0.096</v>
      </c>
      <c r="E17" s="86" t="n">
        <v>0.156</v>
      </c>
    </row>
    <row r="18" ht="12.5" customHeight="1">
      <c r="A18" s="86" t="inlineStr">
        <is>
          <t>13RS018721</t>
        </is>
      </c>
      <c r="B18" s="86" t="inlineStr">
        <is>
          <t>RS 18721</t>
        </is>
      </c>
      <c r="C18" s="86" t="n">
        <v>0.187</v>
      </c>
      <c r="D18" s="86" t="n">
        <v>0.063</v>
      </c>
      <c r="E18" s="86" t="n">
        <v>0.2</v>
      </c>
    </row>
    <row r="19" ht="12.5" customHeight="1">
      <c r="A19" s="86" t="inlineStr">
        <is>
          <t>13RS018722</t>
        </is>
      </c>
      <c r="B19" s="86" t="inlineStr">
        <is>
          <t>RS 18725</t>
        </is>
      </c>
      <c r="C19" s="86" t="n">
        <v>0.1875</v>
      </c>
      <c r="D19" s="86" t="n">
        <v>0.115</v>
      </c>
      <c r="E19" s="86" t="n">
        <v>0.281</v>
      </c>
    </row>
    <row r="20" ht="12.5" customHeight="1">
      <c r="A20" s="86" t="inlineStr">
        <is>
          <t>13RS018725</t>
        </is>
      </c>
      <c r="B20" s="86" t="inlineStr">
        <is>
          <t>RS 18725</t>
        </is>
      </c>
      <c r="C20" s="86" t="n">
        <v>0.187</v>
      </c>
      <c r="D20" s="86" t="n">
        <v>0.12</v>
      </c>
      <c r="E20" s="86" t="n">
        <v>0.3125</v>
      </c>
    </row>
    <row r="21" ht="12.5" customHeight="1">
      <c r="A21" s="86" t="inlineStr">
        <is>
          <t>13RS018726</t>
        </is>
      </c>
      <c r="B21" s="86" t="inlineStr">
        <is>
          <t>RS 18726</t>
        </is>
      </c>
      <c r="C21" s="86" t="n">
        <v>0.187</v>
      </c>
      <c r="D21" s="86" t="n">
        <v>0.135</v>
      </c>
      <c r="E21" s="86" t="n">
        <v>0.25</v>
      </c>
    </row>
    <row r="22" ht="12.5" customHeight="1">
      <c r="A22" s="86" t="inlineStr">
        <is>
          <t>13RS018727</t>
        </is>
      </c>
      <c r="B22" s="86" t="inlineStr">
        <is>
          <t>RS 18727</t>
        </is>
      </c>
      <c r="C22" s="86" t="n">
        <v>0.197</v>
      </c>
      <c r="D22" s="86" t="n">
        <v>0.118</v>
      </c>
      <c r="E22" s="86" t="n">
        <v>0.108</v>
      </c>
    </row>
    <row r="23" ht="12.5" customHeight="1">
      <c r="A23" s="86" t="inlineStr">
        <is>
          <t>13RS018730</t>
        </is>
      </c>
      <c r="B23" s="86" t="inlineStr">
        <is>
          <t>RS 18730</t>
        </is>
      </c>
      <c r="C23" s="86" t="n">
        <v>0.187</v>
      </c>
      <c r="D23" s="86" t="n">
        <v>0.12</v>
      </c>
      <c r="E23" s="86" t="n">
        <v>0.344</v>
      </c>
    </row>
    <row r="24" ht="12.5" customHeight="1">
      <c r="A24" s="86" t="inlineStr">
        <is>
          <t>13RS018735</t>
        </is>
      </c>
      <c r="B24" s="86" t="inlineStr">
        <is>
          <t>RS 18735</t>
        </is>
      </c>
      <c r="C24" s="86" t="n">
        <v>0.187</v>
      </c>
      <c r="D24" s="86" t="n">
        <v>0.12</v>
      </c>
      <c r="E24" s="86" t="n">
        <v>0.4375</v>
      </c>
    </row>
    <row r="25" ht="12.5" customHeight="1">
      <c r="A25" s="86" t="inlineStr">
        <is>
          <t>13RS018785</t>
        </is>
      </c>
      <c r="B25" s="86" t="inlineStr">
        <is>
          <t>RS 18785</t>
        </is>
      </c>
      <c r="C25" s="86" t="n">
        <v>0.187</v>
      </c>
      <c r="D25" s="86" t="n">
        <v>0.091</v>
      </c>
      <c r="E25" s="86" t="n">
        <v>0.844</v>
      </c>
    </row>
    <row r="26" ht="12.5" customHeight="1">
      <c r="A26" s="86" t="inlineStr">
        <is>
          <t>13RS018790</t>
        </is>
      </c>
      <c r="B26" s="86" t="inlineStr">
        <is>
          <t>RS 18790</t>
        </is>
      </c>
      <c r="C26" s="86" t="n">
        <v>0.187</v>
      </c>
      <c r="D26" s="86" t="n">
        <v>0.091</v>
      </c>
      <c r="E26" s="86" t="n">
        <v>0.203</v>
      </c>
    </row>
    <row r="27" ht="12.5" customHeight="1">
      <c r="A27" s="86" t="inlineStr">
        <is>
          <t>13RS019330</t>
        </is>
      </c>
      <c r="B27" s="86" t="inlineStr">
        <is>
          <t>RS 19330</t>
        </is>
      </c>
      <c r="C27" s="86" t="n">
        <v>0.193</v>
      </c>
      <c r="D27" s="86" t="n">
        <v>0.125</v>
      </c>
      <c r="E27" s="86" t="n">
        <v>0.25</v>
      </c>
    </row>
    <row r="28" ht="12.5" customHeight="1">
      <c r="A28" s="86" t="inlineStr">
        <is>
          <t>13RS020030</t>
        </is>
      </c>
      <c r="B28" s="86" t="inlineStr">
        <is>
          <t>RS 20030</t>
        </is>
      </c>
      <c r="C28" s="86" t="n">
        <v>0.2</v>
      </c>
      <c r="D28" s="86" t="n">
        <v>0.145</v>
      </c>
      <c r="E28" s="86" t="n">
        <v>0.172</v>
      </c>
    </row>
    <row r="29" ht="12.5" customHeight="1">
      <c r="A29" s="86" t="inlineStr">
        <is>
          <t>13RS020031</t>
        </is>
      </c>
      <c r="B29" s="86" t="inlineStr">
        <is>
          <t>RS 20031</t>
        </is>
      </c>
      <c r="C29" s="86" t="n">
        <v>0.2</v>
      </c>
      <c r="D29" s="86" t="n">
        <v>0.145</v>
      </c>
      <c r="E29" s="86" t="n">
        <v>0.11</v>
      </c>
    </row>
    <row r="30" ht="12.5" customHeight="1">
      <c r="A30" s="86" t="inlineStr">
        <is>
          <t>13RS020032</t>
        </is>
      </c>
      <c r="B30" s="86" t="inlineStr">
        <is>
          <t>RS 20032</t>
        </is>
      </c>
      <c r="C30" s="86" t="n">
        <v>0.198</v>
      </c>
      <c r="D30" s="86" t="n">
        <v>0.109</v>
      </c>
      <c r="E30" s="86" t="n">
        <v>0.345</v>
      </c>
    </row>
    <row r="31" ht="12.5" customHeight="1">
      <c r="A31" s="86" t="inlineStr">
        <is>
          <t>13RS020313</t>
        </is>
      </c>
      <c r="B31" s="86" t="inlineStr">
        <is>
          <t>RS 20313</t>
        </is>
      </c>
      <c r="C31" s="86" t="n">
        <v>0.203</v>
      </c>
      <c r="D31" s="86" t="n">
        <v>0.13</v>
      </c>
      <c r="E31" s="86" t="n">
        <v>0.281</v>
      </c>
    </row>
    <row r="32" ht="12.5" customHeight="1">
      <c r="A32" s="86" t="inlineStr">
        <is>
          <t>13RS021025</t>
        </is>
      </c>
      <c r="B32" s="86" t="inlineStr">
        <is>
          <t>RS 21025</t>
        </is>
      </c>
      <c r="C32" s="86" t="n">
        <v>0.21</v>
      </c>
      <c r="D32" s="86" t="n">
        <v>0.156</v>
      </c>
      <c r="E32" s="86" t="n">
        <v>0.25</v>
      </c>
    </row>
    <row r="33" ht="12.5" customHeight="1">
      <c r="A33" s="86" t="inlineStr">
        <is>
          <t>13RS021337</t>
        </is>
      </c>
      <c r="B33" s="86" t="inlineStr">
        <is>
          <t>RS 21337</t>
        </is>
      </c>
      <c r="C33" s="86" t="n">
        <v>0.218</v>
      </c>
      <c r="D33" s="86" t="n">
        <v>0.125</v>
      </c>
      <c r="E33" s="86" t="n">
        <v>0.385</v>
      </c>
    </row>
    <row r="34" ht="12.5" customHeight="1">
      <c r="A34" s="86" t="inlineStr">
        <is>
          <t>13RS021535</t>
        </is>
      </c>
      <c r="B34" s="86" t="inlineStr">
        <is>
          <t>RS 21535</t>
        </is>
      </c>
      <c r="C34" s="86" t="n">
        <v>0.215</v>
      </c>
      <c r="D34" s="86" t="n">
        <v>0.145</v>
      </c>
      <c r="E34" s="86" t="n">
        <v>0.328</v>
      </c>
    </row>
    <row r="35" ht="12.5" customHeight="1">
      <c r="A35" s="86" t="inlineStr">
        <is>
          <t>13RS021830</t>
        </is>
      </c>
      <c r="B35" s="86" t="inlineStr">
        <is>
          <t>RS 21830</t>
        </is>
      </c>
      <c r="C35" s="86" t="n">
        <v>0.218</v>
      </c>
      <c r="D35" s="86" t="n">
        <v>0.14</v>
      </c>
      <c r="E35" s="86" t="n">
        <v>0.156</v>
      </c>
    </row>
    <row r="36" ht="12.5" customHeight="1">
      <c r="A36" s="86" t="inlineStr">
        <is>
          <t>13RS022013</t>
        </is>
      </c>
      <c r="B36" s="86" t="inlineStr">
        <is>
          <t>RS 22013</t>
        </is>
      </c>
      <c r="C36" s="86" t="n">
        <v>0.22</v>
      </c>
      <c r="D36" s="86" t="n">
        <v>0.138</v>
      </c>
      <c r="E36" s="86" t="n">
        <v>0.656</v>
      </c>
    </row>
    <row r="37" ht="12.5" customHeight="1">
      <c r="A37" s="86" t="inlineStr">
        <is>
          <t>13RS024014</t>
        </is>
      </c>
      <c r="B37" s="86" t="inlineStr">
        <is>
          <t>RS 24014</t>
        </is>
      </c>
      <c r="C37" s="86" t="n">
        <v>0.245</v>
      </c>
      <c r="D37" s="86" t="n">
        <v>0.175</v>
      </c>
      <c r="E37" s="86" t="n">
        <v>0.156</v>
      </c>
    </row>
    <row r="38" ht="12.5" customHeight="1">
      <c r="A38" s="86" t="inlineStr">
        <is>
          <t>13RS024015</t>
        </is>
      </c>
      <c r="B38" s="86" t="inlineStr">
        <is>
          <t>RS 24015</t>
        </is>
      </c>
      <c r="C38" s="86" t="n">
        <v>0.245</v>
      </c>
      <c r="D38" s="86" t="n">
        <v>0.175</v>
      </c>
      <c r="E38" s="86" t="n">
        <v>0.166</v>
      </c>
    </row>
    <row r="39" ht="12.5" customHeight="1">
      <c r="A39" s="86" t="inlineStr">
        <is>
          <t>13RS025009</t>
        </is>
      </c>
      <c r="B39" s="86" t="inlineStr">
        <is>
          <t>RS 25009</t>
        </is>
      </c>
      <c r="C39" s="86" t="n">
        <v>0.25</v>
      </c>
      <c r="D39" s="86" t="n">
        <v>0.195</v>
      </c>
      <c r="E39" s="86" t="n">
        <v>0.195</v>
      </c>
    </row>
    <row r="40" ht="12.5" customHeight="1">
      <c r="A40" s="86" t="inlineStr">
        <is>
          <t>13RS025010</t>
        </is>
      </c>
      <c r="B40" s="86" t="inlineStr">
        <is>
          <t>RS 25010</t>
        </is>
      </c>
      <c r="C40" s="86" t="n">
        <v>0.25</v>
      </c>
      <c r="D40" s="86" t="n">
        <v>0.153</v>
      </c>
      <c r="E40" s="86" t="n">
        <v>0.25</v>
      </c>
    </row>
    <row r="41" ht="12.5" customHeight="1">
      <c r="A41" s="86" t="inlineStr">
        <is>
          <t>13RS025011</t>
        </is>
      </c>
      <c r="B41" s="86" t="inlineStr">
        <is>
          <t>RS 25011</t>
        </is>
      </c>
      <c r="C41" s="86" t="n">
        <v>0.25</v>
      </c>
      <c r="D41" s="86" t="n">
        <v>0.171</v>
      </c>
      <c r="E41" s="86" t="n">
        <v>0.413</v>
      </c>
    </row>
    <row r="42" ht="12.5" customHeight="1">
      <c r="A42" s="86" t="inlineStr">
        <is>
          <t>13RS025012</t>
        </is>
      </c>
      <c r="B42" s="86" t="inlineStr">
        <is>
          <t>RS 25012</t>
        </is>
      </c>
      <c r="C42" s="86" t="n">
        <v>0.25</v>
      </c>
      <c r="D42" s="86" t="n">
        <v>0.126</v>
      </c>
      <c r="E42" s="86" t="n">
        <v>0.797</v>
      </c>
    </row>
    <row r="43" ht="12.5" customHeight="1">
      <c r="A43" s="86" t="inlineStr">
        <is>
          <t>13RS025013</t>
        </is>
      </c>
      <c r="B43" s="86" t="inlineStr">
        <is>
          <t>RS 25013</t>
        </is>
      </c>
      <c r="C43" s="86" t="n">
        <v>0.25</v>
      </c>
      <c r="D43" s="86" t="n">
        <v>0.171</v>
      </c>
      <c r="E43" s="86" t="n">
        <v>0.355</v>
      </c>
    </row>
    <row r="44" ht="12.5" customHeight="1">
      <c r="A44" s="86" t="inlineStr">
        <is>
          <t>13RS025014</t>
        </is>
      </c>
      <c r="B44" s="86" t="inlineStr">
        <is>
          <t>RS 25014</t>
        </is>
      </c>
      <c r="C44" s="86" t="n">
        <v>0.25</v>
      </c>
      <c r="D44" s="86" t="n">
        <v>0.125</v>
      </c>
      <c r="E44" s="86" t="n">
        <v>0.823</v>
      </c>
    </row>
    <row r="45" ht="12.5" customHeight="1">
      <c r="A45" s="86" t="inlineStr">
        <is>
          <t>13RS025015</t>
        </is>
      </c>
      <c r="B45" s="86" t="inlineStr">
        <is>
          <t>RS 25015</t>
        </is>
      </c>
      <c r="C45" s="86" t="n">
        <v>0.25</v>
      </c>
      <c r="D45" s="86" t="n">
        <v>0.166</v>
      </c>
      <c r="E45" s="86" t="n">
        <v>0.5</v>
      </c>
    </row>
    <row r="46" ht="12.5" customHeight="1">
      <c r="A46" s="86" t="inlineStr">
        <is>
          <t>13RS025016</t>
        </is>
      </c>
      <c r="B46" s="86" t="inlineStr">
        <is>
          <t>RS 25016</t>
        </is>
      </c>
      <c r="C46" s="86" t="n">
        <v>0.25</v>
      </c>
      <c r="D46" s="86" t="n">
        <v>0.188</v>
      </c>
      <c r="E46" s="86" t="n">
        <v>0.188</v>
      </c>
    </row>
    <row r="47" ht="12.5" customHeight="1">
      <c r="A47" s="86" t="inlineStr">
        <is>
          <t>13RS025017</t>
        </is>
      </c>
      <c r="B47" s="86" t="inlineStr">
        <is>
          <t>RS 25017</t>
        </is>
      </c>
      <c r="C47" s="86" t="n">
        <v>0.254</v>
      </c>
      <c r="D47" s="86" t="n">
        <v>0.15</v>
      </c>
      <c r="E47" s="86" t="n">
        <v>0.166</v>
      </c>
    </row>
    <row r="48" ht="12.5" customHeight="1">
      <c r="A48" s="86" t="inlineStr">
        <is>
          <t>13RS025018</t>
        </is>
      </c>
      <c r="B48" s="86" t="inlineStr">
        <is>
          <t>RS 25018</t>
        </is>
      </c>
      <c r="C48" s="86" t="n">
        <v>0.25</v>
      </c>
      <c r="D48" s="86" t="n">
        <v>0.171</v>
      </c>
      <c r="E48" s="86" t="n">
        <v>0.575</v>
      </c>
    </row>
    <row r="49" ht="12.5" customHeight="1">
      <c r="A49" s="86" t="inlineStr">
        <is>
          <t>13RS025019</t>
        </is>
      </c>
      <c r="B49" s="86" t="inlineStr">
        <is>
          <t>RS 25019</t>
        </is>
      </c>
      <c r="C49" s="86" t="n">
        <v>0.25</v>
      </c>
      <c r="D49" s="86" t="n">
        <v>0.171</v>
      </c>
      <c r="E49" s="86" t="n">
        <v>0.475</v>
      </c>
    </row>
    <row r="50" ht="12.5" customHeight="1">
      <c r="A50" s="86" t="inlineStr">
        <is>
          <t>13RS025020</t>
        </is>
      </c>
      <c r="B50" s="86" t="inlineStr">
        <is>
          <t>RS 25020</t>
        </is>
      </c>
      <c r="C50" s="86" t="n">
        <v>0.25</v>
      </c>
      <c r="D50" s="86" t="n">
        <v>0.205</v>
      </c>
      <c r="E50" s="86" t="n">
        <v>0.23</v>
      </c>
    </row>
    <row r="51" ht="12.5" customHeight="1">
      <c r="A51" s="86" t="inlineStr">
        <is>
          <t>13RS025021</t>
        </is>
      </c>
      <c r="B51" s="86" t="inlineStr">
        <is>
          <t>RS 25021</t>
        </is>
      </c>
      <c r="C51" s="86" t="n">
        <v>0.25</v>
      </c>
      <c r="D51" s="86" t="n">
        <v>0.125</v>
      </c>
      <c r="E51" s="86" t="n">
        <v>0.375</v>
      </c>
    </row>
    <row r="52" ht="12.5" customHeight="1">
      <c r="A52" s="86" t="inlineStr">
        <is>
          <t>13RS025041</t>
        </is>
      </c>
      <c r="B52" s="86" t="inlineStr">
        <is>
          <t>RS 25041</t>
        </is>
      </c>
      <c r="C52" s="86" t="n">
        <v>0.25</v>
      </c>
      <c r="D52" s="86" t="n">
        <v>0.12</v>
      </c>
      <c r="E52" s="86" t="n">
        <v>0.389</v>
      </c>
    </row>
    <row r="53" ht="12.5" customHeight="1">
      <c r="A53" s="86" t="inlineStr">
        <is>
          <t>13RS025042</t>
        </is>
      </c>
      <c r="B53" s="86" t="inlineStr">
        <is>
          <t>RS 25042</t>
        </is>
      </c>
      <c r="C53" s="86" t="n">
        <v>0.25</v>
      </c>
      <c r="D53" s="86" t="n">
        <v>0.125</v>
      </c>
      <c r="E53" s="86" t="n">
        <v>0.42</v>
      </c>
    </row>
    <row r="54" ht="12.5" customHeight="1">
      <c r="A54" s="86" t="inlineStr">
        <is>
          <t>13RS025048</t>
        </is>
      </c>
      <c r="B54" s="86" t="inlineStr">
        <is>
          <t>RS 25048</t>
        </is>
      </c>
      <c r="C54" s="86" t="n">
        <v>0.25</v>
      </c>
      <c r="D54" s="86" t="n">
        <v>0.115</v>
      </c>
      <c r="E54" s="86" t="n">
        <v>0.219</v>
      </c>
    </row>
    <row r="55" ht="12.5" customHeight="1">
      <c r="A55" s="86" t="inlineStr">
        <is>
          <t>13RS025050</t>
        </is>
      </c>
      <c r="B55" s="86" t="inlineStr">
        <is>
          <t>RS 25050</t>
        </is>
      </c>
      <c r="C55" s="86" t="n">
        <v>0.25</v>
      </c>
      <c r="D55" s="86" t="n">
        <v>0.147</v>
      </c>
      <c r="E55" s="86" t="n">
        <v>0.297</v>
      </c>
    </row>
    <row r="56" ht="12.5" customHeight="1">
      <c r="A56" s="86" t="inlineStr">
        <is>
          <t>13RS025053</t>
        </is>
      </c>
      <c r="B56" s="86" t="inlineStr">
        <is>
          <t>RS 25053</t>
        </is>
      </c>
      <c r="C56" s="86" t="n">
        <v>0.25</v>
      </c>
      <c r="D56" s="86" t="n">
        <v>0.14</v>
      </c>
      <c r="E56" s="86" t="n">
        <v>0.531</v>
      </c>
    </row>
    <row r="57" ht="12.5" customHeight="1">
      <c r="A57" s="86" t="inlineStr">
        <is>
          <t>13RS025055</t>
        </is>
      </c>
      <c r="B57" s="86" t="inlineStr">
        <is>
          <t>RS 25055</t>
        </is>
      </c>
      <c r="C57" s="86" t="n">
        <v>0.25</v>
      </c>
      <c r="D57" s="86" t="n">
        <v>0.14</v>
      </c>
      <c r="E57" s="86" t="n">
        <v>0.547</v>
      </c>
    </row>
    <row r="58" ht="12.5" customHeight="1">
      <c r="A58" s="86" t="inlineStr">
        <is>
          <t>13RS025056</t>
        </is>
      </c>
      <c r="B58" s="86" t="inlineStr">
        <is>
          <t>RS 25056</t>
        </is>
      </c>
      <c r="C58" s="86" t="n">
        <v>0.25</v>
      </c>
      <c r="D58" s="86" t="n">
        <v>0.14</v>
      </c>
      <c r="E58" s="86" t="n">
        <v>0.64</v>
      </c>
    </row>
    <row r="59" ht="12.5" customHeight="1">
      <c r="A59" s="86" t="inlineStr">
        <is>
          <t>13RS025057</t>
        </is>
      </c>
      <c r="B59" s="86" t="inlineStr">
        <is>
          <t>RS 25057</t>
        </is>
      </c>
      <c r="C59" s="86" t="n">
        <v>0.25</v>
      </c>
      <c r="D59" s="86" t="n">
        <v>0.171</v>
      </c>
      <c r="E59" s="86" t="n">
        <v>0.375</v>
      </c>
    </row>
    <row r="60" ht="12.5" customHeight="1">
      <c r="A60" s="86" t="inlineStr">
        <is>
          <t>13RS025058</t>
        </is>
      </c>
      <c r="B60" s="86" t="inlineStr">
        <is>
          <t>RS 25058</t>
        </is>
      </c>
      <c r="C60" s="86" t="n">
        <v>0.25</v>
      </c>
      <c r="D60" s="86" t="n">
        <v>0.14</v>
      </c>
      <c r="E60" s="86" t="n">
        <v>0.22</v>
      </c>
    </row>
    <row r="61" ht="12.5" customHeight="1">
      <c r="A61" s="86" t="inlineStr">
        <is>
          <t>13RS025062</t>
        </is>
      </c>
      <c r="B61" s="86" t="inlineStr">
        <is>
          <t>RS 25062</t>
        </is>
      </c>
      <c r="C61" s="86" t="n">
        <v>0.26</v>
      </c>
      <c r="D61" s="86" t="n">
        <v>0.2</v>
      </c>
      <c r="E61" s="86" t="n">
        <v>0.594</v>
      </c>
    </row>
    <row r="62" ht="12.5" customHeight="1">
      <c r="A62" s="86" t="inlineStr">
        <is>
          <t>13RS025065</t>
        </is>
      </c>
      <c r="B62" s="86" t="inlineStr">
        <is>
          <t>RS 25065</t>
        </is>
      </c>
      <c r="C62" s="86" t="n">
        <v>0.25</v>
      </c>
      <c r="D62" s="86" t="n">
        <v>0.16</v>
      </c>
      <c r="E62" s="86" t="n">
        <v>0.75</v>
      </c>
    </row>
    <row r="63" ht="12.5" customHeight="1">
      <c r="A63" s="86" t="inlineStr">
        <is>
          <t>13RS025070</t>
        </is>
      </c>
      <c r="B63" s="86" t="inlineStr">
        <is>
          <t>RS 25070</t>
        </is>
      </c>
      <c r="C63" s="86" t="n">
        <v>0.25</v>
      </c>
      <c r="D63" s="86" t="n">
        <v>0.141</v>
      </c>
      <c r="E63" s="86" t="n">
        <v>0.281</v>
      </c>
    </row>
    <row r="64" ht="12.5" customHeight="1">
      <c r="A64" s="86" t="inlineStr">
        <is>
          <t>13RS025075</t>
        </is>
      </c>
      <c r="B64" s="86" t="inlineStr">
        <is>
          <t>RS 25075</t>
        </is>
      </c>
      <c r="C64" s="86" t="n">
        <v>0.25</v>
      </c>
      <c r="D64" s="86" t="n">
        <v>0.115</v>
      </c>
      <c r="E64" s="86" t="n">
        <v>0.207</v>
      </c>
    </row>
    <row r="65" ht="12.5" customHeight="1">
      <c r="A65" s="86" t="inlineStr">
        <is>
          <t>13RS025090</t>
        </is>
      </c>
      <c r="B65" s="86" t="inlineStr">
        <is>
          <t>RS 25090</t>
        </is>
      </c>
      <c r="C65" s="86" t="n">
        <v>0.25</v>
      </c>
      <c r="D65" s="86" t="n">
        <v>0.115</v>
      </c>
      <c r="E65" s="86" t="n">
        <v>1.3125</v>
      </c>
    </row>
    <row r="66" ht="12.5" customHeight="1">
      <c r="A66" s="86" t="inlineStr">
        <is>
          <t>13RS025091</t>
        </is>
      </c>
      <c r="B66" s="86" t="inlineStr">
        <is>
          <t>RS 25091</t>
        </is>
      </c>
      <c r="C66" s="86" t="n">
        <v>0.251</v>
      </c>
      <c r="D66" s="86" t="n">
        <v>0.152</v>
      </c>
      <c r="E66" s="86" t="n">
        <v>0.156</v>
      </c>
    </row>
    <row r="67" ht="12.5" customHeight="1">
      <c r="A67" s="86" t="inlineStr">
        <is>
          <t>13RS025095</t>
        </is>
      </c>
      <c r="B67" s="86" t="inlineStr">
        <is>
          <t>RS 25095</t>
        </is>
      </c>
      <c r="C67" s="86" t="n">
        <v>0.251</v>
      </c>
      <c r="D67" s="86" t="n">
        <v>0.115</v>
      </c>
      <c r="E67" s="86" t="n">
        <v>0.531</v>
      </c>
    </row>
    <row r="68" ht="12.5" customHeight="1">
      <c r="A68" s="86" t="inlineStr">
        <is>
          <t>13RS027540</t>
        </is>
      </c>
      <c r="B68" s="86" t="inlineStr">
        <is>
          <t>RS 27540</t>
        </is>
      </c>
      <c r="C68" s="86" t="n">
        <v>0.275</v>
      </c>
      <c r="D68" s="86" t="n">
        <v>0.195</v>
      </c>
      <c r="E68" s="86" t="n">
        <v>0.4</v>
      </c>
    </row>
    <row r="69" ht="12.5" customHeight="1">
      <c r="A69" s="86" t="inlineStr">
        <is>
          <t>13RS027541</t>
        </is>
      </c>
      <c r="B69" s="86" t="inlineStr">
        <is>
          <t>RS 27541</t>
        </is>
      </c>
      <c r="C69" s="86" t="n">
        <v>0.275</v>
      </c>
      <c r="D69" s="86" t="n">
        <v>0.185</v>
      </c>
      <c r="E69" s="86" t="n">
        <v>0.09</v>
      </c>
    </row>
    <row r="70" ht="12.5" customHeight="1">
      <c r="A70" s="86" t="inlineStr">
        <is>
          <t>13RS028030</t>
        </is>
      </c>
      <c r="B70" s="86" t="inlineStr">
        <is>
          <t>RS 28030</t>
        </is>
      </c>
      <c r="C70" s="86" t="n">
        <v>0.28</v>
      </c>
      <c r="D70" s="86" t="n">
        <v>0.17</v>
      </c>
      <c r="E70" s="86" t="n">
        <v>0.3</v>
      </c>
    </row>
    <row r="71" ht="12.5" customHeight="1">
      <c r="A71" s="86" t="inlineStr">
        <is>
          <t>13RS028038</t>
        </is>
      </c>
      <c r="B71" s="86" t="inlineStr">
        <is>
          <t>RS 28038</t>
        </is>
      </c>
      <c r="C71" s="86" t="n">
        <v>0.28</v>
      </c>
      <c r="D71" s="86" t="n">
        <v>0.125</v>
      </c>
      <c r="E71" s="86" t="n">
        <v>0.297</v>
      </c>
    </row>
    <row r="72" ht="12.5" customHeight="1">
      <c r="A72" s="86" t="inlineStr">
        <is>
          <t>13RS028440</t>
        </is>
      </c>
      <c r="B72" s="86" t="inlineStr">
        <is>
          <t>RS 28440</t>
        </is>
      </c>
      <c r="C72" s="86" t="n">
        <v>0.284</v>
      </c>
      <c r="D72" s="86" t="n">
        <v>0.224</v>
      </c>
      <c r="E72" s="86" t="n">
        <v>0.4</v>
      </c>
    </row>
    <row r="73" ht="12.5" customHeight="1">
      <c r="A73" s="86" t="inlineStr">
        <is>
          <t>13RS029618</t>
        </is>
      </c>
      <c r="B73" s="86" t="inlineStr">
        <is>
          <t>RS 29618</t>
        </is>
      </c>
      <c r="C73" s="86" t="n">
        <v>0.296</v>
      </c>
      <c r="D73" s="86" t="n">
        <v>0.125</v>
      </c>
      <c r="E73" s="86" t="n">
        <v>0.094</v>
      </c>
    </row>
    <row r="74" ht="12.5" customHeight="1">
      <c r="A74" s="86" t="inlineStr">
        <is>
          <t>13RS030500</t>
        </is>
      </c>
      <c r="B74" s="86" t="inlineStr">
        <is>
          <t>RS 30500</t>
        </is>
      </c>
      <c r="C74" s="86" t="n">
        <v>0.305</v>
      </c>
      <c r="D74" s="86" t="n">
        <v>0.26</v>
      </c>
      <c r="E74" s="86" t="n">
        <v>0.179</v>
      </c>
    </row>
    <row r="75" ht="12.5" customHeight="1">
      <c r="A75" s="86" t="inlineStr">
        <is>
          <t>13RS031210</t>
        </is>
      </c>
      <c r="B75" s="86" t="inlineStr">
        <is>
          <t>RS 31210</t>
        </is>
      </c>
      <c r="C75" s="86" t="n">
        <v>0.312</v>
      </c>
      <c r="D75" s="86" t="n">
        <v>0.095</v>
      </c>
      <c r="E75" s="86" t="n">
        <v>0.25</v>
      </c>
    </row>
    <row r="76" ht="12.5" customHeight="1">
      <c r="A76" s="86" t="inlineStr">
        <is>
          <t>13RS031211</t>
        </is>
      </c>
      <c r="B76" s="86" t="inlineStr">
        <is>
          <t>RS 31211</t>
        </is>
      </c>
      <c r="C76" s="86" t="n">
        <v>0.312</v>
      </c>
      <c r="D76" s="86" t="n">
        <v>0.194</v>
      </c>
      <c r="E76" s="86" t="n">
        <v>1.405</v>
      </c>
    </row>
    <row r="77" ht="12.5" customHeight="1">
      <c r="A77" s="86" t="inlineStr">
        <is>
          <t>13RS031212</t>
        </is>
      </c>
      <c r="B77" s="86" t="inlineStr">
        <is>
          <t>RS 31212</t>
        </is>
      </c>
      <c r="C77" s="86" t="n">
        <v>0.312</v>
      </c>
      <c r="D77" s="86" t="n">
        <v>0.194</v>
      </c>
      <c r="E77" s="86" t="n">
        <v>0.53</v>
      </c>
    </row>
    <row r="78" ht="12.5" customHeight="1">
      <c r="A78" s="86" t="inlineStr">
        <is>
          <t>13RS031213</t>
        </is>
      </c>
      <c r="B78" s="86" t="inlineStr">
        <is>
          <t>RS 31213</t>
        </is>
      </c>
      <c r="C78" s="86" t="n">
        <v>0.312</v>
      </c>
      <c r="D78" s="86" t="n">
        <v>0.205</v>
      </c>
      <c r="E78" s="86" t="n">
        <v>0.16</v>
      </c>
    </row>
    <row r="79" ht="12.5" customHeight="1">
      <c r="A79" s="86" t="inlineStr">
        <is>
          <t>13RS031214</t>
        </is>
      </c>
      <c r="B79" s="86" t="inlineStr">
        <is>
          <t>RS 31214</t>
        </is>
      </c>
      <c r="C79" s="86" t="n">
        <v>0.312</v>
      </c>
      <c r="D79" s="86" t="n">
        <v>0.14</v>
      </c>
      <c r="E79" s="86" t="n">
        <v>0.281</v>
      </c>
    </row>
    <row r="80" ht="12.5" customHeight="1">
      <c r="A80" s="86" t="inlineStr">
        <is>
          <t>13RS031221</t>
        </is>
      </c>
      <c r="B80" s="86" t="inlineStr">
        <is>
          <t>RS 31221</t>
        </is>
      </c>
      <c r="C80" s="86" t="n">
        <v>0.312</v>
      </c>
      <c r="D80" s="86" t="n">
        <v>0.195</v>
      </c>
      <c r="E80" s="86" t="n">
        <v>0.214</v>
      </c>
    </row>
    <row r="81" ht="12.5" customHeight="1">
      <c r="A81" s="86" t="inlineStr">
        <is>
          <t>13RS031225</t>
        </is>
      </c>
      <c r="B81" s="86" t="inlineStr">
        <is>
          <t>RS 31225</t>
        </is>
      </c>
      <c r="C81" s="86" t="n">
        <v>0.312</v>
      </c>
      <c r="D81" s="86" t="n">
        <v>0.156</v>
      </c>
      <c r="E81" s="86" t="n">
        <v>0.256</v>
      </c>
    </row>
    <row r="82" ht="12.5" customHeight="1">
      <c r="A82" s="86" t="inlineStr">
        <is>
          <t>13RS031226</t>
        </is>
      </c>
      <c r="B82" s="86" t="inlineStr">
        <is>
          <t>RS 31226</t>
        </is>
      </c>
      <c r="C82" s="86" t="n">
        <v>0.3125</v>
      </c>
      <c r="D82" s="86" t="n">
        <v>0.228</v>
      </c>
      <c r="E82" s="86" t="n">
        <v>0.26</v>
      </c>
    </row>
    <row r="83" ht="12.5" customHeight="1">
      <c r="A83" s="86" t="inlineStr">
        <is>
          <t>13RS031230</t>
        </is>
      </c>
      <c r="B83" s="86" t="inlineStr">
        <is>
          <t>RS 31230</t>
        </is>
      </c>
      <c r="C83" s="86" t="n">
        <v>0.312</v>
      </c>
      <c r="D83" s="86" t="n">
        <v>0.246</v>
      </c>
      <c r="E83" s="86" t="n">
        <v>0.25</v>
      </c>
    </row>
    <row r="84" ht="12.5" customHeight="1">
      <c r="A84" s="86" t="inlineStr">
        <is>
          <t>13RS031243</t>
        </is>
      </c>
      <c r="B84" s="86" t="inlineStr">
        <is>
          <t>RS 31243</t>
        </is>
      </c>
      <c r="C84" s="86" t="n">
        <v>0.3125</v>
      </c>
      <c r="D84" s="86" t="n">
        <v>0.171</v>
      </c>
      <c r="E84" s="86" t="n">
        <v>2.4375</v>
      </c>
    </row>
    <row r="85" ht="12.5" customHeight="1">
      <c r="A85" s="86" t="inlineStr">
        <is>
          <t>13RS031244</t>
        </is>
      </c>
      <c r="B85" s="86" t="inlineStr">
        <is>
          <t>RS 31244</t>
        </is>
      </c>
      <c r="C85" s="86" t="n">
        <v>0.312</v>
      </c>
      <c r="D85" s="86" t="n">
        <v>0.194</v>
      </c>
      <c r="E85" s="86" t="n">
        <v>1.155</v>
      </c>
    </row>
    <row r="86" ht="12.5" customHeight="1">
      <c r="A86" s="86" t="inlineStr">
        <is>
          <t>13RS031245</t>
        </is>
      </c>
      <c r="B86" s="86" t="inlineStr">
        <is>
          <t>RS 31245</t>
        </is>
      </c>
      <c r="C86" s="86" t="n">
        <v>0.312</v>
      </c>
      <c r="D86" s="86" t="n">
        <v>0.195</v>
      </c>
      <c r="E86" s="86" t="n">
        <v>0.355</v>
      </c>
    </row>
    <row r="87" ht="12.5" customHeight="1">
      <c r="A87" s="86" t="inlineStr">
        <is>
          <t>13RS031246</t>
        </is>
      </c>
      <c r="B87" s="86" t="inlineStr">
        <is>
          <t>RS 31246</t>
        </is>
      </c>
      <c r="C87" s="86" t="n">
        <v>0.312</v>
      </c>
      <c r="D87" s="86" t="n">
        <v>0.14</v>
      </c>
      <c r="E87" s="86" t="n">
        <v>0.2</v>
      </c>
    </row>
    <row r="88" ht="12.5" customHeight="1">
      <c r="A88" s="86" t="inlineStr">
        <is>
          <t>13RS031247</t>
        </is>
      </c>
      <c r="B88" s="86" t="inlineStr">
        <is>
          <t>RS 31247</t>
        </is>
      </c>
      <c r="C88" s="86" t="n">
        <v>0.3125</v>
      </c>
      <c r="D88" s="86" t="n">
        <v>0.218</v>
      </c>
      <c r="E88" s="86" t="n">
        <v>0.8125</v>
      </c>
    </row>
    <row r="89" ht="12.5" customHeight="1">
      <c r="A89" s="86" t="inlineStr">
        <is>
          <t>13RS031248</t>
        </is>
      </c>
      <c r="B89" s="86" t="inlineStr">
        <is>
          <t>RS 31248</t>
        </is>
      </c>
      <c r="C89" s="86" t="n">
        <v>0.312</v>
      </c>
      <c r="D89" s="86" t="n">
        <v>0.218</v>
      </c>
      <c r="E89" s="86" t="n">
        <v>0.875</v>
      </c>
    </row>
    <row r="90" ht="12.5" customHeight="1">
      <c r="A90" s="86" t="inlineStr">
        <is>
          <t>13RS031250</t>
        </is>
      </c>
      <c r="B90" s="86" t="inlineStr">
        <is>
          <t>RS 31250</t>
        </is>
      </c>
      <c r="C90" s="86" t="n">
        <v>0.312</v>
      </c>
      <c r="D90" s="86" t="n">
        <v>0.246</v>
      </c>
      <c r="E90" s="86" t="n">
        <v>0.495</v>
      </c>
    </row>
    <row r="91" ht="12.5" customHeight="1">
      <c r="A91" s="86" t="inlineStr">
        <is>
          <t>13RS031251</t>
        </is>
      </c>
      <c r="B91" s="86" t="inlineStr">
        <is>
          <t>RS 31251</t>
        </is>
      </c>
      <c r="C91" s="86" t="n">
        <v>0.312</v>
      </c>
      <c r="D91" s="86" t="n">
        <v>0.171</v>
      </c>
      <c r="E91" s="86" t="n">
        <v>1.875</v>
      </c>
    </row>
    <row r="92" ht="12.5" customHeight="1">
      <c r="A92" s="86" t="inlineStr">
        <is>
          <t>13RS031252</t>
        </is>
      </c>
      <c r="B92" s="86" t="inlineStr">
        <is>
          <t>RS 31252</t>
        </is>
      </c>
      <c r="C92" s="86" t="n">
        <v>0.48</v>
      </c>
      <c r="D92" s="86" t="n">
        <v>0.345</v>
      </c>
      <c r="E92" s="86" t="n">
        <v>0.1875</v>
      </c>
    </row>
    <row r="93" ht="12.5" customHeight="1">
      <c r="A93" s="86" t="inlineStr">
        <is>
          <t>13RS031253</t>
        </is>
      </c>
      <c r="B93" s="86" t="inlineStr">
        <is>
          <t>RS 31253</t>
        </is>
      </c>
      <c r="C93" s="86" t="n">
        <v>0.313</v>
      </c>
      <c r="D93" s="86" t="n">
        <v>0.187</v>
      </c>
      <c r="E93" s="86" t="n">
        <v>0.171</v>
      </c>
    </row>
    <row r="94" ht="12.5" customHeight="1">
      <c r="A94" s="86" t="inlineStr">
        <is>
          <t>13RS031254</t>
        </is>
      </c>
      <c r="B94" s="86" t="inlineStr">
        <is>
          <t>RS 31254</t>
        </is>
      </c>
      <c r="C94" s="86" t="n">
        <v>0.3125</v>
      </c>
      <c r="D94" s="86" t="n">
        <v>0.171</v>
      </c>
      <c r="E94" s="86" t="n">
        <v>0.671</v>
      </c>
    </row>
    <row r="95" ht="12.5" customHeight="1">
      <c r="A95" s="86" t="inlineStr">
        <is>
          <t>13RS031255</t>
        </is>
      </c>
      <c r="B95" s="86" t="inlineStr">
        <is>
          <t>RS 31255</t>
        </is>
      </c>
      <c r="C95" s="86" t="n">
        <v>0.32</v>
      </c>
      <c r="D95" s="86" t="n">
        <v>0.215</v>
      </c>
      <c r="E95" s="86" t="n">
        <v>0.22</v>
      </c>
    </row>
    <row r="96" ht="12.5" customHeight="1">
      <c r="A96" s="86" t="inlineStr">
        <is>
          <t>13RS031256</t>
        </is>
      </c>
      <c r="B96" s="86" t="inlineStr">
        <is>
          <t>RS 31256</t>
        </is>
      </c>
      <c r="C96" s="86" t="n">
        <v>0.325</v>
      </c>
      <c r="D96" s="86" t="n">
        <v>0.125</v>
      </c>
      <c r="E96" s="86" t="n">
        <v>0.36</v>
      </c>
    </row>
    <row r="97" ht="12.5" customHeight="1">
      <c r="A97" s="86" t="inlineStr">
        <is>
          <t>13RS031257</t>
        </is>
      </c>
      <c r="B97" s="86" t="inlineStr">
        <is>
          <t>RS 31257</t>
        </is>
      </c>
      <c r="C97" s="86" t="n">
        <v>0.3125</v>
      </c>
      <c r="D97" s="86" t="n">
        <v>0.175</v>
      </c>
      <c r="E97" s="86" t="n">
        <v>0.154</v>
      </c>
    </row>
    <row r="98" ht="12.5" customHeight="1">
      <c r="A98" s="86" t="inlineStr">
        <is>
          <t>13RS031258</t>
        </is>
      </c>
      <c r="B98" s="86" t="inlineStr">
        <is>
          <t>RS 31258</t>
        </is>
      </c>
      <c r="C98" s="86" t="n">
        <v>0.312</v>
      </c>
      <c r="D98" s="86" t="n">
        <v>0.225</v>
      </c>
      <c r="E98" s="86" t="n">
        <v>0.4375</v>
      </c>
    </row>
    <row r="99" ht="12.5" customHeight="1">
      <c r="A99" s="86" t="inlineStr">
        <is>
          <t>13RS031339</t>
        </is>
      </c>
      <c r="B99" s="86" t="inlineStr">
        <is>
          <t>RS 31339</t>
        </is>
      </c>
      <c r="C99" s="86" t="n">
        <v>0.313</v>
      </c>
      <c r="D99" s="86" t="n">
        <v>0.195</v>
      </c>
      <c r="E99" s="86" t="n">
        <v>0.385</v>
      </c>
    </row>
    <row r="100" ht="12.5" customHeight="1">
      <c r="A100" s="86" t="inlineStr">
        <is>
          <t>13RS031640</t>
        </is>
      </c>
      <c r="B100" s="86" t="inlineStr">
        <is>
          <t>RS 31640</t>
        </is>
      </c>
      <c r="C100" s="86" t="n">
        <v>0.316</v>
      </c>
      <c r="D100" s="86" t="n">
        <v>0.188</v>
      </c>
      <c r="E100" s="86" t="n">
        <v>0.203</v>
      </c>
    </row>
    <row r="101" ht="12.5" customHeight="1">
      <c r="A101" s="86" t="inlineStr">
        <is>
          <t>13RS031641</t>
        </is>
      </c>
      <c r="B101" s="86" t="inlineStr">
        <is>
          <t>RS 31641</t>
        </is>
      </c>
      <c r="C101" s="86" t="n">
        <v>0.25</v>
      </c>
      <c r="D101" s="86" t="n">
        <v>0.12</v>
      </c>
      <c r="E101" s="86" t="n">
        <v>0.2</v>
      </c>
    </row>
    <row r="102" ht="12.5" customHeight="1">
      <c r="A102" s="86" t="inlineStr">
        <is>
          <t>13RS031830</t>
        </is>
      </c>
      <c r="B102" s="86" t="inlineStr">
        <is>
          <t>RS 31830</t>
        </is>
      </c>
      <c r="C102" s="86" t="n">
        <v>0.313</v>
      </c>
      <c r="D102" s="86" t="n">
        <v>0.189</v>
      </c>
      <c r="E102" s="86" t="n">
        <v>0.297</v>
      </c>
    </row>
    <row r="103" ht="12.5" customHeight="1">
      <c r="A103" s="86" t="inlineStr">
        <is>
          <t>13RS034001</t>
        </is>
      </c>
      <c r="B103" s="86" t="inlineStr">
        <is>
          <t>RS 34001</t>
        </is>
      </c>
      <c r="C103" s="86" t="n">
        <v>0.34</v>
      </c>
      <c r="D103" s="86" t="n">
        <v>0.28</v>
      </c>
      <c r="E103" s="86" t="n">
        <v>0.31</v>
      </c>
    </row>
    <row r="104" ht="12.5" customHeight="1">
      <c r="A104" s="86" t="inlineStr">
        <is>
          <t>13RS034002</t>
        </is>
      </c>
      <c r="B104" s="86" t="inlineStr">
        <is>
          <t>RS 34002</t>
        </is>
      </c>
      <c r="C104" s="86" t="n">
        <v>0.344</v>
      </c>
      <c r="D104" s="86" t="n">
        <v>0.198</v>
      </c>
      <c r="E104" s="86" t="n">
        <v>0.281</v>
      </c>
    </row>
    <row r="105" ht="12.5" customHeight="1">
      <c r="A105" s="86" t="inlineStr">
        <is>
          <t>13RS034003</t>
        </is>
      </c>
      <c r="B105" s="86" t="inlineStr">
        <is>
          <t>RS 34003</t>
        </is>
      </c>
      <c r="C105" s="86" t="n">
        <v>0.34</v>
      </c>
      <c r="D105" s="86" t="n">
        <v>0.28</v>
      </c>
      <c r="E105" s="86" t="n">
        <v>0.5</v>
      </c>
    </row>
    <row r="106" ht="12.5" customHeight="1">
      <c r="A106" s="86" t="inlineStr">
        <is>
          <t>13RS034004</t>
        </is>
      </c>
      <c r="B106" s="86" t="inlineStr">
        <is>
          <t>RS 34004</t>
        </is>
      </c>
      <c r="C106" s="86" t="n">
        <v>0.355</v>
      </c>
      <c r="D106" s="86" t="n">
        <v>0.255</v>
      </c>
      <c r="E106" s="86" t="n">
        <v>0.13</v>
      </c>
    </row>
    <row r="107" ht="12.5" customHeight="1">
      <c r="A107" s="86" t="inlineStr">
        <is>
          <t>13RS035453</t>
        </is>
      </c>
      <c r="B107" s="86" t="inlineStr">
        <is>
          <t>RS 35453</t>
        </is>
      </c>
      <c r="C107" s="86" t="n">
        <v>0.354</v>
      </c>
      <c r="D107" s="86" t="n">
        <v>0.172</v>
      </c>
      <c r="E107" s="86" t="n">
        <v>0.531</v>
      </c>
    </row>
    <row r="108" ht="12.5" customHeight="1">
      <c r="A108" s="86" t="inlineStr">
        <is>
          <t>13RS036031</t>
        </is>
      </c>
      <c r="B108" s="86" t="inlineStr">
        <is>
          <t>RS 36031</t>
        </is>
      </c>
      <c r="C108" s="86" t="n">
        <v>0.36</v>
      </c>
      <c r="D108" s="86" t="n">
        <v>0.316</v>
      </c>
      <c r="E108" s="86" t="n">
        <v>0.25</v>
      </c>
    </row>
    <row r="109" ht="12.5" customHeight="1">
      <c r="A109" s="86" t="inlineStr">
        <is>
          <t>13RS036032</t>
        </is>
      </c>
      <c r="B109" s="86" t="inlineStr">
        <is>
          <t>RS 36032</t>
        </is>
      </c>
      <c r="C109" s="86" t="n">
        <v>0.36</v>
      </c>
      <c r="D109" s="86" t="n">
        <v>0.252</v>
      </c>
      <c r="E109" s="86" t="n">
        <v>0.425</v>
      </c>
    </row>
    <row r="110" ht="12.5" customHeight="1">
      <c r="A110" s="86" t="inlineStr">
        <is>
          <t>13RS037030</t>
        </is>
      </c>
      <c r="B110" s="86" t="inlineStr">
        <is>
          <t>RS 37030</t>
        </is>
      </c>
      <c r="C110" s="86" t="n">
        <v>0.37</v>
      </c>
      <c r="D110" s="86" t="n">
        <v>0.265</v>
      </c>
      <c r="E110" s="86" t="n">
        <v>0.156</v>
      </c>
    </row>
    <row r="111" ht="12.5" customHeight="1">
      <c r="A111" s="86" t="inlineStr">
        <is>
          <t>13RS037031</t>
        </is>
      </c>
      <c r="B111" s="86" t="inlineStr">
        <is>
          <t>RS 37031</t>
        </is>
      </c>
      <c r="C111" s="86" t="n">
        <v>0.375</v>
      </c>
      <c r="D111" s="86" t="n">
        <v>0.254</v>
      </c>
      <c r="E111" s="86" t="n">
        <v>0.453</v>
      </c>
    </row>
    <row r="112" ht="12.5" customHeight="1">
      <c r="A112" s="86" t="inlineStr">
        <is>
          <t>13RS037032</t>
        </is>
      </c>
      <c r="B112" s="86" t="inlineStr">
        <is>
          <t>RS 37032</t>
        </is>
      </c>
      <c r="C112" s="86" t="n">
        <v>0.372</v>
      </c>
      <c r="D112" s="86" t="n">
        <v>0.288</v>
      </c>
      <c r="E112" s="86" t="n">
        <v>0.969</v>
      </c>
    </row>
    <row r="113" ht="12.5" customHeight="1">
      <c r="A113" s="86" t="inlineStr">
        <is>
          <t>13RS037033</t>
        </is>
      </c>
      <c r="B113" s="86" t="inlineStr">
        <is>
          <t>RS 37033</t>
        </is>
      </c>
      <c r="C113" s="86" t="n">
        <v>0.375</v>
      </c>
      <c r="D113" s="86" t="n">
        <v>0.315</v>
      </c>
      <c r="E113" s="86" t="n">
        <v>0.162</v>
      </c>
    </row>
    <row r="114" ht="12.5" customHeight="1">
      <c r="A114" s="86" t="inlineStr">
        <is>
          <t>13RS037041</t>
        </is>
      </c>
      <c r="B114" s="86" t="inlineStr">
        <is>
          <t>RS 37041</t>
        </is>
      </c>
      <c r="C114" s="86" t="n">
        <v>0.37</v>
      </c>
      <c r="D114" s="86" t="n">
        <v>0.194</v>
      </c>
      <c r="E114" s="86" t="n">
        <v>0.418</v>
      </c>
    </row>
    <row r="115" ht="12.5" customHeight="1">
      <c r="A115" s="86" t="inlineStr">
        <is>
          <t>13RS037441</t>
        </is>
      </c>
      <c r="B115" s="86" t="inlineStr">
        <is>
          <t>RS 37441</t>
        </is>
      </c>
      <c r="C115" s="86" t="n">
        <v>0.374</v>
      </c>
      <c r="D115" s="86" t="n">
        <v>0.248</v>
      </c>
      <c r="E115" s="86" t="n">
        <v>0.406</v>
      </c>
    </row>
    <row r="116" ht="12.5" customHeight="1">
      <c r="A116" s="86" t="inlineStr">
        <is>
          <t>13RS037513</t>
        </is>
      </c>
      <c r="B116" s="86" t="inlineStr">
        <is>
          <t>RS 37513</t>
        </is>
      </c>
      <c r="C116" s="86" t="n">
        <v>0.375</v>
      </c>
      <c r="D116" s="86" t="n">
        <v>0.194</v>
      </c>
      <c r="E116" s="86" t="n">
        <v>0.34</v>
      </c>
    </row>
    <row r="117" ht="12.5" customHeight="1">
      <c r="A117" s="86" t="inlineStr">
        <is>
          <t>13RS037514</t>
        </is>
      </c>
      <c r="B117" s="86" t="inlineStr">
        <is>
          <t>RS 37514</t>
        </is>
      </c>
      <c r="C117" s="86" t="n">
        <v>0.376</v>
      </c>
      <c r="D117" s="86" t="n">
        <v>0.175</v>
      </c>
      <c r="E117" s="86" t="n">
        <v>0.15</v>
      </c>
    </row>
    <row r="118" ht="12.5" customHeight="1">
      <c r="A118" s="86" t="inlineStr">
        <is>
          <t>13RS037515</t>
        </is>
      </c>
      <c r="B118" s="86" t="inlineStr">
        <is>
          <t>RS 37515</t>
        </is>
      </c>
      <c r="C118" s="86" t="n">
        <v>0.375</v>
      </c>
      <c r="D118" s="86" t="n">
        <v>0.219</v>
      </c>
      <c r="E118" s="86" t="n">
        <v>0.156</v>
      </c>
    </row>
    <row r="119" ht="12.5" customHeight="1">
      <c r="A119" s="86" t="inlineStr">
        <is>
          <t>13RS037516</t>
        </is>
      </c>
      <c r="B119" s="86" t="inlineStr">
        <is>
          <t>RS 37516</t>
        </is>
      </c>
      <c r="C119" s="86" t="n">
        <v>0.375</v>
      </c>
      <c r="D119" s="86" t="n">
        <v>0.252</v>
      </c>
      <c r="E119" s="86" t="n">
        <v>0.82</v>
      </c>
    </row>
    <row r="120" ht="12.5" customHeight="1">
      <c r="A120" s="86" t="inlineStr">
        <is>
          <t>13RS037517</t>
        </is>
      </c>
      <c r="B120" s="86" t="inlineStr">
        <is>
          <t>RS 37517</t>
        </is>
      </c>
      <c r="C120" s="86" t="n">
        <v>0.375</v>
      </c>
      <c r="D120" s="86" t="n">
        <v>0.219</v>
      </c>
      <c r="E120" s="86" t="n">
        <v>0.172</v>
      </c>
    </row>
    <row r="121" ht="12.5" customHeight="1">
      <c r="A121" s="86" t="inlineStr">
        <is>
          <t>13RS037518</t>
        </is>
      </c>
      <c r="B121" s="86" t="inlineStr">
        <is>
          <t>RS 37518</t>
        </is>
      </c>
      <c r="C121" s="86" t="n">
        <v>0.375</v>
      </c>
      <c r="D121" s="86" t="n">
        <v>0.252</v>
      </c>
      <c r="E121" s="86" t="n">
        <v>0.1875</v>
      </c>
    </row>
    <row r="122" ht="12.5" customHeight="1">
      <c r="A122" s="86" t="inlineStr">
        <is>
          <t>13RS037519</t>
        </is>
      </c>
      <c r="B122" s="86" t="inlineStr">
        <is>
          <t>RS 37519</t>
        </is>
      </c>
      <c r="C122" s="86" t="n">
        <v>0.38</v>
      </c>
      <c r="D122" s="86" t="n">
        <v>0.171</v>
      </c>
      <c r="E122" s="86" t="n">
        <v>0.275</v>
      </c>
    </row>
    <row r="123" ht="12.5" customHeight="1">
      <c r="A123" s="86" t="inlineStr">
        <is>
          <t>13RS037520</t>
        </is>
      </c>
      <c r="B123" s="86" t="inlineStr">
        <is>
          <t>RS 37520</t>
        </is>
      </c>
      <c r="C123" s="86" t="n">
        <v>0.375</v>
      </c>
      <c r="D123" s="86" t="n">
        <v>0.219</v>
      </c>
      <c r="E123" s="86" t="n">
        <v>0.203</v>
      </c>
    </row>
    <row r="124" ht="12.5" customHeight="1">
      <c r="A124" s="86" t="inlineStr">
        <is>
          <t>13RS037521</t>
        </is>
      </c>
      <c r="B124" s="86" t="inlineStr">
        <is>
          <t>RS 37521</t>
        </is>
      </c>
      <c r="C124" s="86" t="n">
        <v>0.375</v>
      </c>
      <c r="D124" s="86" t="n">
        <v>0.218</v>
      </c>
      <c r="E124" s="86" t="n">
        <v>0.4375</v>
      </c>
    </row>
    <row r="125" ht="12.5" customHeight="1">
      <c r="A125" s="86" t="inlineStr">
        <is>
          <t>13RS037522</t>
        </is>
      </c>
      <c r="B125" s="86" t="inlineStr">
        <is>
          <t>RS 37522</t>
        </is>
      </c>
      <c r="C125" s="86" t="n">
        <v>0.375</v>
      </c>
      <c r="D125" s="86" t="n">
        <v>0.22</v>
      </c>
      <c r="E125" s="86" t="n">
        <v>0.375</v>
      </c>
    </row>
    <row r="126" ht="12.5" customHeight="1">
      <c r="A126" s="86" t="inlineStr">
        <is>
          <t>13RS037523</t>
        </is>
      </c>
      <c r="B126" s="86" t="inlineStr">
        <is>
          <t>RS 37523</t>
        </is>
      </c>
      <c r="C126" s="86" t="n">
        <v>0.375</v>
      </c>
      <c r="D126" s="86" t="n">
        <v>0.257</v>
      </c>
      <c r="E126" s="86" t="n">
        <v>0.25</v>
      </c>
    </row>
    <row r="127" ht="12.5" customHeight="1">
      <c r="A127" s="86" t="inlineStr">
        <is>
          <t>13RS037525</t>
        </is>
      </c>
      <c r="B127" s="86" t="inlineStr">
        <is>
          <t>RS 37525</t>
        </is>
      </c>
      <c r="C127" s="86" t="n">
        <v>0.375</v>
      </c>
      <c r="D127" s="86" t="n">
        <v>0.225</v>
      </c>
      <c r="E127" s="86" t="n">
        <v>0.25</v>
      </c>
    </row>
    <row r="128" ht="12.5" customHeight="1">
      <c r="A128" s="86" t="inlineStr">
        <is>
          <t>13RS037534</t>
        </is>
      </c>
      <c r="B128" s="86" t="inlineStr">
        <is>
          <t>RS 37534</t>
        </is>
      </c>
      <c r="C128" s="86" t="n">
        <v>0.375</v>
      </c>
      <c r="D128" s="86" t="n">
        <v>0.14</v>
      </c>
      <c r="E128" s="86" t="n">
        <v>0.344</v>
      </c>
    </row>
    <row r="129" ht="12.5" customHeight="1">
      <c r="A129" s="86" t="inlineStr">
        <is>
          <t>13RS037536</t>
        </is>
      </c>
      <c r="B129" s="86" t="inlineStr">
        <is>
          <t>RS 37536</t>
        </is>
      </c>
      <c r="C129" s="86" t="n">
        <v>0.375</v>
      </c>
      <c r="D129" s="86" t="n">
        <v>0.255</v>
      </c>
      <c r="E129" s="86" t="n">
        <v>0.33</v>
      </c>
    </row>
    <row r="130" ht="12.5" customHeight="1">
      <c r="A130" s="86" t="inlineStr">
        <is>
          <t>13RS037538</t>
        </is>
      </c>
      <c r="B130" s="86" t="inlineStr">
        <is>
          <t>RS 37538</t>
        </is>
      </c>
      <c r="C130" s="86" t="n">
        <v>0.375</v>
      </c>
      <c r="D130" s="86" t="n">
        <v>0.255</v>
      </c>
      <c r="E130" s="86" t="n">
        <v>0.38</v>
      </c>
    </row>
    <row r="131" ht="12.5" customHeight="1">
      <c r="A131" s="86" t="inlineStr">
        <is>
          <t>13RS037542</t>
        </is>
      </c>
      <c r="B131" s="86" t="inlineStr">
        <is>
          <t>RS 37542</t>
        </is>
      </c>
      <c r="C131" s="86" t="n">
        <v>0.375</v>
      </c>
      <c r="D131" s="86" t="n">
        <v>0.265</v>
      </c>
      <c r="E131" s="86" t="n">
        <v>0.25</v>
      </c>
    </row>
    <row r="132" ht="12.5" customHeight="1">
      <c r="A132" s="86" t="inlineStr">
        <is>
          <t>13RS037546</t>
        </is>
      </c>
      <c r="B132" s="86" t="inlineStr">
        <is>
          <t>RS 37546</t>
        </is>
      </c>
      <c r="C132" s="86" t="n">
        <v>0.375</v>
      </c>
      <c r="D132" s="86" t="n">
        <v>0.094</v>
      </c>
      <c r="E132" s="86" t="n">
        <v>0.281</v>
      </c>
    </row>
    <row r="133" ht="12.5" customHeight="1">
      <c r="A133" s="86" t="inlineStr">
        <is>
          <t>13RS037547</t>
        </is>
      </c>
      <c r="B133" s="86" t="inlineStr">
        <is>
          <t>RS 37547</t>
        </is>
      </c>
      <c r="C133" s="86" t="n">
        <v>0.375</v>
      </c>
      <c r="D133" s="86" t="n">
        <v>0.203</v>
      </c>
      <c r="E133" s="86" t="n">
        <v>0.266</v>
      </c>
    </row>
    <row r="134" ht="12.5" customHeight="1">
      <c r="A134" s="86" t="inlineStr">
        <is>
          <t>13RS037548</t>
        </is>
      </c>
      <c r="B134" s="86" t="inlineStr">
        <is>
          <t>RS 37548</t>
        </is>
      </c>
      <c r="C134" s="86" t="n">
        <v>0.375</v>
      </c>
      <c r="D134" s="86" t="n">
        <v>0.203</v>
      </c>
      <c r="E134" s="86" t="n">
        <v>0.109</v>
      </c>
    </row>
    <row r="135" ht="12.5" customHeight="1">
      <c r="A135" s="86" t="inlineStr">
        <is>
          <t>13RS037550</t>
        </is>
      </c>
      <c r="B135" s="86" t="inlineStr">
        <is>
          <t>RS 37550</t>
        </is>
      </c>
      <c r="C135" s="86" t="n">
        <v>0.375</v>
      </c>
      <c r="D135" s="86" t="n">
        <v>0.252</v>
      </c>
      <c r="E135" s="86" t="n">
        <v>0.375</v>
      </c>
    </row>
    <row r="136" ht="12.5" customHeight="1">
      <c r="A136" s="86" t="inlineStr">
        <is>
          <t>13RS037552</t>
        </is>
      </c>
      <c r="B136" s="86" t="inlineStr">
        <is>
          <t>RS 37552</t>
        </is>
      </c>
      <c r="C136" s="86" t="n">
        <v>0.375</v>
      </c>
      <c r="D136" s="86" t="n">
        <v>0.265</v>
      </c>
      <c r="E136" s="86" t="n">
        <v>0.375</v>
      </c>
    </row>
    <row r="137" ht="12.5" customHeight="1">
      <c r="A137" s="86" t="inlineStr">
        <is>
          <t>13RS037559</t>
        </is>
      </c>
      <c r="B137" s="86" t="inlineStr">
        <is>
          <t>RS 37559</t>
        </is>
      </c>
      <c r="C137" s="86" t="n">
        <v>0.375</v>
      </c>
      <c r="D137" s="86" t="n">
        <v>0.25</v>
      </c>
      <c r="E137" s="86" t="n">
        <v>0.593</v>
      </c>
    </row>
    <row r="138" ht="12.5" customHeight="1">
      <c r="A138" s="86" t="inlineStr">
        <is>
          <t>13RS037565</t>
        </is>
      </c>
      <c r="B138" s="86" t="inlineStr">
        <is>
          <t>RS 37565</t>
        </is>
      </c>
      <c r="C138" s="86" t="n">
        <v>0.375</v>
      </c>
      <c r="D138" s="86" t="n">
        <v>0.265</v>
      </c>
      <c r="E138" s="86" t="n">
        <v>0.5</v>
      </c>
    </row>
    <row r="139" ht="12.5" customHeight="1">
      <c r="A139" s="86" t="inlineStr">
        <is>
          <t>13RS037570</t>
        </is>
      </c>
      <c r="B139" s="86" t="inlineStr">
        <is>
          <t>RS 37570</t>
        </is>
      </c>
      <c r="C139" s="86" t="n">
        <v>0.375</v>
      </c>
      <c r="D139" s="86" t="n">
        <v>0.14</v>
      </c>
      <c r="E139" s="86" t="n">
        <v>0.7</v>
      </c>
    </row>
    <row r="140" ht="12.5" customHeight="1">
      <c r="A140" s="86" t="inlineStr">
        <is>
          <t>13RS037571</t>
        </is>
      </c>
      <c r="B140" s="86" t="inlineStr">
        <is>
          <t>RS 37571</t>
        </is>
      </c>
      <c r="C140" s="86" t="n">
        <v>0.375</v>
      </c>
      <c r="D140" s="86" t="n">
        <v>0.255</v>
      </c>
      <c r="E140" s="86" t="n">
        <v>0.7</v>
      </c>
    </row>
    <row r="141" ht="12.5" customHeight="1">
      <c r="A141" s="86" t="inlineStr">
        <is>
          <t>13RS037575</t>
        </is>
      </c>
      <c r="B141" s="86" t="inlineStr">
        <is>
          <t>RS 37575</t>
        </is>
      </c>
      <c r="C141" s="86" t="n">
        <v>0.375</v>
      </c>
      <c r="D141" s="86" t="n">
        <v>0.265</v>
      </c>
      <c r="E141" s="86" t="n">
        <v>0.875</v>
      </c>
    </row>
    <row r="142" ht="12.5" customHeight="1">
      <c r="A142" s="86" t="inlineStr">
        <is>
          <t>13RS037580</t>
        </is>
      </c>
      <c r="B142" s="86" t="inlineStr">
        <is>
          <t>RS 37580</t>
        </is>
      </c>
      <c r="C142" s="86" t="n">
        <v>0.375</v>
      </c>
      <c r="D142" s="86" t="n">
        <v>0.265</v>
      </c>
      <c r="E142" s="86" t="n">
        <v>1</v>
      </c>
    </row>
    <row r="143" ht="12.5" customHeight="1">
      <c r="A143" s="86" t="inlineStr">
        <is>
          <t>13RS037585</t>
        </is>
      </c>
      <c r="B143" s="86" t="inlineStr">
        <is>
          <t>RS 37585</t>
        </is>
      </c>
      <c r="C143" s="86" t="n">
        <v>0.375</v>
      </c>
      <c r="D143" s="86" t="n">
        <v>0.257</v>
      </c>
      <c r="E143" s="86" t="n">
        <v>1.25</v>
      </c>
    </row>
    <row r="144" ht="12.5" customHeight="1">
      <c r="A144" s="86" t="inlineStr">
        <is>
          <t>13RS037590</t>
        </is>
      </c>
      <c r="B144" s="86" t="inlineStr">
        <is>
          <t>RS 37590</t>
        </is>
      </c>
      <c r="C144" s="86" t="n">
        <v>0.375</v>
      </c>
      <c r="D144" s="86" t="n">
        <v>0.265</v>
      </c>
      <c r="E144" s="86" t="n">
        <v>0.75</v>
      </c>
    </row>
    <row r="145" ht="12.5" customHeight="1">
      <c r="A145" s="86" t="inlineStr">
        <is>
          <t>13RS037591</t>
        </is>
      </c>
      <c r="B145" s="86" t="inlineStr">
        <is>
          <t>RS 37591</t>
        </is>
      </c>
      <c r="C145" s="86" t="n">
        <v>0.375</v>
      </c>
      <c r="D145" s="86" t="n">
        <v>0.14</v>
      </c>
      <c r="E145" s="86" t="n">
        <v>0.725</v>
      </c>
    </row>
    <row r="146" ht="12.5" customHeight="1">
      <c r="A146" s="86" t="inlineStr">
        <is>
          <t>13RS037598</t>
        </is>
      </c>
      <c r="B146" s="86" t="inlineStr">
        <is>
          <t>RS 37598</t>
        </is>
      </c>
      <c r="C146" s="86" t="n">
        <v>0.375</v>
      </c>
      <c r="D146" s="86" t="n">
        <v>0.115</v>
      </c>
      <c r="E146" s="86" t="n">
        <v>1.0625</v>
      </c>
    </row>
    <row r="147" ht="12.5" customHeight="1">
      <c r="A147" s="86" t="inlineStr">
        <is>
          <t>13RS037599</t>
        </is>
      </c>
      <c r="B147" s="86" t="inlineStr">
        <is>
          <t>RS 37599</t>
        </is>
      </c>
      <c r="C147" s="86" t="n">
        <v>0.375</v>
      </c>
      <c r="D147" s="86" t="n">
        <v>0.23</v>
      </c>
      <c r="E147" s="86" t="n">
        <v>0.925</v>
      </c>
    </row>
    <row r="148" ht="12.5" customHeight="1">
      <c r="A148" s="86" t="inlineStr">
        <is>
          <t>13RS038037</t>
        </is>
      </c>
      <c r="B148" s="86" t="inlineStr">
        <is>
          <t>RS 38037</t>
        </is>
      </c>
      <c r="C148" s="86" t="n">
        <v>0.38</v>
      </c>
      <c r="D148" s="86" t="n">
        <v>0.25</v>
      </c>
      <c r="E148" s="86" t="n">
        <v>0.44</v>
      </c>
    </row>
    <row r="149" ht="12.5" customHeight="1">
      <c r="A149" s="86" t="inlineStr">
        <is>
          <t>13RS038038</t>
        </is>
      </c>
      <c r="B149" s="86" t="inlineStr">
        <is>
          <t>RS 38038</t>
        </is>
      </c>
      <c r="C149" s="86" t="n">
        <v>0.38</v>
      </c>
      <c r="D149" s="86" t="n">
        <v>0.32</v>
      </c>
      <c r="E149" s="86" t="n">
        <v>0.382</v>
      </c>
    </row>
    <row r="150" ht="12.5" customHeight="1">
      <c r="A150" s="86" t="inlineStr">
        <is>
          <t>13RS038039</t>
        </is>
      </c>
      <c r="B150" s="86" t="inlineStr">
        <is>
          <t>RS 38039</t>
        </is>
      </c>
      <c r="C150" s="86" t="n">
        <v>0.385</v>
      </c>
      <c r="D150" s="86" t="n">
        <v>0.254</v>
      </c>
      <c r="E150" s="86" t="n">
        <v>0.24</v>
      </c>
    </row>
    <row r="151" ht="12.5" customHeight="1">
      <c r="A151" s="86" t="inlineStr">
        <is>
          <t>13RS038518</t>
        </is>
      </c>
      <c r="B151" s="86" t="inlineStr">
        <is>
          <t>RS 38518</t>
        </is>
      </c>
      <c r="C151" s="86" t="n">
        <v>0.625</v>
      </c>
      <c r="D151" s="86" t="n">
        <v>0.385</v>
      </c>
      <c r="E151" s="86" t="n">
        <v>0.187</v>
      </c>
    </row>
    <row r="152" ht="12.5" customHeight="1">
      <c r="A152" s="86" t="inlineStr">
        <is>
          <t>13RS038930</t>
        </is>
      </c>
      <c r="B152" s="86" t="inlineStr">
        <is>
          <t>RS 38930</t>
        </is>
      </c>
      <c r="C152" s="86" t="n">
        <v>0.389</v>
      </c>
      <c r="D152" s="86" t="n">
        <v>0.251</v>
      </c>
      <c r="E152" s="86" t="n">
        <v>0.125</v>
      </c>
    </row>
    <row r="153" ht="12.5" customHeight="1">
      <c r="A153" s="86" t="inlineStr">
        <is>
          <t>13RS038931</t>
        </is>
      </c>
      <c r="B153" s="86" t="inlineStr">
        <is>
          <t>RS 38931</t>
        </is>
      </c>
      <c r="C153" s="86" t="n">
        <v>0.389</v>
      </c>
      <c r="D153" s="86" t="n">
        <v>0.255</v>
      </c>
      <c r="E153" s="86" t="n">
        <v>0.132</v>
      </c>
    </row>
    <row r="154" ht="12.5" customHeight="1">
      <c r="A154" s="86" t="inlineStr">
        <is>
          <t>13RS039315</t>
        </is>
      </c>
      <c r="B154" s="86" t="inlineStr">
        <is>
          <t>RS 39315</t>
        </is>
      </c>
      <c r="C154" s="86" t="n">
        <v>0.393</v>
      </c>
      <c r="D154" s="86" t="n">
        <v>0.151</v>
      </c>
      <c r="E154" s="86" t="n">
        <v>0.25</v>
      </c>
    </row>
    <row r="155" ht="12.5" customHeight="1">
      <c r="A155" s="86" t="inlineStr">
        <is>
          <t>13RS039342</t>
        </is>
      </c>
      <c r="B155" s="86" t="inlineStr">
        <is>
          <t>RS 39342</t>
        </is>
      </c>
      <c r="C155" s="86" t="n">
        <v>0.393</v>
      </c>
      <c r="D155" s="86" t="n">
        <v>0.169</v>
      </c>
      <c r="E155" s="86" t="n">
        <v>0.234</v>
      </c>
    </row>
    <row r="156" ht="12.5" customHeight="1">
      <c r="A156" s="86" t="inlineStr">
        <is>
          <t>13RS039343</t>
        </is>
      </c>
      <c r="B156" s="86" t="inlineStr">
        <is>
          <t>RS 39343</t>
        </is>
      </c>
      <c r="C156" s="86" t="n">
        <v>0.394</v>
      </c>
      <c r="D156" s="86" t="n">
        <v>0.248</v>
      </c>
      <c r="E156" s="86" t="n">
        <v>0.433</v>
      </c>
    </row>
    <row r="157" ht="12.5" customHeight="1">
      <c r="A157" s="86" t="inlineStr">
        <is>
          <t>13RS039459</t>
        </is>
      </c>
      <c r="B157" s="86" t="inlineStr">
        <is>
          <t>RS 39459</t>
        </is>
      </c>
      <c r="C157" s="86" t="n">
        <v>0.395</v>
      </c>
      <c r="D157" s="86" t="n">
        <v>0.32</v>
      </c>
      <c r="E157" s="86" t="n">
        <v>0.591</v>
      </c>
    </row>
    <row r="158" ht="12.5" customHeight="1">
      <c r="A158" s="86" t="inlineStr">
        <is>
          <t>13RS040080</t>
        </is>
      </c>
      <c r="B158" s="86" t="inlineStr">
        <is>
          <t>RS 40080</t>
        </is>
      </c>
      <c r="C158" s="86" t="n">
        <v>0.4</v>
      </c>
      <c r="D158" s="86" t="n">
        <v>0.14</v>
      </c>
      <c r="E158" s="86" t="n">
        <v>0.719</v>
      </c>
    </row>
    <row r="159" ht="12.5" customHeight="1">
      <c r="A159" s="86" t="inlineStr">
        <is>
          <t>13RS040082</t>
        </is>
      </c>
      <c r="B159" s="86" t="inlineStr">
        <is>
          <t>RS 40082</t>
        </is>
      </c>
      <c r="C159" s="86" t="n">
        <v>0.43</v>
      </c>
      <c r="D159" s="86" t="n">
        <v>0.285</v>
      </c>
      <c r="E159" s="86" t="n">
        <v>0.4</v>
      </c>
    </row>
    <row r="160" ht="12.5" customHeight="1">
      <c r="A160" s="86" t="inlineStr">
        <is>
          <t>13RS040085</t>
        </is>
      </c>
      <c r="B160" s="86" t="inlineStr">
        <is>
          <t>RS 40085</t>
        </is>
      </c>
      <c r="C160" s="86" t="n">
        <v>0.4</v>
      </c>
      <c r="D160" s="86" t="n">
        <v>0.14</v>
      </c>
      <c r="E160" s="86" t="n">
        <v>0.781</v>
      </c>
    </row>
    <row r="161" ht="12.5" customHeight="1">
      <c r="A161" s="86" t="inlineStr">
        <is>
          <t>13RS040630</t>
        </is>
      </c>
      <c r="B161" s="86" t="inlineStr">
        <is>
          <t>RS 40630</t>
        </is>
      </c>
      <c r="C161" s="86" t="n">
        <v>0.406</v>
      </c>
      <c r="D161" s="86" t="n">
        <v>0.269</v>
      </c>
      <c r="E161" s="86" t="n">
        <v>0.25</v>
      </c>
    </row>
    <row r="162" ht="12.5" customHeight="1">
      <c r="A162" s="86" t="inlineStr">
        <is>
          <t>13RS040636</t>
        </is>
      </c>
      <c r="B162" s="86" t="inlineStr">
        <is>
          <t>RS 40636</t>
        </is>
      </c>
      <c r="C162" s="86" t="n">
        <v>0.406</v>
      </c>
      <c r="D162" s="86" t="n">
        <v>0.265</v>
      </c>
      <c r="E162" s="86" t="n">
        <v>0.5620000000000001</v>
      </c>
    </row>
    <row r="163" ht="12.5" customHeight="1">
      <c r="A163" s="86" t="inlineStr">
        <is>
          <t>13RS040637</t>
        </is>
      </c>
      <c r="B163" s="86" t="inlineStr">
        <is>
          <t>RS 40637</t>
        </is>
      </c>
      <c r="C163" s="86" t="n">
        <v>0.406</v>
      </c>
      <c r="D163" s="86" t="n">
        <v>0.265</v>
      </c>
      <c r="E163" s="86" t="n">
        <v>0.625</v>
      </c>
    </row>
    <row r="164" ht="12.5" customHeight="1">
      <c r="A164" s="86" t="inlineStr">
        <is>
          <t>13RS040660</t>
        </is>
      </c>
      <c r="B164" s="86" t="inlineStr">
        <is>
          <t>RS 40660</t>
        </is>
      </c>
      <c r="C164" s="86" t="n">
        <v>0.406</v>
      </c>
      <c r="D164" s="86" t="n">
        <v>0.267</v>
      </c>
      <c r="E164" s="86" t="n">
        <v>0.5</v>
      </c>
    </row>
    <row r="165" ht="12.5" customHeight="1">
      <c r="A165" s="86" t="inlineStr">
        <is>
          <t>13RS040670</t>
        </is>
      </c>
      <c r="B165" s="86" t="inlineStr">
        <is>
          <t>RS 40670</t>
        </is>
      </c>
      <c r="C165" s="86" t="n">
        <v>0.406</v>
      </c>
      <c r="D165" s="86" t="n">
        <v>0.265</v>
      </c>
      <c r="E165" s="86" t="n">
        <v>0.75</v>
      </c>
    </row>
    <row r="166" ht="12.5" customHeight="1">
      <c r="A166" s="86" t="inlineStr">
        <is>
          <t>13RS040671</t>
        </is>
      </c>
      <c r="B166" s="86" t="inlineStr">
        <is>
          <t>RS 40671</t>
        </is>
      </c>
      <c r="C166" s="86" t="n">
        <v>0.406</v>
      </c>
      <c r="D166" s="86" t="n">
        <v>0.311</v>
      </c>
      <c r="E166" s="86" t="n">
        <v>0.591</v>
      </c>
    </row>
    <row r="167" ht="12.5" customHeight="1">
      <c r="A167" s="86" t="inlineStr">
        <is>
          <t>13RS040675</t>
        </is>
      </c>
      <c r="B167" s="86" t="inlineStr">
        <is>
          <t>RS 40675</t>
        </is>
      </c>
      <c r="C167" s="86" t="n">
        <v>0.406</v>
      </c>
      <c r="D167" s="86" t="n">
        <v>0.28</v>
      </c>
      <c r="E167" s="86" t="n">
        <v>0.375</v>
      </c>
    </row>
    <row r="168" ht="12.5" customHeight="1">
      <c r="A168" s="86" t="inlineStr">
        <is>
          <t>13RS040685</t>
        </is>
      </c>
      <c r="B168" s="86" t="inlineStr">
        <is>
          <t>RS 40685</t>
        </is>
      </c>
      <c r="C168" s="86" t="n">
        <v>0.406</v>
      </c>
      <c r="D168" s="86" t="n">
        <v>0.265</v>
      </c>
      <c r="E168" s="86" t="n">
        <v>1</v>
      </c>
    </row>
    <row r="169" ht="12.5" customHeight="1">
      <c r="A169" s="86" t="inlineStr">
        <is>
          <t>13RS041500</t>
        </is>
      </c>
      <c r="B169" s="86" t="inlineStr">
        <is>
          <t>RS 41500</t>
        </is>
      </c>
      <c r="C169" s="86" t="n">
        <v>0.415</v>
      </c>
      <c r="D169" s="86" t="n">
        <v>0.32</v>
      </c>
      <c r="E169" s="86" t="n">
        <v>0.64</v>
      </c>
    </row>
    <row r="170" ht="12.5" customHeight="1">
      <c r="A170" s="86" t="inlineStr">
        <is>
          <t>13RS042700</t>
        </is>
      </c>
      <c r="B170" s="86" t="inlineStr">
        <is>
          <t>RS 42700</t>
        </is>
      </c>
      <c r="C170" s="86" t="n">
        <v>0.427</v>
      </c>
      <c r="D170" s="86" t="n">
        <v>0.182</v>
      </c>
      <c r="E170" s="86" t="n">
        <v>0.734</v>
      </c>
    </row>
    <row r="171" ht="12.5" customHeight="1">
      <c r="A171" s="86" t="inlineStr">
        <is>
          <t>13RS042701</t>
        </is>
      </c>
      <c r="B171" s="86" t="inlineStr">
        <is>
          <t>RS 42701</t>
        </is>
      </c>
      <c r="C171" s="86" t="n">
        <v>0.433</v>
      </c>
      <c r="D171" s="86" t="n">
        <v>0.256</v>
      </c>
      <c r="E171" s="86" t="n">
        <v>0.22</v>
      </c>
    </row>
    <row r="172" ht="12.5" customHeight="1">
      <c r="A172" s="86" t="inlineStr">
        <is>
          <t>13RS043724</t>
        </is>
      </c>
      <c r="B172" s="86" t="inlineStr">
        <is>
          <t>RS 43724</t>
        </is>
      </c>
      <c r="C172" s="86" t="n">
        <v>0.4375</v>
      </c>
      <c r="D172" s="86" t="n">
        <v>0.25</v>
      </c>
      <c r="E172" s="86" t="n">
        <v>0.394</v>
      </c>
    </row>
    <row r="173" ht="12.5" customHeight="1">
      <c r="A173" s="86" t="inlineStr">
        <is>
          <t>13RS043725</t>
        </is>
      </c>
      <c r="B173" s="86" t="inlineStr">
        <is>
          <t>RS 43725</t>
        </is>
      </c>
      <c r="C173" s="86" t="n">
        <v>0.4375</v>
      </c>
      <c r="D173" s="86" t="n">
        <v>0.25</v>
      </c>
      <c r="E173" s="86" t="n">
        <v>0.591</v>
      </c>
    </row>
    <row r="174" ht="12.5" customHeight="1">
      <c r="A174" s="86" t="inlineStr">
        <is>
          <t>13RS043726</t>
        </is>
      </c>
      <c r="B174" s="86" t="inlineStr">
        <is>
          <t>RS 43726</t>
        </is>
      </c>
      <c r="C174" s="86" t="n">
        <v>0.437</v>
      </c>
      <c r="D174" s="86" t="n">
        <v>0.312</v>
      </c>
      <c r="E174" s="86" t="n">
        <v>0.35</v>
      </c>
    </row>
    <row r="175" ht="12.5" customHeight="1">
      <c r="A175" s="86" t="inlineStr">
        <is>
          <t>13RS043727</t>
        </is>
      </c>
      <c r="B175" s="86" t="inlineStr">
        <is>
          <t>RS 43727</t>
        </is>
      </c>
      <c r="C175" s="86" t="n">
        <v>0.438</v>
      </c>
      <c r="D175" s="86" t="n">
        <v>0.325</v>
      </c>
      <c r="E175" s="86" t="n">
        <v>0.422</v>
      </c>
    </row>
    <row r="176" ht="12.5" customHeight="1">
      <c r="A176" s="86" t="inlineStr">
        <is>
          <t>13RS043728</t>
        </is>
      </c>
      <c r="B176" s="86" t="inlineStr">
        <is>
          <t>RS 43728</t>
        </is>
      </c>
      <c r="C176" s="86" t="n">
        <v>0.437</v>
      </c>
      <c r="D176" s="86" t="n">
        <v>0.318</v>
      </c>
      <c r="E176" s="86" t="n">
        <v>0.281</v>
      </c>
    </row>
    <row r="177" ht="12.5" customHeight="1">
      <c r="A177" s="86" t="inlineStr">
        <is>
          <t>13RS043729</t>
        </is>
      </c>
      <c r="B177" s="86" t="inlineStr">
        <is>
          <t>RS 43729</t>
        </is>
      </c>
      <c r="C177" s="86" t="n">
        <v>0.4375</v>
      </c>
      <c r="D177" s="86" t="n">
        <v>0.171</v>
      </c>
      <c r="E177" s="86" t="n">
        <v>0.655</v>
      </c>
    </row>
    <row r="178" ht="12.5" customHeight="1">
      <c r="A178" s="86" t="inlineStr">
        <is>
          <t>13RS043730</t>
        </is>
      </c>
      <c r="B178" s="86" t="inlineStr">
        <is>
          <t>RS 43730</t>
        </is>
      </c>
      <c r="C178" s="86" t="n">
        <v>0.437</v>
      </c>
      <c r="D178" s="86" t="n">
        <v>0.318</v>
      </c>
      <c r="E178" s="86" t="n">
        <v>0.15</v>
      </c>
    </row>
    <row r="179" ht="12.5" customHeight="1">
      <c r="A179" s="86" t="inlineStr">
        <is>
          <t>13RS045040</t>
        </is>
      </c>
      <c r="B179" s="86" t="inlineStr">
        <is>
          <t>RS 45040</t>
        </is>
      </c>
      <c r="C179" s="86" t="n">
        <v>0.45</v>
      </c>
      <c r="D179" s="86" t="n">
        <v>0.325</v>
      </c>
      <c r="E179" s="86" t="n">
        <v>0.422</v>
      </c>
    </row>
    <row r="180" ht="12.5" customHeight="1">
      <c r="A180" s="86" t="inlineStr">
        <is>
          <t>13RS046060</t>
        </is>
      </c>
      <c r="B180" s="86" t="inlineStr">
        <is>
          <t>RS 46060</t>
        </is>
      </c>
      <c r="C180" s="86" t="n">
        <v>0.46</v>
      </c>
      <c r="D180" s="86" t="n">
        <v>0.252</v>
      </c>
      <c r="E180" s="86" t="n">
        <v>0.5625</v>
      </c>
    </row>
    <row r="181" ht="12.5" customHeight="1">
      <c r="A181" s="86" t="inlineStr">
        <is>
          <t>13RS046061</t>
        </is>
      </c>
      <c r="B181" s="86" t="inlineStr">
        <is>
          <t>RS 46061</t>
        </is>
      </c>
      <c r="C181" s="86" t="n">
        <v>0.46</v>
      </c>
      <c r="D181" s="86" t="n">
        <v>0.4</v>
      </c>
      <c r="E181" s="86" t="n">
        <v>0.44</v>
      </c>
    </row>
    <row r="182" ht="12.5" customHeight="1">
      <c r="A182" s="86" t="inlineStr">
        <is>
          <t>13RS046319</t>
        </is>
      </c>
      <c r="B182" s="86" t="inlineStr">
        <is>
          <t>RS 46319</t>
        </is>
      </c>
      <c r="C182" s="86" t="n">
        <v>0.463</v>
      </c>
      <c r="D182" s="86" t="n">
        <v>0.19</v>
      </c>
      <c r="E182" s="86" t="n">
        <v>0.3125</v>
      </c>
    </row>
    <row r="183" ht="12.5" customHeight="1">
      <c r="A183" s="86" t="inlineStr">
        <is>
          <t>13RS046500</t>
        </is>
      </c>
      <c r="B183" s="86" t="inlineStr">
        <is>
          <t>RS 46500</t>
        </is>
      </c>
      <c r="C183" s="86" t="n">
        <v>0.465</v>
      </c>
      <c r="D183" s="86" t="n">
        <v>0.382</v>
      </c>
      <c r="E183" s="86" t="n">
        <v>0.282</v>
      </c>
    </row>
    <row r="184" ht="12.5" customHeight="1">
      <c r="A184" s="86" t="inlineStr">
        <is>
          <t>13RS046823</t>
        </is>
      </c>
      <c r="B184" s="86" t="inlineStr">
        <is>
          <t>RS 46823</t>
        </is>
      </c>
      <c r="C184" s="86" t="n">
        <v>0.468</v>
      </c>
      <c r="D184" s="86" t="n">
        <v>0.314</v>
      </c>
      <c r="E184" s="86" t="n">
        <v>0.23</v>
      </c>
    </row>
    <row r="185" ht="12.5" customHeight="1">
      <c r="A185" s="86" t="inlineStr">
        <is>
          <t>13RS048012</t>
        </is>
      </c>
      <c r="B185" s="86" t="inlineStr">
        <is>
          <t>RS 48012</t>
        </is>
      </c>
      <c r="C185" s="86" t="n">
        <v>0.47</v>
      </c>
      <c r="D185" s="86" t="n">
        <v>0.12</v>
      </c>
      <c r="E185" s="86" t="n">
        <v>0.359</v>
      </c>
    </row>
    <row r="186" ht="12.5" customHeight="1">
      <c r="A186" s="86" t="inlineStr">
        <is>
          <t>13RS048013</t>
        </is>
      </c>
      <c r="B186" s="86" t="inlineStr">
        <is>
          <t>RS 48013</t>
        </is>
      </c>
      <c r="C186" s="86" t="n">
        <v>0.472</v>
      </c>
      <c r="D186" s="86" t="n">
        <v>0.394</v>
      </c>
      <c r="E186" s="86" t="n">
        <v>0.787</v>
      </c>
    </row>
    <row r="187" ht="12.5" customHeight="1">
      <c r="A187" s="86" t="inlineStr">
        <is>
          <t>13RS048015</t>
        </is>
      </c>
      <c r="B187" s="86" t="inlineStr">
        <is>
          <t>RS 48015</t>
        </is>
      </c>
      <c r="C187" s="86" t="n">
        <v>0.475</v>
      </c>
      <c r="D187" s="86" t="n">
        <v>0.191</v>
      </c>
      <c r="E187" s="86" t="n">
        <v>0.328</v>
      </c>
    </row>
    <row r="188" ht="12.5" customHeight="1">
      <c r="A188" s="86" t="inlineStr">
        <is>
          <t>13RS048016</t>
        </is>
      </c>
      <c r="B188" s="86" t="inlineStr">
        <is>
          <t>RS 48016</t>
        </is>
      </c>
      <c r="C188" s="86" t="n">
        <v>0.48</v>
      </c>
      <c r="D188" s="86" t="n">
        <v>0.257</v>
      </c>
      <c r="E188" s="86" t="n">
        <v>0.1875</v>
      </c>
    </row>
    <row r="189" ht="12.5" customHeight="1">
      <c r="A189" s="86" t="inlineStr">
        <is>
          <t>13RS048017</t>
        </is>
      </c>
      <c r="B189" s="86" t="inlineStr">
        <is>
          <t>RS 48017</t>
        </is>
      </c>
      <c r="C189" s="86" t="n">
        <v>0.472</v>
      </c>
      <c r="D189" s="86" t="n">
        <v>0.323</v>
      </c>
      <c r="E189" s="86" t="n">
        <v>0.492</v>
      </c>
    </row>
    <row r="190" ht="12.5" customHeight="1">
      <c r="A190" s="86" t="inlineStr">
        <is>
          <t>13RS048420</t>
        </is>
      </c>
      <c r="B190" s="86" t="inlineStr">
        <is>
          <t>RS 48420</t>
        </is>
      </c>
      <c r="C190" s="86" t="n">
        <v>0.484</v>
      </c>
      <c r="D190" s="86" t="n">
        <v>0.343</v>
      </c>
      <c r="E190" s="86" t="n">
        <v>0.1875</v>
      </c>
    </row>
    <row r="191" ht="12.5" customHeight="1">
      <c r="A191" s="86" t="inlineStr">
        <is>
          <t>13RS048421</t>
        </is>
      </c>
      <c r="B191" s="86" t="inlineStr">
        <is>
          <t>RS 48421</t>
        </is>
      </c>
      <c r="C191" s="86" t="n">
        <v>0.486</v>
      </c>
      <c r="D191" s="86" t="n">
        <v>0.32</v>
      </c>
      <c r="E191" s="86" t="n">
        <v>0.375</v>
      </c>
    </row>
    <row r="192" ht="12.5" customHeight="1">
      <c r="A192" s="86" t="inlineStr">
        <is>
          <t>13RS050009</t>
        </is>
      </c>
      <c r="B192" s="86" t="inlineStr">
        <is>
          <t>RS 50009</t>
        </is>
      </c>
      <c r="C192" s="86" t="n">
        <v>0.5</v>
      </c>
      <c r="D192" s="86" t="n">
        <v>0.219</v>
      </c>
      <c r="E192" s="86" t="n">
        <v>0.649</v>
      </c>
    </row>
    <row r="193" ht="12.5" customHeight="1">
      <c r="A193" s="86" t="inlineStr">
        <is>
          <t>13RS050010</t>
        </is>
      </c>
      <c r="B193" s="86" t="inlineStr">
        <is>
          <t>RS 50010</t>
        </is>
      </c>
      <c r="C193" s="86" t="n">
        <v>0.5</v>
      </c>
      <c r="D193" s="86" t="n">
        <v>0.32</v>
      </c>
      <c r="E193" s="86" t="n">
        <v>0.27</v>
      </c>
    </row>
    <row r="194" ht="12.5" customHeight="1">
      <c r="A194" s="86" t="inlineStr">
        <is>
          <t>13RS050011</t>
        </is>
      </c>
      <c r="B194" s="86" t="inlineStr">
        <is>
          <t>RS 50011</t>
        </is>
      </c>
      <c r="C194" s="86" t="n">
        <v>0.5</v>
      </c>
      <c r="D194" s="86" t="n">
        <v>0.244</v>
      </c>
      <c r="E194" s="86" t="n">
        <v>0.295</v>
      </c>
    </row>
    <row r="195" ht="12.5" customHeight="1">
      <c r="A195" s="86" t="inlineStr">
        <is>
          <t>13RS050012</t>
        </is>
      </c>
      <c r="B195" s="86" t="inlineStr">
        <is>
          <t>RS 50012</t>
        </is>
      </c>
      <c r="C195" s="86" t="n">
        <v>0.5</v>
      </c>
      <c r="D195" s="86" t="n">
        <v>0.325</v>
      </c>
      <c r="E195" s="86" t="n">
        <v>0.672</v>
      </c>
    </row>
    <row r="196" ht="12.5" customHeight="1">
      <c r="A196" s="86" t="inlineStr">
        <is>
          <t>13RS050014</t>
        </is>
      </c>
      <c r="B196" s="86" t="inlineStr">
        <is>
          <t>RS 50014</t>
        </is>
      </c>
      <c r="C196" s="86" t="n">
        <v>0.501</v>
      </c>
      <c r="D196" s="86" t="n">
        <v>0.249</v>
      </c>
      <c r="E196" s="86" t="n">
        <v>0.39</v>
      </c>
    </row>
    <row r="197" ht="12.5" customHeight="1">
      <c r="A197" s="86" t="inlineStr">
        <is>
          <t>13RS050015</t>
        </is>
      </c>
      <c r="B197" s="86" t="inlineStr">
        <is>
          <t>RS 50015</t>
        </is>
      </c>
      <c r="C197" s="86" t="n">
        <v>0.5</v>
      </c>
      <c r="D197" s="86" t="n">
        <v>0.194</v>
      </c>
      <c r="E197" s="86" t="n">
        <v>0.406</v>
      </c>
    </row>
    <row r="198" ht="12.5" customHeight="1">
      <c r="A198" s="86" t="inlineStr">
        <is>
          <t>13RS050016</t>
        </is>
      </c>
      <c r="B198" s="86" t="inlineStr">
        <is>
          <t>RS 50016</t>
        </is>
      </c>
      <c r="C198" s="86" t="n">
        <v>0.5</v>
      </c>
      <c r="D198" s="86" t="n">
        <v>0.265</v>
      </c>
      <c r="E198" s="86" t="n">
        <v>0.156</v>
      </c>
    </row>
    <row r="199" ht="12.5" customHeight="1">
      <c r="A199" s="86" t="inlineStr">
        <is>
          <t>13RS050017</t>
        </is>
      </c>
      <c r="B199" s="86" t="inlineStr">
        <is>
          <t>RS 50017</t>
        </is>
      </c>
      <c r="C199" s="86" t="n">
        <v>0.5</v>
      </c>
      <c r="D199" s="86" t="n">
        <v>0.265</v>
      </c>
      <c r="E199" s="86" t="n">
        <v>0.2</v>
      </c>
    </row>
    <row r="200" ht="12.5" customHeight="1">
      <c r="A200" s="86" t="inlineStr">
        <is>
          <t>13RS050018</t>
        </is>
      </c>
      <c r="B200" s="86" t="inlineStr">
        <is>
          <t>RS 50018</t>
        </is>
      </c>
      <c r="C200" s="86" t="n">
        <v>0.5</v>
      </c>
      <c r="D200" s="86" t="n">
        <v>0.257</v>
      </c>
      <c r="E200" s="86" t="n">
        <v>0.234</v>
      </c>
    </row>
    <row r="201" ht="12.5" customHeight="1">
      <c r="A201" s="86" t="inlineStr">
        <is>
          <t>13RS050019</t>
        </is>
      </c>
      <c r="B201" s="86" t="inlineStr">
        <is>
          <t>RS 50019</t>
        </is>
      </c>
      <c r="C201" s="86" t="n">
        <v>0.5</v>
      </c>
      <c r="D201" s="86" t="n">
        <v>0.195</v>
      </c>
      <c r="E201" s="86" t="n">
        <v>0.451</v>
      </c>
    </row>
    <row r="202" ht="12.5" customHeight="1">
      <c r="A202" s="86" t="inlineStr">
        <is>
          <t>13RS050020</t>
        </is>
      </c>
      <c r="B202" s="86" t="inlineStr">
        <is>
          <t>RS 50020</t>
        </is>
      </c>
      <c r="C202" s="86" t="n">
        <v>0.5</v>
      </c>
      <c r="D202" s="86" t="n">
        <v>0.213</v>
      </c>
      <c r="E202" s="86" t="n">
        <v>0.25</v>
      </c>
    </row>
    <row r="203" ht="12.5" customHeight="1">
      <c r="A203" s="86" t="inlineStr">
        <is>
          <t>13RS050021</t>
        </is>
      </c>
      <c r="B203" s="86" t="inlineStr">
        <is>
          <t>RS 50021</t>
        </is>
      </c>
      <c r="C203" s="86" t="n">
        <v>0.5</v>
      </c>
      <c r="D203" s="86" t="n">
        <v>0.382</v>
      </c>
      <c r="E203" s="86" t="n">
        <v>0.625</v>
      </c>
    </row>
    <row r="204" ht="12.5" customHeight="1">
      <c r="A204" s="86" t="inlineStr">
        <is>
          <t>13RS050022</t>
        </is>
      </c>
      <c r="B204" s="86" t="inlineStr">
        <is>
          <t>RS 50022</t>
        </is>
      </c>
      <c r="C204" s="86" t="n">
        <v>0.5</v>
      </c>
      <c r="D204" s="86" t="n">
        <v>0.26</v>
      </c>
      <c r="E204" s="86" t="n">
        <v>0.25</v>
      </c>
    </row>
    <row r="205" ht="12.5" customHeight="1">
      <c r="A205" s="86" t="inlineStr">
        <is>
          <t>13RS050023</t>
        </is>
      </c>
      <c r="B205" s="86" t="inlineStr">
        <is>
          <t>RS 50023</t>
        </is>
      </c>
      <c r="C205" s="86" t="n">
        <v>0.5</v>
      </c>
      <c r="D205" s="86" t="n">
        <v>0.281</v>
      </c>
      <c r="E205" s="86" t="n">
        <v>0.8125</v>
      </c>
    </row>
    <row r="206" ht="12.5" customHeight="1">
      <c r="A206" s="86" t="inlineStr">
        <is>
          <t>13RS050024</t>
        </is>
      </c>
      <c r="B206" s="86" t="inlineStr">
        <is>
          <t>RS 50024</t>
        </is>
      </c>
      <c r="C206" s="86" t="n">
        <v>0.5</v>
      </c>
      <c r="D206" s="86" t="n">
        <v>0.22</v>
      </c>
      <c r="E206" s="86" t="n">
        <v>0.135</v>
      </c>
    </row>
    <row r="207" ht="12.5" customHeight="1">
      <c r="A207" s="86" t="inlineStr">
        <is>
          <t>13RS050025</t>
        </is>
      </c>
      <c r="B207" s="86" t="inlineStr">
        <is>
          <t>RS 50025</t>
        </is>
      </c>
      <c r="C207" s="86" t="n">
        <v>0.5</v>
      </c>
      <c r="D207" s="86" t="n">
        <v>0.17</v>
      </c>
      <c r="E207" s="86" t="n">
        <v>0.255</v>
      </c>
    </row>
    <row r="208" ht="12.5" customHeight="1">
      <c r="A208" s="86" t="inlineStr">
        <is>
          <t>13RS050027</t>
        </is>
      </c>
      <c r="B208" s="86" t="inlineStr">
        <is>
          <t>RS 50027</t>
        </is>
      </c>
      <c r="C208" s="86" t="n">
        <v>0.5</v>
      </c>
      <c r="D208" s="86" t="n">
        <v>0.17</v>
      </c>
      <c r="E208" s="86" t="n">
        <v>0.27</v>
      </c>
    </row>
    <row r="209" ht="12.5" customHeight="1">
      <c r="A209" s="86" t="inlineStr">
        <is>
          <t>13RS050028</t>
        </is>
      </c>
      <c r="B209" s="86" t="inlineStr">
        <is>
          <t>RS 50028</t>
        </is>
      </c>
      <c r="C209" s="86" t="n">
        <v>0.5</v>
      </c>
      <c r="D209" s="86" t="n">
        <v>0.312</v>
      </c>
      <c r="E209" s="86" t="n">
        <v>0.156</v>
      </c>
    </row>
    <row r="210" ht="12.5" customHeight="1">
      <c r="A210" s="86" t="inlineStr">
        <is>
          <t>13RS050031</t>
        </is>
      </c>
      <c r="B210" s="86" t="inlineStr">
        <is>
          <t>RS 50031</t>
        </is>
      </c>
      <c r="C210" s="86" t="n">
        <v>0.5</v>
      </c>
      <c r="D210" s="86" t="n">
        <v>0.382</v>
      </c>
      <c r="E210" s="86" t="n">
        <v>0.312</v>
      </c>
    </row>
    <row r="211" ht="12.5" customHeight="1">
      <c r="A211" s="86" t="inlineStr">
        <is>
          <t>13RS050040</t>
        </is>
      </c>
      <c r="B211" s="86" t="inlineStr">
        <is>
          <t>RS 50040</t>
        </is>
      </c>
      <c r="C211" s="86" t="n">
        <v>0.5</v>
      </c>
      <c r="D211" s="86" t="n">
        <v>0.344</v>
      </c>
      <c r="E211" s="86" t="n">
        <v>0.8125</v>
      </c>
    </row>
    <row r="212" ht="12.5" customHeight="1">
      <c r="A212" s="86" t="inlineStr">
        <is>
          <t>13RS050041</t>
        </is>
      </c>
      <c r="B212" s="86" t="inlineStr">
        <is>
          <t>RS 50041</t>
        </is>
      </c>
      <c r="C212" s="86" t="n">
        <v>0.5</v>
      </c>
      <c r="D212" s="86" t="n">
        <v>0.375</v>
      </c>
      <c r="E212" s="86" t="n">
        <v>0.225</v>
      </c>
    </row>
    <row r="213" ht="12.5" customHeight="1">
      <c r="A213" s="86" t="inlineStr">
        <is>
          <t>13RS050045</t>
        </is>
      </c>
      <c r="B213" s="86" t="inlineStr">
        <is>
          <t>RS 50045</t>
        </is>
      </c>
      <c r="C213" s="86" t="n">
        <v>0.5</v>
      </c>
      <c r="D213" s="86" t="n">
        <v>0.257</v>
      </c>
      <c r="E213" s="86" t="n">
        <v>0.406</v>
      </c>
    </row>
    <row r="214" ht="12.5" customHeight="1">
      <c r="A214" s="86" t="inlineStr">
        <is>
          <t>13RS050046</t>
        </is>
      </c>
      <c r="B214" s="86" t="inlineStr">
        <is>
          <t>RS 50046</t>
        </is>
      </c>
      <c r="C214" s="86" t="n">
        <v>0.5</v>
      </c>
      <c r="D214" s="86" t="n">
        <v>0.312</v>
      </c>
      <c r="E214" s="86" t="n">
        <v>1.3125</v>
      </c>
    </row>
    <row r="215" ht="12.5" customHeight="1">
      <c r="A215" s="86" t="inlineStr">
        <is>
          <t>13RS050047</t>
        </is>
      </c>
      <c r="B215" s="86" t="inlineStr">
        <is>
          <t>RS 50047</t>
        </is>
      </c>
      <c r="C215" s="86" t="n">
        <v>0.5</v>
      </c>
      <c r="D215" s="86" t="n">
        <v>0.368</v>
      </c>
      <c r="E215" s="86" t="n">
        <v>0.47</v>
      </c>
    </row>
    <row r="216" ht="12.5" customHeight="1">
      <c r="A216" s="86" t="inlineStr">
        <is>
          <t>13RS050050</t>
        </is>
      </c>
      <c r="B216" s="86" t="inlineStr">
        <is>
          <t>RS 50050</t>
        </is>
      </c>
      <c r="C216" s="86" t="n">
        <v>0.5</v>
      </c>
      <c r="D216" s="86" t="n">
        <v>0.328</v>
      </c>
      <c r="E216" s="86" t="n">
        <v>1</v>
      </c>
    </row>
    <row r="217" ht="12.5" customHeight="1">
      <c r="A217" s="86" t="inlineStr">
        <is>
          <t>13RS050055</t>
        </is>
      </c>
      <c r="B217" s="86" t="inlineStr">
        <is>
          <t>RS 50055</t>
        </is>
      </c>
      <c r="C217" s="86" t="n">
        <v>0.5</v>
      </c>
      <c r="D217" s="86" t="n">
        <v>0.383</v>
      </c>
      <c r="E217" s="86" t="n">
        <v>0.5</v>
      </c>
    </row>
    <row r="218" ht="12.5" customHeight="1">
      <c r="A218" s="86" t="inlineStr">
        <is>
          <t>13RS050060</t>
        </is>
      </c>
      <c r="B218" s="86" t="inlineStr">
        <is>
          <t>RS 50060</t>
        </is>
      </c>
      <c r="C218" s="86" t="n">
        <v>0.49</v>
      </c>
      <c r="D218" s="86" t="n">
        <v>0.257</v>
      </c>
      <c r="E218" s="86" t="n">
        <v>0.375</v>
      </c>
    </row>
    <row r="219" ht="12.5" customHeight="1">
      <c r="A219" s="86" t="inlineStr">
        <is>
          <t>13RS050061</t>
        </is>
      </c>
      <c r="B219" s="86" t="inlineStr">
        <is>
          <t>RS 50061</t>
        </is>
      </c>
      <c r="C219" s="86" t="n">
        <v>0.5</v>
      </c>
      <c r="D219" s="86" t="n">
        <v>0.335</v>
      </c>
      <c r="E219" s="86" t="n">
        <v>0.209</v>
      </c>
    </row>
    <row r="220" ht="12.5" customHeight="1">
      <c r="A220" s="86" t="inlineStr">
        <is>
          <t>13RS050062</t>
        </is>
      </c>
      <c r="B220" s="86" t="inlineStr">
        <is>
          <t>RS 50062</t>
        </is>
      </c>
      <c r="C220" s="86" t="n">
        <v>0.505</v>
      </c>
      <c r="D220" s="86" t="n">
        <v>0.385</v>
      </c>
      <c r="E220" s="86" t="n">
        <v>0.156</v>
      </c>
    </row>
    <row r="221" ht="12.5" customHeight="1">
      <c r="A221" s="86" t="inlineStr">
        <is>
          <t>13RS050063</t>
        </is>
      </c>
      <c r="B221" s="86" t="inlineStr">
        <is>
          <t>RS 50063</t>
        </is>
      </c>
      <c r="C221" s="86" t="n">
        <v>0.5</v>
      </c>
      <c r="D221" s="86" t="n">
        <v>0.285</v>
      </c>
      <c r="E221" s="86" t="n">
        <v>0.63</v>
      </c>
    </row>
    <row r="222" ht="12.5" customHeight="1">
      <c r="A222" s="86" t="inlineStr">
        <is>
          <t>13RS050064</t>
        </is>
      </c>
      <c r="B222" s="86" t="inlineStr">
        <is>
          <t>RS 50064</t>
        </is>
      </c>
      <c r="C222" s="86" t="n">
        <v>0.6830000000000001</v>
      </c>
      <c r="D222" s="86" t="n">
        <v>0.505</v>
      </c>
      <c r="E222" s="86" t="n">
        <v>0.5</v>
      </c>
    </row>
    <row r="223" ht="12.5" customHeight="1">
      <c r="A223" s="86" t="inlineStr">
        <is>
          <t>13RS050065</t>
        </is>
      </c>
      <c r="B223" s="86" t="inlineStr">
        <is>
          <t>RS 50065</t>
        </is>
      </c>
      <c r="C223" s="86" t="n">
        <v>0.5</v>
      </c>
      <c r="D223" s="86" t="n">
        <v>0.395</v>
      </c>
      <c r="E223" s="86" t="n">
        <v>0.314</v>
      </c>
    </row>
    <row r="224" ht="12.5" customHeight="1">
      <c r="A224" s="86" t="inlineStr">
        <is>
          <t>13RS050070</t>
        </is>
      </c>
      <c r="B224" s="86" t="inlineStr">
        <is>
          <t>RS 50070</t>
        </is>
      </c>
      <c r="C224" s="86" t="n">
        <v>0.5</v>
      </c>
      <c r="D224" s="86" t="n">
        <v>0.316</v>
      </c>
      <c r="E224" s="86" t="n">
        <v>0.5</v>
      </c>
    </row>
    <row r="225" ht="12.5" customHeight="1">
      <c r="A225" s="86" t="inlineStr">
        <is>
          <t>13RS050071</t>
        </is>
      </c>
      <c r="B225" s="86" t="inlineStr">
        <is>
          <t>RS 50071</t>
        </is>
      </c>
      <c r="C225" s="86" t="n">
        <v>0.5</v>
      </c>
      <c r="D225" s="86" t="n">
        <v>0.316</v>
      </c>
      <c r="E225" s="86" t="n">
        <v>0.234</v>
      </c>
    </row>
    <row r="226" ht="12.5" customHeight="1">
      <c r="A226" s="86" t="inlineStr">
        <is>
          <t>13RS050080</t>
        </is>
      </c>
      <c r="B226" s="86" t="inlineStr">
        <is>
          <t>RS 50080</t>
        </is>
      </c>
      <c r="C226" s="86" t="n">
        <v>0.5</v>
      </c>
      <c r="D226" s="86" t="n">
        <v>0.38</v>
      </c>
      <c r="E226" s="86" t="n">
        <v>0.422</v>
      </c>
    </row>
    <row r="227" ht="12.5" customHeight="1">
      <c r="A227" s="86" t="inlineStr">
        <is>
          <t>13RS050082</t>
        </is>
      </c>
      <c r="B227" s="86" t="inlineStr">
        <is>
          <t>RS 50082</t>
        </is>
      </c>
      <c r="C227" s="86" t="n">
        <v>0.5</v>
      </c>
      <c r="D227" s="86" t="n">
        <v>0.375</v>
      </c>
      <c r="E227" s="86" t="n">
        <v>0.4375</v>
      </c>
    </row>
    <row r="228" ht="12.5" customHeight="1">
      <c r="A228" s="86" t="inlineStr">
        <is>
          <t>13RS050085</t>
        </is>
      </c>
      <c r="B228" s="86" t="inlineStr">
        <is>
          <t>RS 50085</t>
        </is>
      </c>
      <c r="C228" s="86" t="n">
        <v>0.5</v>
      </c>
      <c r="D228" s="86" t="n">
        <v>0.281</v>
      </c>
      <c r="E228" s="86" t="n">
        <v>0.375</v>
      </c>
    </row>
    <row r="229" ht="12.5" customHeight="1">
      <c r="A229" s="86" t="inlineStr">
        <is>
          <t>13RS050088</t>
        </is>
      </c>
      <c r="B229" s="86" t="inlineStr">
        <is>
          <t>RS 50088</t>
        </is>
      </c>
      <c r="C229" s="86" t="n">
        <v>0.5</v>
      </c>
      <c r="D229" s="86" t="n">
        <v>0.26</v>
      </c>
      <c r="E229" s="86" t="n">
        <v>1.625</v>
      </c>
    </row>
    <row r="230" ht="12.5" customHeight="1">
      <c r="A230" s="86" t="inlineStr">
        <is>
          <t>13RS050089</t>
        </is>
      </c>
      <c r="B230" s="86" t="inlineStr">
        <is>
          <t>RS 50089</t>
        </is>
      </c>
      <c r="C230" s="86" t="n">
        <v>0.5</v>
      </c>
      <c r="D230" s="86" t="n">
        <v>0.375</v>
      </c>
      <c r="E230" s="86" t="n">
        <v>0.38</v>
      </c>
    </row>
    <row r="231" ht="12.5" customHeight="1">
      <c r="A231" s="86" t="inlineStr">
        <is>
          <t>13RS050090</t>
        </is>
      </c>
      <c r="B231" s="86" t="inlineStr">
        <is>
          <t>RS 50090</t>
        </is>
      </c>
      <c r="C231" s="86" t="n">
        <v>0.5</v>
      </c>
      <c r="D231" s="86" t="n">
        <v>0.375</v>
      </c>
      <c r="E231" s="86" t="n">
        <v>0.625</v>
      </c>
    </row>
    <row r="232" ht="12.5" customHeight="1">
      <c r="A232" s="86" t="inlineStr">
        <is>
          <t>13RS050091</t>
        </is>
      </c>
      <c r="B232" s="86" t="inlineStr">
        <is>
          <t>RS 50091</t>
        </is>
      </c>
      <c r="C232" s="86" t="n">
        <v>0.5</v>
      </c>
      <c r="D232" s="86" t="n">
        <v>0.375</v>
      </c>
      <c r="E232" s="86" t="n">
        <v>0.635</v>
      </c>
    </row>
    <row r="233" ht="12.5" customHeight="1">
      <c r="A233" s="86" t="inlineStr">
        <is>
          <t>13RS050093</t>
        </is>
      </c>
      <c r="B233" s="86" t="inlineStr">
        <is>
          <t>RS 50093</t>
        </is>
      </c>
      <c r="C233" s="86" t="n">
        <v>0.5</v>
      </c>
      <c r="D233" s="86" t="n">
        <v>0.285</v>
      </c>
      <c r="E233" s="86" t="n">
        <v>0.93</v>
      </c>
    </row>
    <row r="234" ht="12.5" customHeight="1">
      <c r="A234" s="86" t="inlineStr">
        <is>
          <t>13RS050094</t>
        </is>
      </c>
      <c r="B234" s="86" t="inlineStr">
        <is>
          <t>RS 50094</t>
        </is>
      </c>
      <c r="C234" s="86" t="n">
        <v>0.5</v>
      </c>
      <c r="D234" s="86" t="n">
        <v>0.375</v>
      </c>
      <c r="E234" s="86" t="n">
        <v>0.6875</v>
      </c>
    </row>
    <row r="235" ht="12.5" customHeight="1">
      <c r="A235" s="86" t="inlineStr">
        <is>
          <t>13RS050095</t>
        </is>
      </c>
      <c r="B235" s="86" t="inlineStr">
        <is>
          <t>RS 50095</t>
        </is>
      </c>
      <c r="C235" s="86" t="n">
        <v>0.5</v>
      </c>
      <c r="D235" s="86" t="n">
        <v>0.385</v>
      </c>
      <c r="E235" s="86" t="n">
        <v>1</v>
      </c>
    </row>
    <row r="236" ht="12.5" customHeight="1">
      <c r="A236" s="86" t="inlineStr">
        <is>
          <t>13RS050096</t>
        </is>
      </c>
      <c r="B236" s="86" t="inlineStr">
        <is>
          <t>RS 50096</t>
        </is>
      </c>
      <c r="C236" s="86" t="n">
        <v>0.5</v>
      </c>
      <c r="D236" s="86" t="n">
        <v>0.26</v>
      </c>
      <c r="E236" s="86" t="n">
        <v>1.375</v>
      </c>
    </row>
    <row r="237" ht="12.5" customHeight="1">
      <c r="A237" s="86" t="inlineStr">
        <is>
          <t>13RS050097</t>
        </is>
      </c>
      <c r="B237" s="86" t="inlineStr">
        <is>
          <t>RS 50097</t>
        </is>
      </c>
      <c r="C237" s="86" t="n">
        <v>0.515</v>
      </c>
      <c r="D237" s="86" t="n">
        <v>0.445</v>
      </c>
      <c r="E237" s="86" t="n">
        <v>0.38</v>
      </c>
    </row>
    <row r="238" ht="12.5" customHeight="1">
      <c r="A238" s="86" t="inlineStr">
        <is>
          <t>13RS051001</t>
        </is>
      </c>
      <c r="B238" s="86" t="inlineStr">
        <is>
          <t>RS 51001</t>
        </is>
      </c>
      <c r="C238" s="86" t="n">
        <v>0.51</v>
      </c>
      <c r="D238" s="86" t="n">
        <v>0.39</v>
      </c>
      <c r="E238" s="86" t="n">
        <v>0.25</v>
      </c>
    </row>
    <row r="239" ht="12.5" customHeight="1">
      <c r="A239" s="86" t="inlineStr">
        <is>
          <t>13RS051062</t>
        </is>
      </c>
      <c r="B239" s="86" t="inlineStr">
        <is>
          <t>RS 51062</t>
        </is>
      </c>
      <c r="C239" s="86" t="n">
        <v>0.51</v>
      </c>
      <c r="D239" s="86" t="n">
        <v>0.32</v>
      </c>
      <c r="E239" s="86" t="n">
        <v>0.875</v>
      </c>
    </row>
    <row r="240" ht="12.5" customHeight="1">
      <c r="A240" s="86" t="inlineStr">
        <is>
          <t>13RS052001</t>
        </is>
      </c>
      <c r="B240" s="86" t="inlineStr">
        <is>
          <t>RS 52001</t>
        </is>
      </c>
      <c r="C240" s="86" t="n">
        <v>0.518</v>
      </c>
      <c r="D240" s="86" t="n">
        <v>0.382</v>
      </c>
      <c r="E240" s="86" t="n">
        <v>0.28</v>
      </c>
    </row>
    <row r="241" ht="12.5" customHeight="1">
      <c r="A241" s="86" t="inlineStr">
        <is>
          <t>13RS052002</t>
        </is>
      </c>
      <c r="B241" s="86" t="inlineStr">
        <is>
          <t>RS 52002</t>
        </is>
      </c>
      <c r="C241" s="86" t="n">
        <v>0.533</v>
      </c>
      <c r="D241" s="86" t="n">
        <v>0.219</v>
      </c>
      <c r="E241" s="86" t="n">
        <v>0.36</v>
      </c>
    </row>
    <row r="242" ht="12.5" customHeight="1">
      <c r="A242" s="86" t="inlineStr">
        <is>
          <t>13RS053546</t>
        </is>
      </c>
      <c r="B242" s="86" t="inlineStr">
        <is>
          <t>RS 53546</t>
        </is>
      </c>
      <c r="C242" s="86" t="n">
        <v>0.535</v>
      </c>
      <c r="D242" s="86" t="n">
        <v>0.25</v>
      </c>
      <c r="E242" s="86" t="n">
        <v>0.61</v>
      </c>
    </row>
    <row r="243" ht="12.5" customHeight="1">
      <c r="A243" s="86" t="inlineStr">
        <is>
          <t>13RS056030</t>
        </is>
      </c>
      <c r="B243" s="86" t="inlineStr">
        <is>
          <t>RS 56030</t>
        </is>
      </c>
      <c r="C243" s="86" t="n">
        <v>0.5600000000000001</v>
      </c>
      <c r="D243" s="86" t="n">
        <v>0.379</v>
      </c>
      <c r="E243" s="86" t="n">
        <v>0.375</v>
      </c>
    </row>
    <row r="244" ht="12.5" customHeight="1">
      <c r="A244" s="86" t="inlineStr">
        <is>
          <t>13RS056031</t>
        </is>
      </c>
      <c r="B244" s="86" t="inlineStr">
        <is>
          <t>RS 56031</t>
        </is>
      </c>
      <c r="C244" s="86" t="n">
        <v>0.5620000000000001</v>
      </c>
      <c r="D244" s="86" t="n">
        <v>0.375</v>
      </c>
      <c r="E244" s="86" t="n">
        <v>0.5</v>
      </c>
    </row>
    <row r="245" ht="12.5" customHeight="1">
      <c r="A245" s="86" t="inlineStr">
        <is>
          <t>13RS056032</t>
        </is>
      </c>
      <c r="B245" s="86" t="inlineStr">
        <is>
          <t>RS 56032</t>
        </is>
      </c>
      <c r="C245" s="86" t="n">
        <v>0.5629999999999999</v>
      </c>
      <c r="D245" s="86" t="n">
        <v>0.453</v>
      </c>
      <c r="E245" s="86" t="n">
        <v>0.281</v>
      </c>
    </row>
    <row r="246" ht="12.5" customHeight="1">
      <c r="A246" s="86" t="inlineStr">
        <is>
          <t>13RS056033</t>
        </is>
      </c>
      <c r="B246" s="86" t="inlineStr">
        <is>
          <t>RS 56033</t>
        </is>
      </c>
      <c r="C246" s="86" t="n">
        <v>0.5600000000000001</v>
      </c>
      <c r="D246" s="86" t="n">
        <v>0.28</v>
      </c>
      <c r="E246" s="86" t="n">
        <v>0.5</v>
      </c>
    </row>
    <row r="247" ht="12.5" customHeight="1">
      <c r="A247" s="86" t="inlineStr">
        <is>
          <t>13RS056034</t>
        </is>
      </c>
      <c r="B247" s="86" t="inlineStr">
        <is>
          <t>RS 56034</t>
        </is>
      </c>
      <c r="C247" s="86" t="n">
        <v>0.5629999999999999</v>
      </c>
      <c r="D247" s="86" t="n">
        <v>0.34</v>
      </c>
      <c r="E247" s="86" t="n">
        <v>0.31</v>
      </c>
    </row>
    <row r="248" ht="12.5" customHeight="1">
      <c r="A248" s="86" t="inlineStr">
        <is>
          <t>13RS056256</t>
        </is>
      </c>
      <c r="B248" s="86" t="inlineStr">
        <is>
          <t>RS 56256</t>
        </is>
      </c>
      <c r="C248" s="86" t="n">
        <v>0.555</v>
      </c>
      <c r="D248" s="86" t="n">
        <v>0.245</v>
      </c>
      <c r="E248" s="86" t="n">
        <v>0.5625</v>
      </c>
    </row>
    <row r="249" ht="12.5" customHeight="1">
      <c r="A249" s="86" t="inlineStr">
        <is>
          <t>13RS056337</t>
        </is>
      </c>
      <c r="B249" s="86" t="inlineStr">
        <is>
          <t>RS 56337</t>
        </is>
      </c>
      <c r="C249" s="86" t="n">
        <v>0.5629999999999999</v>
      </c>
      <c r="D249" s="86" t="n">
        <v>0.281</v>
      </c>
      <c r="E249" s="86" t="n">
        <v>0.375</v>
      </c>
    </row>
    <row r="250" ht="12.5" customHeight="1">
      <c r="A250" s="86" t="inlineStr">
        <is>
          <t>13RS056656</t>
        </is>
      </c>
      <c r="B250" s="86" t="inlineStr">
        <is>
          <t>RS 56656</t>
        </is>
      </c>
      <c r="C250" s="86" t="n">
        <v>0.5649999999999999</v>
      </c>
      <c r="D250" s="86" t="n">
        <v>0.33</v>
      </c>
      <c r="E250" s="86" t="n">
        <v>0.5600000000000001</v>
      </c>
    </row>
    <row r="251" ht="12.5" customHeight="1">
      <c r="A251" s="86" t="inlineStr">
        <is>
          <t>13RS056718</t>
        </is>
      </c>
      <c r="B251" s="86" t="inlineStr">
        <is>
          <t>RS 56718</t>
        </is>
      </c>
      <c r="C251" s="86" t="n">
        <v>0.5669999999999999</v>
      </c>
      <c r="D251" s="86" t="n">
        <v>0.318</v>
      </c>
      <c r="E251" s="86" t="n">
        <v>0.547</v>
      </c>
    </row>
    <row r="252" ht="12.5" customHeight="1">
      <c r="A252" s="86" t="inlineStr">
        <is>
          <t>13RS056740</t>
        </is>
      </c>
      <c r="B252" s="86" t="inlineStr">
        <is>
          <t>RS 56740</t>
        </is>
      </c>
      <c r="C252" s="86" t="n">
        <v>0.5669999999999999</v>
      </c>
      <c r="D252" s="86" t="n">
        <v>0.437</v>
      </c>
      <c r="E252" s="86" t="n">
        <v>0.406</v>
      </c>
    </row>
    <row r="253" ht="12.5" customHeight="1">
      <c r="A253" s="86" t="inlineStr">
        <is>
          <t>13RS057032</t>
        </is>
      </c>
      <c r="B253" s="86" t="inlineStr">
        <is>
          <t>RS 57032</t>
        </is>
      </c>
      <c r="C253" s="86" t="n">
        <v>0.57</v>
      </c>
      <c r="D253" s="86" t="n">
        <v>0.32</v>
      </c>
      <c r="E253" s="86" t="n">
        <v>0.547</v>
      </c>
    </row>
    <row r="254" ht="12.5" customHeight="1">
      <c r="A254" s="86" t="inlineStr">
        <is>
          <t>13RS057033</t>
        </is>
      </c>
      <c r="B254" s="86" t="inlineStr">
        <is>
          <t>RS 57033</t>
        </is>
      </c>
      <c r="C254" s="86" t="n">
        <v>0.589</v>
      </c>
      <c r="D254" s="86" t="n">
        <v>0.312</v>
      </c>
      <c r="E254" s="86" t="n">
        <v>0.31</v>
      </c>
    </row>
    <row r="255" ht="12.5" customHeight="1">
      <c r="A255" s="86" t="inlineStr">
        <is>
          <t>13RS059031</t>
        </is>
      </c>
      <c r="B255" s="86" t="inlineStr">
        <is>
          <t>RS 59031</t>
        </is>
      </c>
      <c r="C255" s="86" t="n">
        <v>0.59</v>
      </c>
      <c r="D255" s="86" t="n">
        <v>0.314</v>
      </c>
      <c r="E255" s="86" t="n">
        <v>0.359</v>
      </c>
    </row>
    <row r="256" ht="12.5" customHeight="1">
      <c r="A256" s="86" t="inlineStr">
        <is>
          <t>13RS059032</t>
        </is>
      </c>
      <c r="B256" s="86" t="inlineStr">
        <is>
          <t>RS 59032</t>
        </is>
      </c>
      <c r="C256" s="86" t="n">
        <v>0.59</v>
      </c>
      <c r="D256" s="86" t="n">
        <v>0.319</v>
      </c>
      <c r="E256" s="86" t="n">
        <v>0.655</v>
      </c>
    </row>
    <row r="257" ht="12.5" customHeight="1">
      <c r="A257" s="86" t="inlineStr">
        <is>
          <t>13RS060550</t>
        </is>
      </c>
      <c r="B257" s="86" t="inlineStr">
        <is>
          <t>RS 60550</t>
        </is>
      </c>
      <c r="C257" s="86" t="n">
        <v>0.606</v>
      </c>
      <c r="D257" s="86" t="n">
        <v>0.203</v>
      </c>
      <c r="E257" s="86" t="n">
        <v>0.625</v>
      </c>
    </row>
    <row r="258" ht="12.5" customHeight="1">
      <c r="A258" s="86" t="inlineStr">
        <is>
          <t>13RS060551</t>
        </is>
      </c>
      <c r="B258" s="86" t="inlineStr">
        <is>
          <t>RS 60551</t>
        </is>
      </c>
      <c r="C258" s="86" t="n">
        <v>0.602</v>
      </c>
      <c r="D258" s="86" t="n">
        <v>0.25</v>
      </c>
      <c r="E258" s="86" t="n">
        <v>0.622</v>
      </c>
    </row>
    <row r="259" ht="12.5" customHeight="1">
      <c r="A259" s="86" t="inlineStr">
        <is>
          <t>13RS061018</t>
        </is>
      </c>
      <c r="B259" s="86" t="inlineStr">
        <is>
          <t>RS 61018</t>
        </is>
      </c>
      <c r="C259" s="86" t="n">
        <v>0.615</v>
      </c>
      <c r="D259" s="86" t="n">
        <v>0.385</v>
      </c>
      <c r="E259" s="86" t="n">
        <v>0.1875</v>
      </c>
    </row>
    <row r="260" ht="12.5" customHeight="1">
      <c r="A260" s="86" t="inlineStr">
        <is>
          <t>13RS061019</t>
        </is>
      </c>
      <c r="B260" s="86" t="inlineStr">
        <is>
          <t>RS 61019</t>
        </is>
      </c>
      <c r="C260" s="86" t="n">
        <v>0.615</v>
      </c>
      <c r="D260" s="86" t="n">
        <v>0.325</v>
      </c>
      <c r="E260" s="86" t="n">
        <v>0.8129999999999999</v>
      </c>
    </row>
    <row r="261" ht="12.5" customHeight="1">
      <c r="A261" s="86" t="inlineStr">
        <is>
          <t>13RS061020</t>
        </is>
      </c>
      <c r="B261" s="86" t="inlineStr">
        <is>
          <t>RS 61020</t>
        </is>
      </c>
      <c r="C261" s="86" t="n">
        <v>0.615</v>
      </c>
      <c r="D261" s="86" t="n">
        <v>0.328</v>
      </c>
      <c r="E261" s="86" t="n">
        <v>0.438</v>
      </c>
    </row>
    <row r="262" ht="12.5" customHeight="1">
      <c r="A262" s="86" t="inlineStr">
        <is>
          <t>13RS061731</t>
        </is>
      </c>
      <c r="B262" s="86" t="inlineStr">
        <is>
          <t>RS 61731</t>
        </is>
      </c>
      <c r="C262" s="86" t="n">
        <v>0.617</v>
      </c>
      <c r="D262" s="86" t="n">
        <v>0.313</v>
      </c>
      <c r="E262" s="86" t="n">
        <v>0.6875</v>
      </c>
    </row>
    <row r="263" ht="12.5" customHeight="1">
      <c r="A263" s="86" t="inlineStr">
        <is>
          <t>13RS062012</t>
        </is>
      </c>
      <c r="B263" s="86" t="inlineStr">
        <is>
          <t>RS 62012</t>
        </is>
      </c>
      <c r="C263" s="86" t="n">
        <v>0.62</v>
      </c>
      <c r="D263" s="86" t="n">
        <v>0.35</v>
      </c>
      <c r="E263" s="86" t="n">
        <v>0.1875</v>
      </c>
    </row>
    <row r="264" ht="12.5" customHeight="1">
      <c r="A264" s="86" t="inlineStr">
        <is>
          <t>13RS062035</t>
        </is>
      </c>
      <c r="B264" s="86" t="inlineStr">
        <is>
          <t>RS 62035</t>
        </is>
      </c>
      <c r="C264" s="86" t="n">
        <v>0.62</v>
      </c>
      <c r="D264" s="86" t="n">
        <v>0.507</v>
      </c>
      <c r="E264" s="86" t="n">
        <v>1.6875</v>
      </c>
    </row>
    <row r="265" ht="12.5" customHeight="1">
      <c r="A265" s="86" t="inlineStr">
        <is>
          <t>13RS062040</t>
        </is>
      </c>
      <c r="B265" s="86" t="inlineStr">
        <is>
          <t>RS 62040</t>
        </is>
      </c>
      <c r="C265" s="86" t="n">
        <v>0.62</v>
      </c>
      <c r="D265" s="86" t="n">
        <v>0.504</v>
      </c>
      <c r="E265" s="86" t="n">
        <v>0.8125</v>
      </c>
    </row>
    <row r="266" ht="12.5" customHeight="1">
      <c r="A266" s="86" t="inlineStr">
        <is>
          <t>13RS062062</t>
        </is>
      </c>
      <c r="B266" s="86" t="inlineStr">
        <is>
          <t>RS 62062</t>
        </is>
      </c>
      <c r="C266" s="86" t="n">
        <v>0.62</v>
      </c>
      <c r="D266" s="86" t="n">
        <v>0.504</v>
      </c>
      <c r="E266" s="86" t="n">
        <v>0.625</v>
      </c>
    </row>
    <row r="267" ht="12.5" customHeight="1">
      <c r="A267" s="86" t="inlineStr">
        <is>
          <t>13RS062331</t>
        </is>
      </c>
      <c r="B267" s="86" t="inlineStr">
        <is>
          <t>RS 62331</t>
        </is>
      </c>
      <c r="C267" s="86" t="n">
        <v>0.623</v>
      </c>
      <c r="D267" s="86" t="n">
        <v>0.311</v>
      </c>
      <c r="E267" s="86" t="n">
        <v>0.8125</v>
      </c>
    </row>
    <row r="268" ht="12.5" customHeight="1">
      <c r="A268" s="86" t="inlineStr">
        <is>
          <t>13RS062514</t>
        </is>
      </c>
      <c r="B268" s="86" t="inlineStr">
        <is>
          <t>RS 62514</t>
        </is>
      </c>
      <c r="C268" s="86" t="n">
        <v>0.625</v>
      </c>
      <c r="D268" s="86" t="n">
        <v>0.16</v>
      </c>
      <c r="E268" s="86" t="n">
        <v>0.312</v>
      </c>
    </row>
    <row r="269" ht="12.5" customHeight="1">
      <c r="A269" s="86" t="inlineStr">
        <is>
          <t>13RS062515</t>
        </is>
      </c>
      <c r="B269" s="86" t="inlineStr">
        <is>
          <t>RS 62515</t>
        </is>
      </c>
      <c r="C269" s="86" t="n">
        <v>0.62</v>
      </c>
      <c r="D269" s="86" t="n">
        <v>0.323</v>
      </c>
      <c r="E269" s="86" t="n">
        <v>0.156</v>
      </c>
    </row>
    <row r="270" ht="12.5" customHeight="1">
      <c r="A270" s="86" t="inlineStr">
        <is>
          <t>13RS062516</t>
        </is>
      </c>
      <c r="B270" s="86" t="inlineStr">
        <is>
          <t>RS 62516</t>
        </is>
      </c>
      <c r="C270" s="86" t="n">
        <v>0.625</v>
      </c>
      <c r="D270" s="86" t="n">
        <v>0.312</v>
      </c>
      <c r="E270" s="86" t="n">
        <v>0.75</v>
      </c>
    </row>
    <row r="271" ht="12.5" customHeight="1">
      <c r="A271" s="86" t="inlineStr">
        <is>
          <t>13RS062517</t>
        </is>
      </c>
      <c r="B271" s="86" t="inlineStr">
        <is>
          <t>RS 62517</t>
        </is>
      </c>
      <c r="C271" s="86" t="n">
        <v>0.621</v>
      </c>
      <c r="D271" s="86" t="n">
        <v>0.254</v>
      </c>
      <c r="E271" s="86" t="n">
        <v>0.652</v>
      </c>
    </row>
    <row r="272" ht="12.5" customHeight="1">
      <c r="A272" s="86" t="inlineStr">
        <is>
          <t>13RS062519</t>
        </is>
      </c>
      <c r="B272" s="86" t="inlineStr">
        <is>
          <t>RS 62519</t>
        </is>
      </c>
      <c r="C272" s="86" t="n">
        <v>0.625</v>
      </c>
      <c r="D272" s="86" t="n">
        <v>0.191</v>
      </c>
      <c r="E272" s="86" t="n">
        <v>0.25</v>
      </c>
    </row>
    <row r="273" ht="12.5" customHeight="1">
      <c r="A273" s="86" t="inlineStr">
        <is>
          <t>13RS062520</t>
        </is>
      </c>
      <c r="B273" s="86" t="inlineStr">
        <is>
          <t>RS 62520</t>
        </is>
      </c>
      <c r="C273" s="86" t="n">
        <v>0.63</v>
      </c>
      <c r="D273" s="86" t="n">
        <v>0.5</v>
      </c>
      <c r="E273" s="86" t="n">
        <v>1.25</v>
      </c>
    </row>
    <row r="274" ht="12.5" customHeight="1">
      <c r="A274" s="86" t="inlineStr">
        <is>
          <t>13RS062521</t>
        </is>
      </c>
      <c r="B274" s="86" t="inlineStr">
        <is>
          <t>RS 62521</t>
        </is>
      </c>
      <c r="C274" s="86" t="n">
        <v>0.625</v>
      </c>
      <c r="D274" s="86" t="n">
        <v>0.14</v>
      </c>
      <c r="E274" s="86" t="n">
        <v>0.375</v>
      </c>
    </row>
    <row r="275" ht="12.5" customHeight="1">
      <c r="A275" s="86" t="inlineStr">
        <is>
          <t>13RS062522</t>
        </is>
      </c>
      <c r="B275" s="86" t="inlineStr">
        <is>
          <t>RS 62522</t>
        </is>
      </c>
      <c r="C275" s="86" t="n">
        <v>0.625</v>
      </c>
      <c r="D275" s="86" t="n">
        <v>0.435</v>
      </c>
      <c r="E275" s="86" t="n">
        <v>0.25</v>
      </c>
    </row>
    <row r="276" ht="12.5" customHeight="1">
      <c r="A276" s="86" t="inlineStr">
        <is>
          <t>13RS062523</t>
        </is>
      </c>
      <c r="B276" s="86" t="inlineStr">
        <is>
          <t>RS 62523</t>
        </is>
      </c>
      <c r="C276" s="86" t="n">
        <v>0.635</v>
      </c>
      <c r="D276" s="86" t="n">
        <v>0.385</v>
      </c>
      <c r="E276" s="86" t="n">
        <v>0.23</v>
      </c>
    </row>
    <row r="277" ht="12.5" customHeight="1">
      <c r="A277" s="86" t="inlineStr">
        <is>
          <t>13RS062524</t>
        </is>
      </c>
      <c r="B277" s="86" t="inlineStr">
        <is>
          <t>RS 62524</t>
        </is>
      </c>
      <c r="C277" s="86" t="n">
        <v>0.625</v>
      </c>
      <c r="D277" s="86" t="n">
        <v>0.412</v>
      </c>
      <c r="E277" s="86" t="n">
        <v>0.155</v>
      </c>
    </row>
    <row r="278" ht="12.5" customHeight="1">
      <c r="A278" s="86" t="inlineStr">
        <is>
          <t>13RS062525</t>
        </is>
      </c>
      <c r="B278" s="86" t="inlineStr">
        <is>
          <t>RS 62525</t>
        </is>
      </c>
      <c r="C278" s="86" t="n">
        <v>0.625</v>
      </c>
      <c r="D278" s="86" t="n">
        <v>0.39</v>
      </c>
      <c r="E278" s="86" t="n">
        <v>0.25</v>
      </c>
    </row>
    <row r="279" ht="12.5" customHeight="1">
      <c r="A279" s="86" t="inlineStr">
        <is>
          <t>13RS062526</t>
        </is>
      </c>
      <c r="B279" s="86" t="inlineStr">
        <is>
          <t>RS 62526</t>
        </is>
      </c>
      <c r="C279" s="86" t="n">
        <v>0.625</v>
      </c>
      <c r="D279" s="86" t="n">
        <v>0.38</v>
      </c>
      <c r="E279" s="86" t="n">
        <v>0.75</v>
      </c>
    </row>
    <row r="280" ht="12.5" customHeight="1">
      <c r="A280" s="86" t="inlineStr">
        <is>
          <t>13RS062527</t>
        </is>
      </c>
      <c r="B280" s="86" t="inlineStr">
        <is>
          <t>RS 62527</t>
        </is>
      </c>
      <c r="C280" s="86" t="n">
        <v>0.625</v>
      </c>
      <c r="D280" s="86" t="n">
        <v>0.328</v>
      </c>
      <c r="E280" s="86" t="n">
        <v>0.25</v>
      </c>
    </row>
    <row r="281" ht="12.5" customHeight="1">
      <c r="A281" s="86" t="inlineStr">
        <is>
          <t>13RS062528</t>
        </is>
      </c>
      <c r="B281" s="86" t="inlineStr">
        <is>
          <t>RS 62528</t>
        </is>
      </c>
      <c r="C281" s="86" t="n">
        <v>0.625</v>
      </c>
      <c r="D281" s="86" t="n">
        <v>0.28</v>
      </c>
      <c r="E281" s="86" t="n">
        <v>0.4375</v>
      </c>
    </row>
    <row r="282" ht="12.5" customHeight="1">
      <c r="A282" s="86" t="inlineStr">
        <is>
          <t>13RS062530</t>
        </is>
      </c>
      <c r="B282" s="86" t="inlineStr">
        <is>
          <t>RS 62530</t>
        </is>
      </c>
      <c r="C282" s="86" t="n">
        <v>0.61</v>
      </c>
      <c r="D282" s="86" t="n">
        <v>0.25</v>
      </c>
      <c r="E282" s="86" t="n">
        <v>0.375</v>
      </c>
    </row>
    <row r="283" ht="12.5" customHeight="1">
      <c r="A283" s="86" t="inlineStr">
        <is>
          <t>13RS062531</t>
        </is>
      </c>
      <c r="B283" s="86" t="inlineStr">
        <is>
          <t>RS 62531</t>
        </is>
      </c>
      <c r="C283" s="86" t="n">
        <v>0.625</v>
      </c>
      <c r="D283" s="86" t="n">
        <v>0.26</v>
      </c>
      <c r="E283" s="86" t="n">
        <v>0.25</v>
      </c>
    </row>
    <row r="284" ht="12.5" customHeight="1">
      <c r="A284" s="86" t="inlineStr">
        <is>
          <t>13RS062532</t>
        </is>
      </c>
      <c r="B284" s="86" t="inlineStr">
        <is>
          <t>RS 62532</t>
        </is>
      </c>
      <c r="C284" s="86" t="n">
        <v>0.625</v>
      </c>
      <c r="D284" s="86" t="n">
        <v>0.281</v>
      </c>
      <c r="E284" s="86" t="n">
        <v>0.5620000000000001</v>
      </c>
    </row>
    <row r="285" ht="12.5" customHeight="1">
      <c r="A285" s="86" t="inlineStr">
        <is>
          <t>13RS062535</t>
        </is>
      </c>
      <c r="B285" s="86" t="inlineStr">
        <is>
          <t>RS 62535</t>
        </is>
      </c>
      <c r="C285" s="86" t="n">
        <v>0.625</v>
      </c>
      <c r="D285" s="86" t="n">
        <v>0.5</v>
      </c>
      <c r="E285" s="86" t="n">
        <v>0.3125</v>
      </c>
    </row>
    <row r="286" ht="12.5" customHeight="1">
      <c r="A286" s="86" t="inlineStr">
        <is>
          <t>13RS062536</t>
        </is>
      </c>
      <c r="B286" s="86" t="inlineStr">
        <is>
          <t>RS 62536</t>
        </is>
      </c>
      <c r="C286" s="86" t="n">
        <v>0.625</v>
      </c>
      <c r="D286" s="86" t="n">
        <v>0.5</v>
      </c>
      <c r="E286" s="86" t="n">
        <v>0.375</v>
      </c>
    </row>
    <row r="287" ht="12.5" customHeight="1">
      <c r="A287" s="86" t="inlineStr">
        <is>
          <t>13RS062537</t>
        </is>
      </c>
      <c r="B287" s="86" t="inlineStr">
        <is>
          <t>RS 62537</t>
        </is>
      </c>
      <c r="C287" s="86" t="n">
        <v>0.625</v>
      </c>
      <c r="D287" s="86" t="n">
        <v>0.342</v>
      </c>
      <c r="E287" s="86" t="n">
        <v>0.375</v>
      </c>
    </row>
    <row r="288" ht="12.5" customHeight="1">
      <c r="A288" s="86" t="inlineStr">
        <is>
          <t>13RS062540</t>
        </is>
      </c>
      <c r="B288" s="86" t="inlineStr">
        <is>
          <t>RS 62540</t>
        </is>
      </c>
      <c r="C288" s="86" t="n">
        <v>0.625</v>
      </c>
      <c r="D288" s="86" t="n">
        <v>0.375</v>
      </c>
      <c r="E288" s="86" t="n">
        <v>0.375</v>
      </c>
    </row>
    <row r="289" ht="12.5" customHeight="1">
      <c r="A289" s="86" t="inlineStr">
        <is>
          <t>13RS062541</t>
        </is>
      </c>
      <c r="B289" s="86" t="inlineStr">
        <is>
          <t>RS 62541</t>
        </is>
      </c>
      <c r="C289" s="86" t="n">
        <v>0.625</v>
      </c>
      <c r="D289" s="86" t="n">
        <v>0.312</v>
      </c>
      <c r="E289" s="86" t="n">
        <v>0.5</v>
      </c>
    </row>
    <row r="290" ht="12.5" customHeight="1">
      <c r="A290" s="86" t="inlineStr">
        <is>
          <t>13RS062546</t>
        </is>
      </c>
      <c r="B290" s="86" t="inlineStr">
        <is>
          <t>RS 62546</t>
        </is>
      </c>
      <c r="C290" s="86" t="n">
        <v>0.625</v>
      </c>
      <c r="D290" s="86" t="n">
        <v>0.375</v>
      </c>
      <c r="E290" s="86" t="n">
        <v>0.462</v>
      </c>
    </row>
    <row r="291" ht="12.5" customHeight="1">
      <c r="A291" s="86" t="inlineStr">
        <is>
          <t>13RS062547</t>
        </is>
      </c>
      <c r="B291" s="86" t="inlineStr">
        <is>
          <t>RS 62547</t>
        </is>
      </c>
      <c r="C291" s="86" t="n">
        <v>0.625</v>
      </c>
      <c r="D291" s="86" t="n">
        <v>0.315</v>
      </c>
      <c r="E291" s="86" t="n">
        <v>0.312</v>
      </c>
    </row>
    <row r="292" ht="12.5" customHeight="1">
      <c r="A292" s="86" t="inlineStr">
        <is>
          <t>13RS062550</t>
        </is>
      </c>
      <c r="B292" s="86" t="inlineStr">
        <is>
          <t>RS 62550</t>
        </is>
      </c>
      <c r="C292" s="86" t="n">
        <v>0.613</v>
      </c>
      <c r="D292" s="86" t="n">
        <v>0.281</v>
      </c>
      <c r="E292" s="86" t="n">
        <v>0.5</v>
      </c>
    </row>
    <row r="293" ht="12.5" customHeight="1">
      <c r="A293" s="86" t="inlineStr">
        <is>
          <t>13RS062560</t>
        </is>
      </c>
      <c r="B293" s="86" t="inlineStr">
        <is>
          <t>RS 62560</t>
        </is>
      </c>
      <c r="C293" s="86" t="n">
        <v>0.615</v>
      </c>
      <c r="D293" s="86" t="n">
        <v>0.281</v>
      </c>
      <c r="E293" s="86" t="n">
        <v>0.8125</v>
      </c>
    </row>
    <row r="294" ht="12.5" customHeight="1">
      <c r="A294" s="86" t="inlineStr">
        <is>
          <t>13RS062561</t>
        </is>
      </c>
      <c r="B294" s="86" t="inlineStr">
        <is>
          <t>RS 62561</t>
        </is>
      </c>
      <c r="C294" s="86" t="n">
        <v>0.625</v>
      </c>
      <c r="D294" s="86" t="n">
        <v>0.386</v>
      </c>
      <c r="E294" s="86" t="n">
        <v>0.625</v>
      </c>
    </row>
    <row r="295" ht="12.5" customHeight="1">
      <c r="A295" s="86" t="inlineStr">
        <is>
          <t>13RS062565</t>
        </is>
      </c>
      <c r="B295" s="86" t="inlineStr">
        <is>
          <t>RS 62565</t>
        </is>
      </c>
      <c r="C295" s="86" t="n">
        <v>0.625</v>
      </c>
      <c r="D295" s="86" t="n">
        <v>0.45</v>
      </c>
      <c r="E295" s="86" t="n">
        <v>0.625</v>
      </c>
    </row>
    <row r="296" ht="12.5" customHeight="1">
      <c r="A296" s="86" t="inlineStr">
        <is>
          <t>13RS062570</t>
        </is>
      </c>
      <c r="B296" s="86" t="inlineStr">
        <is>
          <t>RS 62570</t>
        </is>
      </c>
      <c r="C296" s="86" t="n">
        <v>0.635</v>
      </c>
      <c r="D296" s="86" t="n">
        <v>0.425</v>
      </c>
      <c r="E296" s="86" t="n">
        <v>0.875</v>
      </c>
    </row>
    <row r="297" ht="12.5" customHeight="1">
      <c r="A297" s="86" t="inlineStr">
        <is>
          <t>13RS062571</t>
        </is>
      </c>
      <c r="B297" s="86" t="inlineStr">
        <is>
          <t>RS 62571</t>
        </is>
      </c>
      <c r="C297" s="86" t="n">
        <v>0.625</v>
      </c>
      <c r="D297" s="86" t="n">
        <v>0.45</v>
      </c>
      <c r="E297" s="86" t="n">
        <v>0.875</v>
      </c>
    </row>
    <row r="298" ht="12.5" customHeight="1">
      <c r="A298" s="86" t="inlineStr">
        <is>
          <t>13RS062572</t>
        </is>
      </c>
      <c r="B298" s="86" t="inlineStr">
        <is>
          <t>RS 62572</t>
        </is>
      </c>
      <c r="C298" s="86" t="n">
        <v>0.618</v>
      </c>
      <c r="D298" s="86" t="n">
        <v>0.5</v>
      </c>
      <c r="E298" s="86" t="n">
        <v>0.484</v>
      </c>
    </row>
    <row r="299" ht="12.5" customHeight="1">
      <c r="A299" s="86" t="inlineStr">
        <is>
          <t>13RS062573</t>
        </is>
      </c>
      <c r="B299" s="86" t="inlineStr">
        <is>
          <t>RS 62573</t>
        </is>
      </c>
      <c r="C299" s="86" t="n">
        <v>0.625</v>
      </c>
      <c r="D299" s="86" t="n">
        <v>0.386</v>
      </c>
      <c r="E299" s="86" t="n">
        <v>0.738</v>
      </c>
    </row>
    <row r="300" ht="12.5" customHeight="1">
      <c r="A300" s="86" t="inlineStr">
        <is>
          <t>13RS062575</t>
        </is>
      </c>
      <c r="B300" s="86" t="inlineStr">
        <is>
          <t>RS 62575</t>
        </is>
      </c>
      <c r="C300" s="86" t="n">
        <v>0.625</v>
      </c>
      <c r="D300" s="86" t="n">
        <v>0.5</v>
      </c>
      <c r="E300" s="86" t="n">
        <v>1</v>
      </c>
    </row>
    <row r="301" ht="12.5" customHeight="1">
      <c r="A301" s="86" t="inlineStr">
        <is>
          <t>13RS062580</t>
        </is>
      </c>
      <c r="B301" s="86" t="inlineStr">
        <is>
          <t>RS 62580</t>
        </is>
      </c>
      <c r="C301" s="86" t="n">
        <v>0.625</v>
      </c>
      <c r="D301" s="86" t="n">
        <v>0.257</v>
      </c>
      <c r="E301" s="86" t="n">
        <v>0.125</v>
      </c>
    </row>
    <row r="302" ht="12.5" customHeight="1">
      <c r="A302" s="86" t="inlineStr">
        <is>
          <t>13RS062582</t>
        </is>
      </c>
      <c r="B302" s="86" t="inlineStr">
        <is>
          <t>RS 62582</t>
        </is>
      </c>
      <c r="C302" s="86" t="n">
        <v>0.625</v>
      </c>
      <c r="D302" s="86" t="n">
        <v>0.375</v>
      </c>
      <c r="E302" s="86" t="n">
        <v>0.082</v>
      </c>
    </row>
    <row r="303" ht="12.5" customHeight="1">
      <c r="A303" s="86" t="inlineStr">
        <is>
          <t>13RS062583</t>
        </is>
      </c>
      <c r="B303" s="86" t="inlineStr">
        <is>
          <t>RS 62583</t>
        </is>
      </c>
      <c r="C303" s="86" t="n">
        <v>0.634</v>
      </c>
      <c r="D303" s="86" t="n">
        <v>0.434</v>
      </c>
      <c r="E303" s="86" t="n">
        <v>0.38</v>
      </c>
    </row>
    <row r="304" ht="12.5" customHeight="1">
      <c r="A304" s="86" t="inlineStr">
        <is>
          <t>13RS062584</t>
        </is>
      </c>
      <c r="B304" s="86" t="inlineStr">
        <is>
          <t>RS 62584</t>
        </is>
      </c>
      <c r="C304" s="86" t="n">
        <v>0.625</v>
      </c>
      <c r="D304" s="86" t="n">
        <v>0.38</v>
      </c>
      <c r="E304" s="86" t="n">
        <v>1.25</v>
      </c>
    </row>
    <row r="305" ht="12.5" customHeight="1">
      <c r="A305" s="86" t="inlineStr">
        <is>
          <t>13RS062591</t>
        </is>
      </c>
      <c r="B305" s="86" t="inlineStr">
        <is>
          <t>RS 62591</t>
        </is>
      </c>
      <c r="C305" s="86" t="n">
        <v>0.63</v>
      </c>
      <c r="D305" s="86" t="n">
        <v>0.35</v>
      </c>
      <c r="E305" s="86" t="n">
        <v>0.2</v>
      </c>
    </row>
    <row r="306" ht="12.5" customHeight="1">
      <c r="A306" s="86" t="inlineStr">
        <is>
          <t>13RS062650</t>
        </is>
      </c>
      <c r="B306" s="86" t="inlineStr">
        <is>
          <t>RS 62650</t>
        </is>
      </c>
      <c r="C306" s="86" t="n">
        <v>0.62</v>
      </c>
      <c r="D306" s="86" t="n">
        <v>0.507</v>
      </c>
      <c r="E306" s="86" t="n">
        <v>0.5</v>
      </c>
    </row>
    <row r="307" ht="12.5" customHeight="1">
      <c r="A307" s="86" t="inlineStr">
        <is>
          <t>13RS063050</t>
        </is>
      </c>
      <c r="B307" s="86" t="inlineStr">
        <is>
          <t>RS 63050</t>
        </is>
      </c>
      <c r="C307" s="86" t="n">
        <v>0.63</v>
      </c>
      <c r="D307" s="86" t="n">
        <v>0.378</v>
      </c>
      <c r="E307" s="86" t="n">
        <v>0.5</v>
      </c>
    </row>
    <row r="308" ht="12.5" customHeight="1">
      <c r="A308" s="86" t="inlineStr">
        <is>
          <t>13RS063550</t>
        </is>
      </c>
      <c r="B308" s="86" t="inlineStr">
        <is>
          <t>RS 63550</t>
        </is>
      </c>
      <c r="C308" s="86" t="n">
        <v>0.635</v>
      </c>
      <c r="D308" s="86" t="n">
        <v>0.52</v>
      </c>
      <c r="E308" s="86" t="n">
        <v>0.5</v>
      </c>
    </row>
    <row r="309" ht="12.5" customHeight="1">
      <c r="A309" s="86" t="inlineStr">
        <is>
          <t>13RS063564</t>
        </is>
      </c>
      <c r="B309" s="86" t="inlineStr">
        <is>
          <t>RS 63564</t>
        </is>
      </c>
      <c r="C309" s="86" t="n">
        <v>0.913</v>
      </c>
      <c r="D309" s="86" t="n">
        <v>0.635</v>
      </c>
      <c r="E309" s="86" t="n">
        <v>0.641</v>
      </c>
    </row>
    <row r="310" ht="12.5" customHeight="1">
      <c r="A310" s="86" t="inlineStr">
        <is>
          <t>13RS064057</t>
        </is>
      </c>
      <c r="B310" s="86" t="inlineStr">
        <is>
          <t>RS 64057</t>
        </is>
      </c>
      <c r="C310" s="86" t="n">
        <v>0.64</v>
      </c>
      <c r="D310" s="86" t="n">
        <v>0.327</v>
      </c>
      <c r="E310" s="86" t="n">
        <v>0.5600000000000001</v>
      </c>
    </row>
    <row r="311" ht="12.5" customHeight="1">
      <c r="A311" s="86" t="inlineStr">
        <is>
          <t>13RS065650</t>
        </is>
      </c>
      <c r="B311" s="86" t="inlineStr">
        <is>
          <t>RS 65650</t>
        </is>
      </c>
      <c r="C311" s="86" t="n">
        <v>0.656</v>
      </c>
      <c r="D311" s="86" t="n">
        <v>0.516</v>
      </c>
      <c r="E311" s="86" t="n">
        <v>0.5</v>
      </c>
    </row>
    <row r="312" ht="12.5" customHeight="1">
      <c r="A312" s="86" t="inlineStr">
        <is>
          <t>13RS065830</t>
        </is>
      </c>
      <c r="B312" s="86" t="inlineStr">
        <is>
          <t>RS 65830</t>
        </is>
      </c>
      <c r="C312" s="86" t="n">
        <v>0.648</v>
      </c>
      <c r="D312" s="86" t="n">
        <v>0.28</v>
      </c>
      <c r="E312" s="86" t="n">
        <v>0.359</v>
      </c>
    </row>
    <row r="313" ht="12.5" customHeight="1">
      <c r="A313" s="86" t="inlineStr">
        <is>
          <t>13RS066850</t>
        </is>
      </c>
      <c r="B313" s="86" t="inlineStr">
        <is>
          <t>RS 66850</t>
        </is>
      </c>
      <c r="C313" s="86" t="n">
        <v>0.668</v>
      </c>
      <c r="D313" s="86" t="n">
        <v>0.506</v>
      </c>
      <c r="E313" s="86" t="n">
        <v>0.9375</v>
      </c>
    </row>
    <row r="314" ht="12.5" customHeight="1">
      <c r="A314" s="86" t="inlineStr">
        <is>
          <t>13RS066851</t>
        </is>
      </c>
      <c r="B314" s="86" t="inlineStr">
        <is>
          <t>RS 66851</t>
        </is>
      </c>
      <c r="C314" s="86" t="n">
        <v>0.67</v>
      </c>
      <c r="D314" s="86" t="n">
        <v>0.35</v>
      </c>
      <c r="E314" s="86" t="n">
        <v>0.2</v>
      </c>
    </row>
    <row r="315" ht="12.5" customHeight="1">
      <c r="A315" s="86" t="inlineStr">
        <is>
          <t>13RS068711</t>
        </is>
      </c>
      <c r="B315" s="86" t="inlineStr">
        <is>
          <t>RS 68711</t>
        </is>
      </c>
      <c r="C315" s="86" t="n">
        <v>0.6870000000000001</v>
      </c>
      <c r="D315" s="86" t="n">
        <v>0.26</v>
      </c>
      <c r="E315" s="86" t="n">
        <v>0.457</v>
      </c>
    </row>
    <row r="316" ht="12.5" customHeight="1">
      <c r="A316" s="86" t="inlineStr">
        <is>
          <t>13RS068712</t>
        </is>
      </c>
      <c r="B316" s="86" t="inlineStr">
        <is>
          <t>RS 68712</t>
        </is>
      </c>
      <c r="C316" s="86" t="n">
        <v>0.6870000000000001</v>
      </c>
      <c r="D316" s="86" t="n">
        <v>0.156</v>
      </c>
      <c r="E316" s="86" t="n">
        <v>0.125</v>
      </c>
    </row>
    <row r="317" ht="12.5" customHeight="1">
      <c r="A317" s="86" t="inlineStr">
        <is>
          <t>13RS069038</t>
        </is>
      </c>
      <c r="B317" s="86" t="inlineStr">
        <is>
          <t>RS 69038</t>
        </is>
      </c>
      <c r="C317" s="86" t="n">
        <v>0.68</v>
      </c>
      <c r="D317" s="86" t="n">
        <v>0.6</v>
      </c>
      <c r="E317" s="86" t="n">
        <v>0.5600000000000001</v>
      </c>
    </row>
    <row r="318" ht="12.5" customHeight="1">
      <c r="A318" s="86" t="inlineStr">
        <is>
          <t>13RS069039</t>
        </is>
      </c>
      <c r="B318" s="86" t="inlineStr">
        <is>
          <t>RS 69039</t>
        </is>
      </c>
      <c r="C318" s="86" t="n">
        <v>0.68</v>
      </c>
      <c r="D318" s="86" t="n">
        <v>0.39</v>
      </c>
      <c r="E318" s="86" t="n">
        <v>0.625</v>
      </c>
    </row>
    <row r="319" ht="12.5" customHeight="1">
      <c r="A319" s="86" t="inlineStr">
        <is>
          <t>13RS070086</t>
        </is>
      </c>
      <c r="B319" s="86" t="inlineStr">
        <is>
          <t>RS 70086</t>
        </is>
      </c>
      <c r="C319" s="86" t="n">
        <v>0.7</v>
      </c>
      <c r="D319" s="86" t="n">
        <v>0.335</v>
      </c>
      <c r="E319" s="86" t="n">
        <v>0.866</v>
      </c>
    </row>
    <row r="320" ht="12.5" customHeight="1">
      <c r="A320" s="86" t="inlineStr">
        <is>
          <t>13RS071820</t>
        </is>
      </c>
      <c r="B320" s="86" t="inlineStr">
        <is>
          <t>RS 71820</t>
        </is>
      </c>
      <c r="C320" s="86" t="n">
        <v>0.718</v>
      </c>
      <c r="D320" s="86" t="n">
        <v>0.526</v>
      </c>
      <c r="E320" s="86" t="n">
        <v>0.219</v>
      </c>
    </row>
    <row r="321" ht="12.5" customHeight="1">
      <c r="A321" s="86" t="inlineStr">
        <is>
          <t>13RS071821</t>
        </is>
      </c>
      <c r="B321" s="86" t="inlineStr">
        <is>
          <t>RS 71821</t>
        </is>
      </c>
      <c r="C321" s="86" t="n">
        <v>0.72</v>
      </c>
      <c r="D321" s="86" t="n">
        <v>0.392</v>
      </c>
      <c r="E321" s="86" t="n">
        <v>0.23</v>
      </c>
    </row>
    <row r="322" ht="12.5" customHeight="1">
      <c r="A322" s="86" t="inlineStr">
        <is>
          <t>13RS071828</t>
        </is>
      </c>
      <c r="B322" s="86" t="inlineStr">
        <is>
          <t>RS 71828</t>
        </is>
      </c>
      <c r="C322" s="86" t="n">
        <v>0.718</v>
      </c>
      <c r="D322" s="86" t="n">
        <v>0.526</v>
      </c>
      <c r="E322" s="86" t="n">
        <v>0.281</v>
      </c>
    </row>
    <row r="323" ht="12.5" customHeight="1">
      <c r="A323" s="86" t="inlineStr">
        <is>
          <t>13RS072050</t>
        </is>
      </c>
      <c r="B323" s="86" t="inlineStr">
        <is>
          <t>RS 72050</t>
        </is>
      </c>
      <c r="C323" s="86" t="n">
        <v>0.72</v>
      </c>
      <c r="D323" s="86" t="n">
        <v>0.515</v>
      </c>
      <c r="E323" s="86" t="n">
        <v>0.49</v>
      </c>
    </row>
    <row r="324" ht="12.5" customHeight="1">
      <c r="A324" s="86" t="inlineStr">
        <is>
          <t>13RS073030</t>
        </is>
      </c>
      <c r="B324" s="86" t="inlineStr">
        <is>
          <t>RS 73030</t>
        </is>
      </c>
      <c r="C324" s="86" t="n">
        <v>0.73</v>
      </c>
      <c r="D324" s="86" t="n">
        <v>0.265</v>
      </c>
      <c r="E324" s="86" t="n">
        <v>0.295</v>
      </c>
    </row>
    <row r="325" ht="12.5" customHeight="1">
      <c r="A325" s="86" t="inlineStr">
        <is>
          <t>13RS075009</t>
        </is>
      </c>
      <c r="B325" s="86" t="inlineStr">
        <is>
          <t>RS 75009</t>
        </is>
      </c>
      <c r="C325" s="86" t="n">
        <v>0.75</v>
      </c>
      <c r="D325" s="86" t="n">
        <v>0.32</v>
      </c>
      <c r="E325" s="86" t="n">
        <v>0.5</v>
      </c>
    </row>
    <row r="326" ht="12.5" customHeight="1">
      <c r="A326" s="86" t="inlineStr">
        <is>
          <t>13RS075010</t>
        </is>
      </c>
      <c r="B326" s="86" t="inlineStr">
        <is>
          <t>RS 75010</t>
        </is>
      </c>
      <c r="C326" s="86" t="n">
        <v>0.75</v>
      </c>
      <c r="D326" s="86" t="n">
        <v>0.28</v>
      </c>
      <c r="E326" s="86" t="n">
        <v>0.44</v>
      </c>
    </row>
    <row r="327" ht="12.5" customHeight="1">
      <c r="A327" s="86" t="inlineStr">
        <is>
          <t>13RS075011</t>
        </is>
      </c>
      <c r="B327" s="86" t="inlineStr">
        <is>
          <t>RS 75011</t>
        </is>
      </c>
      <c r="C327" s="86" t="n">
        <v>0.754</v>
      </c>
      <c r="D327" s="86" t="n">
        <v>0.531</v>
      </c>
      <c r="E327" s="86" t="n">
        <v>0.451</v>
      </c>
    </row>
    <row r="328" ht="12.5" customHeight="1">
      <c r="A328" s="86" t="inlineStr">
        <is>
          <t>13RS075012</t>
        </is>
      </c>
      <c r="B328" s="86" t="inlineStr">
        <is>
          <t>RS 75012</t>
        </is>
      </c>
      <c r="C328" s="86" t="n">
        <v>0.75</v>
      </c>
      <c r="D328" s="86" t="n">
        <v>0.26</v>
      </c>
      <c r="E328" s="86" t="n">
        <v>0.758</v>
      </c>
    </row>
    <row r="329" ht="12.5" customHeight="1">
      <c r="A329" s="86" t="inlineStr">
        <is>
          <t>13RS075013</t>
        </is>
      </c>
      <c r="B329" s="86" t="inlineStr">
        <is>
          <t>RS 75013</t>
        </is>
      </c>
      <c r="C329" s="86" t="n">
        <v>0.75</v>
      </c>
      <c r="D329" s="86" t="n">
        <v>0.255</v>
      </c>
      <c r="E329" s="86" t="n">
        <v>0.29</v>
      </c>
    </row>
    <row r="330" ht="12.5" customHeight="1">
      <c r="A330" s="86" t="inlineStr">
        <is>
          <t>13RS075020</t>
        </is>
      </c>
      <c r="B330" s="86" t="inlineStr">
        <is>
          <t>RS 75020</t>
        </is>
      </c>
      <c r="C330" s="86" t="n">
        <v>0.74</v>
      </c>
      <c r="D330" s="86" t="n">
        <v>0.25</v>
      </c>
      <c r="E330" s="86" t="n">
        <v>0.25</v>
      </c>
    </row>
    <row r="331" ht="12.5" customHeight="1">
      <c r="A331" s="86" t="inlineStr">
        <is>
          <t>13RS075021</t>
        </is>
      </c>
      <c r="B331" s="86" t="inlineStr">
        <is>
          <t>RS 75021</t>
        </is>
      </c>
      <c r="C331" s="86" t="n">
        <v>0.744</v>
      </c>
      <c r="D331" s="86" t="n">
        <v>0.397</v>
      </c>
      <c r="E331" s="86" t="n">
        <v>0.371</v>
      </c>
    </row>
    <row r="332" ht="12.5" customHeight="1">
      <c r="A332" s="86" t="inlineStr">
        <is>
          <t>13RS075022</t>
        </is>
      </c>
      <c r="B332" s="86" t="inlineStr">
        <is>
          <t>RS 75022</t>
        </is>
      </c>
      <c r="C332" s="86" t="n">
        <v>0.745</v>
      </c>
      <c r="D332" s="86" t="n">
        <v>0.387</v>
      </c>
      <c r="E332" s="86" t="n">
        <v>0.187</v>
      </c>
    </row>
    <row r="333" ht="12.5" customHeight="1">
      <c r="A333" s="86" t="inlineStr">
        <is>
          <t>13RS075023</t>
        </is>
      </c>
      <c r="B333" s="86" t="inlineStr">
        <is>
          <t>RS 75023</t>
        </is>
      </c>
      <c r="C333" s="86" t="n">
        <v>0.752</v>
      </c>
      <c r="D333" s="86" t="n">
        <v>0.48</v>
      </c>
      <c r="E333" s="86" t="n">
        <v>0.226</v>
      </c>
    </row>
    <row r="334" ht="12.5" customHeight="1">
      <c r="A334" s="86" t="inlineStr">
        <is>
          <t>13RS075024</t>
        </is>
      </c>
      <c r="B334" s="86" t="inlineStr">
        <is>
          <t>RS 75024</t>
        </is>
      </c>
      <c r="C334" s="86" t="n">
        <v>0.75</v>
      </c>
      <c r="D334" s="86" t="n">
        <v>0.315</v>
      </c>
      <c r="E334" s="86" t="n">
        <v>0.3125</v>
      </c>
    </row>
    <row r="335" ht="12.5" customHeight="1">
      <c r="A335" s="86" t="inlineStr">
        <is>
          <t>13RS075025</t>
        </is>
      </c>
      <c r="B335" s="86" t="inlineStr">
        <is>
          <t>RS 75025</t>
        </is>
      </c>
      <c r="C335" s="86" t="n">
        <v>0.75</v>
      </c>
      <c r="D335" s="86" t="n">
        <v>0.258</v>
      </c>
      <c r="E335" s="86" t="n">
        <v>0.4375</v>
      </c>
    </row>
    <row r="336" ht="12.5" customHeight="1">
      <c r="A336" s="86" t="inlineStr">
        <is>
          <t>13RS075026</t>
        </is>
      </c>
      <c r="B336" s="86" t="inlineStr">
        <is>
          <t>RS 75026</t>
        </is>
      </c>
      <c r="C336" s="86" t="n">
        <v>0.75</v>
      </c>
      <c r="D336" s="86" t="n">
        <v>0.26</v>
      </c>
      <c r="E336" s="86" t="n">
        <v>0.375</v>
      </c>
    </row>
    <row r="337" ht="12.5" customHeight="1">
      <c r="A337" s="86" t="inlineStr">
        <is>
          <t>13RS075027</t>
        </is>
      </c>
      <c r="B337" s="86" t="inlineStr">
        <is>
          <t>RS 75027</t>
        </is>
      </c>
      <c r="C337" s="86" t="n">
        <v>0.75</v>
      </c>
      <c r="D337" s="86" t="n">
        <v>0.3125</v>
      </c>
      <c r="E337" s="86" t="n">
        <v>0.5625</v>
      </c>
    </row>
    <row r="338" ht="12.5" customHeight="1">
      <c r="A338" s="86" t="inlineStr">
        <is>
          <t>13RS075028</t>
        </is>
      </c>
      <c r="B338" s="86" t="inlineStr">
        <is>
          <t>RS 75028</t>
        </is>
      </c>
      <c r="C338" s="86" t="n">
        <v>0.75</v>
      </c>
      <c r="D338" s="86" t="n">
        <v>0.266</v>
      </c>
      <c r="E338" s="86" t="n">
        <v>0.3125</v>
      </c>
    </row>
    <row r="339" ht="12.5" customHeight="1">
      <c r="A339" s="86" t="inlineStr">
        <is>
          <t>13RS075029</t>
        </is>
      </c>
      <c r="B339" s="86" t="inlineStr">
        <is>
          <t>RS 75029</t>
        </is>
      </c>
      <c r="C339" s="86" t="n">
        <v>0.75</v>
      </c>
      <c r="D339" s="86" t="n">
        <v>0.37</v>
      </c>
      <c r="E339" s="86" t="n">
        <v>0.344</v>
      </c>
    </row>
    <row r="340" ht="12.5" customHeight="1">
      <c r="A340" s="86" t="inlineStr">
        <is>
          <t>13RS075030</t>
        </is>
      </c>
      <c r="B340" s="86" t="inlineStr">
        <is>
          <t>RS 75030</t>
        </is>
      </c>
      <c r="C340" s="86" t="n">
        <v>0.75</v>
      </c>
      <c r="D340" s="86" t="n">
        <v>0.406</v>
      </c>
      <c r="E340" s="86" t="n">
        <v>0.5620000000000001</v>
      </c>
    </row>
    <row r="341" ht="12.5" customHeight="1">
      <c r="A341" s="86" t="inlineStr">
        <is>
          <t>13RS075031</t>
        </is>
      </c>
      <c r="B341" s="86" t="inlineStr">
        <is>
          <t>RS 75031</t>
        </is>
      </c>
      <c r="C341" s="86" t="n">
        <v>0.75</v>
      </c>
      <c r="D341" s="86" t="n">
        <v>0.315</v>
      </c>
      <c r="E341" s="86" t="n">
        <v>0.187</v>
      </c>
    </row>
    <row r="342" ht="12.5" customHeight="1">
      <c r="A342" s="86" t="inlineStr">
        <is>
          <t>13RS075032</t>
        </is>
      </c>
      <c r="B342" s="86" t="inlineStr">
        <is>
          <t>RS 75032</t>
        </is>
      </c>
      <c r="C342" s="86" t="n">
        <v>0.75</v>
      </c>
      <c r="D342" s="86" t="n">
        <v>0.385</v>
      </c>
      <c r="E342" s="86" t="n">
        <v>0.203</v>
      </c>
    </row>
    <row r="343" ht="12.5" customHeight="1">
      <c r="A343" s="86" t="inlineStr">
        <is>
          <t>13RS075033</t>
        </is>
      </c>
      <c r="B343" s="86" t="inlineStr">
        <is>
          <t>RS 75033</t>
        </is>
      </c>
      <c r="C343" s="86" t="n">
        <v>0.75</v>
      </c>
      <c r="D343" s="86" t="n">
        <v>0.25</v>
      </c>
      <c r="E343" s="86" t="n">
        <v>0.1875</v>
      </c>
    </row>
    <row r="344" ht="12.5" customHeight="1">
      <c r="A344" s="86" t="inlineStr">
        <is>
          <t>13RS075034</t>
        </is>
      </c>
      <c r="B344" s="86" t="inlineStr">
        <is>
          <t>RS 75034</t>
        </is>
      </c>
      <c r="C344" s="86" t="n">
        <v>0.75</v>
      </c>
      <c r="D344" s="86" t="n">
        <v>0.515</v>
      </c>
      <c r="E344" s="86" t="n">
        <v>0.34</v>
      </c>
    </row>
    <row r="345" ht="12.5" customHeight="1">
      <c r="A345" s="86" t="inlineStr">
        <is>
          <t>13RS075035</t>
        </is>
      </c>
      <c r="B345" s="86" t="inlineStr">
        <is>
          <t>RS 75035</t>
        </is>
      </c>
      <c r="C345" s="86" t="n">
        <v>0.75</v>
      </c>
      <c r="D345" s="86" t="n">
        <v>0.245</v>
      </c>
      <c r="E345" s="86" t="n">
        <v>0.361</v>
      </c>
    </row>
    <row r="346" ht="12.5" customHeight="1">
      <c r="A346" s="86" t="inlineStr">
        <is>
          <t>13RS075036</t>
        </is>
      </c>
      <c r="B346" s="86" t="inlineStr">
        <is>
          <t>RS 75036</t>
        </is>
      </c>
      <c r="C346" s="86" t="n">
        <v>0.75</v>
      </c>
      <c r="D346" s="86" t="n">
        <v>0.312</v>
      </c>
      <c r="E346" s="86" t="n">
        <v>0.9379999999999999</v>
      </c>
    </row>
    <row r="347" ht="12.5" customHeight="1">
      <c r="A347" s="86" t="inlineStr">
        <is>
          <t>13RS075037</t>
        </is>
      </c>
      <c r="B347" s="86" t="inlineStr">
        <is>
          <t>RS 75037</t>
        </is>
      </c>
      <c r="C347" s="86" t="n">
        <v>0.745</v>
      </c>
      <c r="D347" s="86" t="n">
        <v>0.25</v>
      </c>
      <c r="E347" s="86" t="n">
        <v>0.375</v>
      </c>
    </row>
    <row r="348" ht="12.5" customHeight="1">
      <c r="A348" s="86" t="inlineStr">
        <is>
          <t>13RS075039</t>
        </is>
      </c>
      <c r="B348" s="86" t="inlineStr">
        <is>
          <t>RS 75039</t>
        </is>
      </c>
      <c r="C348" s="86" t="n">
        <v>0.75</v>
      </c>
      <c r="D348" s="86" t="n">
        <v>0.49</v>
      </c>
      <c r="E348" s="86" t="n">
        <v>0.375</v>
      </c>
    </row>
    <row r="349" ht="12.5" customHeight="1">
      <c r="A349" s="86" t="inlineStr">
        <is>
          <t>13RS075040</t>
        </is>
      </c>
      <c r="B349" s="86" t="inlineStr">
        <is>
          <t>RS 75040</t>
        </is>
      </c>
      <c r="C349" s="86" t="n">
        <v>0.75</v>
      </c>
      <c r="D349" s="86" t="n">
        <v>0.323</v>
      </c>
      <c r="E349" s="86" t="n">
        <v>0.25</v>
      </c>
    </row>
    <row r="350" ht="12.5" customHeight="1">
      <c r="A350" s="86" t="inlineStr">
        <is>
          <t>13RS075041</t>
        </is>
      </c>
      <c r="B350" s="86" t="inlineStr">
        <is>
          <t>RS 75041</t>
        </is>
      </c>
      <c r="C350" s="86" t="n">
        <v>0.74</v>
      </c>
      <c r="D350" s="86" t="n">
        <v>0.39</v>
      </c>
      <c r="E350" s="86" t="n">
        <v>1</v>
      </c>
    </row>
    <row r="351" ht="12.5" customHeight="1">
      <c r="A351" s="86" t="inlineStr">
        <is>
          <t>13RS075042</t>
        </is>
      </c>
      <c r="B351" s="86" t="inlineStr">
        <is>
          <t>RS 75042</t>
        </is>
      </c>
      <c r="C351" s="86" t="n">
        <v>0.75</v>
      </c>
      <c r="D351" s="86" t="n">
        <v>0.26</v>
      </c>
      <c r="E351" s="86" t="n">
        <v>0.625</v>
      </c>
    </row>
    <row r="352" ht="12.5" customHeight="1">
      <c r="A352" s="86" t="inlineStr">
        <is>
          <t>13RS075043</t>
        </is>
      </c>
      <c r="B352" s="86" t="inlineStr">
        <is>
          <t>RS 75043</t>
        </is>
      </c>
      <c r="C352" s="86" t="n">
        <v>0.74</v>
      </c>
      <c r="D352" s="86" t="n">
        <v>0.31</v>
      </c>
      <c r="E352" s="86" t="n">
        <v>0.437</v>
      </c>
    </row>
    <row r="353" ht="12.5" customHeight="1">
      <c r="A353" s="86" t="inlineStr">
        <is>
          <t>13RS075044</t>
        </is>
      </c>
      <c r="B353" s="86" t="inlineStr">
        <is>
          <t>RS 75044</t>
        </is>
      </c>
      <c r="C353" s="86" t="n">
        <v>1.75</v>
      </c>
      <c r="D353" s="86" t="n">
        <v>0.625</v>
      </c>
      <c r="E353" s="86" t="n">
        <v>0.25</v>
      </c>
    </row>
    <row r="354" ht="12.5" customHeight="1">
      <c r="A354" s="86" t="inlineStr">
        <is>
          <t>13RS075045</t>
        </is>
      </c>
      <c r="B354" s="86" t="inlineStr">
        <is>
          <t>RS 75045</t>
        </is>
      </c>
      <c r="C354" s="86" t="n">
        <v>0.745</v>
      </c>
      <c r="D354" s="86" t="n">
        <v>0.385</v>
      </c>
      <c r="E354" s="86" t="n">
        <v>0.3125</v>
      </c>
    </row>
    <row r="355" ht="12.5" customHeight="1">
      <c r="A355" s="86" t="inlineStr">
        <is>
          <t>13RS075046</t>
        </is>
      </c>
      <c r="B355" s="86" t="inlineStr">
        <is>
          <t>RS 75046</t>
        </is>
      </c>
      <c r="C355" s="86" t="n">
        <v>0.75</v>
      </c>
      <c r="D355" s="86" t="n">
        <v>0.46</v>
      </c>
      <c r="E355" s="86" t="n">
        <v>0.25</v>
      </c>
    </row>
    <row r="356" ht="12.5" customHeight="1">
      <c r="A356" s="86" t="inlineStr">
        <is>
          <t>13RS075047</t>
        </is>
      </c>
      <c r="B356" s="86" t="inlineStr">
        <is>
          <t>RS 75047</t>
        </is>
      </c>
      <c r="C356" s="86" t="n">
        <v>0.75</v>
      </c>
      <c r="D356" s="86" t="n">
        <v>0.38</v>
      </c>
      <c r="E356" s="86" t="n">
        <v>0.472</v>
      </c>
    </row>
    <row r="357" ht="12.5" customHeight="1">
      <c r="A357" s="86" t="inlineStr">
        <is>
          <t>13RS075048</t>
        </is>
      </c>
      <c r="B357" s="86" t="inlineStr">
        <is>
          <t>RS 75048</t>
        </is>
      </c>
      <c r="C357" s="86" t="n">
        <v>0.75</v>
      </c>
      <c r="D357" s="86" t="n">
        <v>0.25</v>
      </c>
      <c r="E357" s="86" t="n">
        <v>0.5</v>
      </c>
    </row>
    <row r="358" ht="12.5" customHeight="1">
      <c r="A358" s="86" t="inlineStr">
        <is>
          <t>13RS075049</t>
        </is>
      </c>
      <c r="B358" s="86" t="inlineStr">
        <is>
          <t>RS 75049</t>
        </is>
      </c>
      <c r="C358" s="86" t="n">
        <v>0.75</v>
      </c>
      <c r="D358" s="86" t="n">
        <v>0.312</v>
      </c>
      <c r="E358" s="86" t="n">
        <v>0.25</v>
      </c>
    </row>
    <row r="359" ht="12.5" customHeight="1">
      <c r="A359" s="86" t="inlineStr">
        <is>
          <t>13RS075050</t>
        </is>
      </c>
      <c r="B359" s="86" t="inlineStr">
        <is>
          <t>RS 75050</t>
        </is>
      </c>
      <c r="C359" s="86" t="n">
        <v>0.75</v>
      </c>
      <c r="D359" s="86" t="n">
        <v>0.344</v>
      </c>
      <c r="E359" s="86" t="n">
        <v>0.5</v>
      </c>
    </row>
    <row r="360" ht="12.5" customHeight="1">
      <c r="A360" s="86" t="inlineStr">
        <is>
          <t>13RS075051</t>
        </is>
      </c>
      <c r="B360" s="86" t="inlineStr">
        <is>
          <t>RS 75051</t>
        </is>
      </c>
      <c r="C360" s="86" t="n">
        <v>0.75</v>
      </c>
      <c r="D360" s="86" t="n">
        <v>0.26</v>
      </c>
      <c r="E360" s="86" t="n">
        <v>1</v>
      </c>
    </row>
    <row r="361" ht="12.5" customHeight="1">
      <c r="A361" s="86" t="inlineStr">
        <is>
          <t>13RS075052</t>
        </is>
      </c>
      <c r="B361" s="86" t="inlineStr">
        <is>
          <t>RS 75052</t>
        </is>
      </c>
      <c r="C361" s="86" t="n">
        <v>0.75</v>
      </c>
      <c r="D361" s="86" t="n">
        <v>0.25</v>
      </c>
      <c r="E361" s="86" t="n">
        <v>0.878</v>
      </c>
    </row>
    <row r="362" ht="12.5" customHeight="1">
      <c r="A362" s="86" t="inlineStr">
        <is>
          <t>13RS075053</t>
        </is>
      </c>
      <c r="B362" s="86" t="inlineStr">
        <is>
          <t>RS 75053</t>
        </is>
      </c>
      <c r="C362" s="86" t="n">
        <v>0.75</v>
      </c>
      <c r="D362" s="86" t="n">
        <v>0.437</v>
      </c>
      <c r="E362" s="86" t="n">
        <v>0.5</v>
      </c>
    </row>
    <row r="363" ht="12.5" customHeight="1">
      <c r="A363" s="86" t="inlineStr">
        <is>
          <t>13RS075065</t>
        </is>
      </c>
      <c r="B363" s="86" t="inlineStr">
        <is>
          <t>RS 75065</t>
        </is>
      </c>
      <c r="C363" s="86" t="n">
        <v>0.75</v>
      </c>
      <c r="D363" s="86" t="n">
        <v>0.26</v>
      </c>
      <c r="E363" s="86" t="n">
        <v>0.5625</v>
      </c>
    </row>
    <row r="364" ht="12.5" customHeight="1">
      <c r="A364" s="86" t="inlineStr">
        <is>
          <t>13RS075070</t>
        </is>
      </c>
      <c r="B364" s="86" t="inlineStr">
        <is>
          <t>RS 75070</t>
        </is>
      </c>
      <c r="C364" s="86" t="n">
        <v>0.75</v>
      </c>
      <c r="D364" s="86" t="n">
        <v>0.51</v>
      </c>
      <c r="E364" s="86" t="n">
        <v>0.7</v>
      </c>
    </row>
    <row r="365" ht="12.5" customHeight="1">
      <c r="A365" s="86" t="inlineStr">
        <is>
          <t>13RS075071</t>
        </is>
      </c>
      <c r="B365" s="86" t="inlineStr">
        <is>
          <t>RS 75071</t>
        </is>
      </c>
      <c r="C365" s="86" t="n">
        <v>0.75</v>
      </c>
      <c r="D365" s="86" t="n">
        <v>0.51</v>
      </c>
      <c r="E365" s="86" t="n">
        <v>0.375</v>
      </c>
    </row>
    <row r="366" ht="12.5" customHeight="1">
      <c r="A366" s="87" t="inlineStr">
        <is>
          <t>13RS075075</t>
        </is>
      </c>
      <c r="B366" s="87" t="inlineStr">
        <is>
          <t>RS 75075</t>
        </is>
      </c>
      <c r="C366" s="87" t="n">
        <v>0.75</v>
      </c>
      <c r="D366" s="87" t="n">
        <v>0.32</v>
      </c>
      <c r="E366" s="87" t="n">
        <v>0.75</v>
      </c>
    </row>
    <row r="367" ht="12.5" customHeight="1">
      <c r="A367" s="86" t="inlineStr">
        <is>
          <t>13RS075076</t>
        </is>
      </c>
      <c r="B367" s="86" t="inlineStr">
        <is>
          <t>RS 75076</t>
        </is>
      </c>
      <c r="C367" s="86" t="n">
        <v>0.75</v>
      </c>
      <c r="D367" s="86" t="n">
        <v>0.32</v>
      </c>
      <c r="E367" s="86" t="n">
        <v>1</v>
      </c>
    </row>
    <row r="368" ht="12.5" customHeight="1">
      <c r="A368" s="86" t="inlineStr">
        <is>
          <t>13RS075077</t>
        </is>
      </c>
      <c r="B368" s="86" t="inlineStr">
        <is>
          <t>RS 75077</t>
        </is>
      </c>
      <c r="C368" s="86" t="n">
        <v>0.755</v>
      </c>
      <c r="D368" s="86" t="n">
        <v>0.4</v>
      </c>
      <c r="E368" s="86" t="n">
        <v>0.29</v>
      </c>
    </row>
    <row r="369" ht="12.5" customHeight="1">
      <c r="A369" s="86" t="inlineStr">
        <is>
          <t>13RS075078</t>
        </is>
      </c>
      <c r="B369" s="86" t="inlineStr">
        <is>
          <t>RS 75078</t>
        </is>
      </c>
      <c r="C369" s="86" t="n">
        <v>0.75</v>
      </c>
      <c r="D369" s="86" t="n">
        <v>0.344</v>
      </c>
      <c r="E369" s="86" t="n">
        <v>0.25</v>
      </c>
    </row>
    <row r="370" ht="12.5" customHeight="1">
      <c r="A370" s="86" t="inlineStr">
        <is>
          <t>13RS075079</t>
        </is>
      </c>
      <c r="B370" s="86" t="inlineStr">
        <is>
          <t>RS 75079</t>
        </is>
      </c>
      <c r="C370" s="86" t="n">
        <v>0.75</v>
      </c>
      <c r="D370" s="86" t="n">
        <v>0.2</v>
      </c>
      <c r="E370" s="86" t="n">
        <v>1</v>
      </c>
    </row>
    <row r="371" ht="12.5" customHeight="1">
      <c r="A371" s="86" t="inlineStr">
        <is>
          <t>13RS075080</t>
        </is>
      </c>
      <c r="B371" s="86" t="inlineStr">
        <is>
          <t>RS 75080</t>
        </is>
      </c>
      <c r="C371" s="86" t="n">
        <v>0.75</v>
      </c>
      <c r="D371" s="86" t="n">
        <v>0.26</v>
      </c>
      <c r="E371" s="86" t="n">
        <v>0.5</v>
      </c>
    </row>
    <row r="372" ht="12.5" customHeight="1">
      <c r="A372" s="87" t="inlineStr">
        <is>
          <t>13RS075081</t>
        </is>
      </c>
      <c r="B372" s="87" t="inlineStr">
        <is>
          <t>RS 75081</t>
        </is>
      </c>
      <c r="C372" s="87" t="n">
        <v>0.75</v>
      </c>
      <c r="D372" s="87" t="n">
        <v>0.375</v>
      </c>
      <c r="E372" s="87" t="n">
        <v>0.375</v>
      </c>
    </row>
    <row r="373" ht="12.5" customHeight="1">
      <c r="A373" s="86" t="inlineStr">
        <is>
          <t>13RS075082</t>
        </is>
      </c>
      <c r="B373" s="86" t="inlineStr">
        <is>
          <t>RS 75082</t>
        </is>
      </c>
      <c r="C373" s="86" t="n">
        <v>0.75</v>
      </c>
      <c r="D373" s="86" t="n">
        <v>0.203</v>
      </c>
      <c r="E373" s="86" t="n">
        <v>0.1</v>
      </c>
    </row>
    <row r="374" ht="12.5" customHeight="1">
      <c r="A374" s="86" t="inlineStr">
        <is>
          <t>13RS075086</t>
        </is>
      </c>
      <c r="B374" s="86" t="inlineStr">
        <is>
          <t>RS 75086</t>
        </is>
      </c>
      <c r="C374" s="86" t="n">
        <v>0.76</v>
      </c>
      <c r="D374" s="86" t="n">
        <v>0.401</v>
      </c>
      <c r="E374" s="86" t="n">
        <v>0.6</v>
      </c>
    </row>
    <row r="375" ht="12.5" customHeight="1">
      <c r="A375" s="86" t="inlineStr">
        <is>
          <t>13RS075087</t>
        </is>
      </c>
      <c r="B375" s="86" t="inlineStr">
        <is>
          <t>RS 75087</t>
        </is>
      </c>
      <c r="C375" s="86" t="n">
        <v>0.75</v>
      </c>
      <c r="D375" s="86" t="n">
        <v>0.327</v>
      </c>
      <c r="E375" s="86" t="n">
        <v>0.188</v>
      </c>
    </row>
    <row r="376" ht="12.5" customHeight="1">
      <c r="A376" s="86" t="inlineStr">
        <is>
          <t>13RS075088</t>
        </is>
      </c>
      <c r="B376" s="86" t="inlineStr">
        <is>
          <t>RS 75088</t>
        </is>
      </c>
      <c r="C376" s="86" t="n">
        <v>0.75</v>
      </c>
      <c r="D376" s="86" t="n">
        <v>0.187</v>
      </c>
      <c r="E376" s="86" t="n">
        <v>0.5</v>
      </c>
    </row>
    <row r="377" ht="12.5" customHeight="1">
      <c r="A377" s="86" t="inlineStr">
        <is>
          <t>13RS075990</t>
        </is>
      </c>
      <c r="B377" s="86" t="inlineStr">
        <is>
          <t>RS 75990</t>
        </is>
      </c>
      <c r="C377" s="86" t="n">
        <v>0.76</v>
      </c>
      <c r="D377" s="86" t="n">
        <v>0.394</v>
      </c>
      <c r="E377" s="86" t="n">
        <v>0.91</v>
      </c>
    </row>
    <row r="378" ht="12.5" customHeight="1">
      <c r="A378" s="86" t="inlineStr">
        <is>
          <t>13RS075991</t>
        </is>
      </c>
      <c r="B378" s="86" t="inlineStr">
        <is>
          <t>RS 75991</t>
        </is>
      </c>
      <c r="C378" s="86" t="n">
        <v>0.78</v>
      </c>
      <c r="D378" s="86" t="n">
        <v>0.501</v>
      </c>
      <c r="E378" s="86" t="n">
        <v>0.205</v>
      </c>
    </row>
    <row r="379" ht="12.5" customHeight="1">
      <c r="A379" s="86" t="inlineStr">
        <is>
          <t>13RS077530</t>
        </is>
      </c>
      <c r="B379" s="86" t="inlineStr">
        <is>
          <t>RS 77530</t>
        </is>
      </c>
      <c r="C379" s="86" t="n">
        <v>0.775</v>
      </c>
      <c r="D379" s="86" t="n">
        <v>0.507</v>
      </c>
      <c r="E379" s="86" t="n">
        <v>0.25</v>
      </c>
    </row>
    <row r="380" ht="12.5" customHeight="1">
      <c r="A380" s="86" t="inlineStr">
        <is>
          <t>13RS077531</t>
        </is>
      </c>
      <c r="B380" s="86" t="inlineStr">
        <is>
          <t>RS 77531</t>
        </is>
      </c>
      <c r="C380" s="86" t="n">
        <v>0.77</v>
      </c>
      <c r="D380" s="86" t="n">
        <v>0.434</v>
      </c>
      <c r="E380" s="86" t="n">
        <v>0.377</v>
      </c>
    </row>
    <row r="381" ht="12.5" customHeight="1">
      <c r="A381" s="86" t="inlineStr">
        <is>
          <t>13RS081045</t>
        </is>
      </c>
      <c r="B381" s="86" t="inlineStr">
        <is>
          <t>RS 81045</t>
        </is>
      </c>
      <c r="C381" s="86" t="n">
        <v>0.803</v>
      </c>
      <c r="D381" s="86" t="n">
        <v>0.52</v>
      </c>
      <c r="E381" s="86" t="n">
        <v>0.5</v>
      </c>
    </row>
    <row r="382" ht="12.5" customHeight="1">
      <c r="A382" s="86" t="inlineStr">
        <is>
          <t>13RS081222</t>
        </is>
      </c>
      <c r="B382" s="86" t="inlineStr">
        <is>
          <t>RS 81222</t>
        </is>
      </c>
      <c r="C382" s="86" t="n">
        <v>0.8120000000000001</v>
      </c>
      <c r="D382" s="86" t="n">
        <v>0.312</v>
      </c>
      <c r="E382" s="86" t="n">
        <v>0.125</v>
      </c>
    </row>
    <row r="383" ht="12.5" customHeight="1">
      <c r="A383" s="86" t="inlineStr">
        <is>
          <t>13RS081223</t>
        </is>
      </c>
      <c r="B383" s="86" t="inlineStr">
        <is>
          <t>RS 81223</t>
        </is>
      </c>
      <c r="C383" s="86" t="n">
        <v>0.8120000000000001</v>
      </c>
      <c r="D383" s="86" t="n">
        <v>0.403</v>
      </c>
      <c r="E383" s="86" t="n">
        <v>0.25</v>
      </c>
    </row>
    <row r="384" ht="12.5" customHeight="1">
      <c r="A384" s="86" t="inlineStr">
        <is>
          <t>13RS081224</t>
        </is>
      </c>
      <c r="B384" s="86" t="inlineStr">
        <is>
          <t>RS 81224</t>
        </is>
      </c>
      <c r="C384" s="86" t="n">
        <v>0.8120000000000001</v>
      </c>
      <c r="D384" s="86" t="n">
        <v>0.403</v>
      </c>
      <c r="E384" s="86" t="n">
        <v>0.71</v>
      </c>
    </row>
    <row r="385" ht="12.5" customHeight="1">
      <c r="A385" s="86" t="inlineStr">
        <is>
          <t>13RS081225</t>
        </is>
      </c>
      <c r="B385" s="86" t="inlineStr">
        <is>
          <t>RS 81225</t>
        </is>
      </c>
      <c r="C385" s="86" t="n">
        <v>0.805</v>
      </c>
      <c r="D385" s="86" t="n">
        <v>0.6879999999999999</v>
      </c>
      <c r="E385" s="86" t="n">
        <v>0.5</v>
      </c>
    </row>
    <row r="386" ht="12.5" customHeight="1">
      <c r="A386" s="86" t="inlineStr">
        <is>
          <t>13RS081262</t>
        </is>
      </c>
      <c r="B386" s="86" t="inlineStr">
        <is>
          <t>RS 81262</t>
        </is>
      </c>
      <c r="C386" s="86" t="n">
        <v>0.825</v>
      </c>
      <c r="D386" s="86" t="n">
        <v>0.203</v>
      </c>
      <c r="E386" s="86" t="n">
        <v>0.625</v>
      </c>
    </row>
    <row r="387" ht="12.5" customHeight="1">
      <c r="A387" s="86" t="inlineStr">
        <is>
          <t>13RS081263</t>
        </is>
      </c>
      <c r="B387" s="86" t="inlineStr">
        <is>
          <t>RS 81263</t>
        </is>
      </c>
      <c r="C387" s="86" t="n">
        <v>0.825</v>
      </c>
      <c r="D387" s="86" t="n">
        <v>0.257</v>
      </c>
      <c r="E387" s="86" t="n">
        <v>0.37</v>
      </c>
    </row>
    <row r="388" ht="12.5" customHeight="1">
      <c r="A388" s="86" t="inlineStr">
        <is>
          <t>13RS083531</t>
        </is>
      </c>
      <c r="B388" s="86" t="inlineStr">
        <is>
          <t>RS 83531</t>
        </is>
      </c>
      <c r="C388" s="86" t="n">
        <v>0.835</v>
      </c>
      <c r="D388" s="86" t="n">
        <v>0.54</v>
      </c>
      <c r="E388" s="86" t="n">
        <v>0.188</v>
      </c>
    </row>
    <row r="389" ht="12.5" customHeight="1">
      <c r="A389" s="86" t="inlineStr">
        <is>
          <t>13RS084101</t>
        </is>
      </c>
      <c r="B389" s="86" t="inlineStr">
        <is>
          <t>RS 84101</t>
        </is>
      </c>
      <c r="C389" s="86" t="n">
        <v>0.841</v>
      </c>
      <c r="D389" s="86" t="n">
        <v>0.605</v>
      </c>
      <c r="E389" s="86" t="n">
        <v>0.6</v>
      </c>
    </row>
    <row r="390" ht="12.5" customHeight="1">
      <c r="A390" s="86" t="inlineStr">
        <is>
          <t>13RS087045</t>
        </is>
      </c>
      <c r="B390" s="86" t="inlineStr">
        <is>
          <t>RS 87045</t>
        </is>
      </c>
      <c r="C390" s="86" t="n">
        <v>0.87</v>
      </c>
      <c r="D390" s="86" t="n">
        <v>0.531</v>
      </c>
      <c r="E390" s="86" t="n">
        <v>0.391</v>
      </c>
    </row>
    <row r="391" ht="12.5" customHeight="1">
      <c r="A391" s="86" t="inlineStr">
        <is>
          <t>13RS087046</t>
        </is>
      </c>
      <c r="B391" s="86" t="inlineStr">
        <is>
          <t>RS 87046</t>
        </is>
      </c>
      <c r="C391" s="86" t="n">
        <v>0.866</v>
      </c>
      <c r="D391" s="86" t="n">
        <v>0.25</v>
      </c>
      <c r="E391" s="86" t="n">
        <v>0.394</v>
      </c>
    </row>
    <row r="392" ht="12.5" customHeight="1">
      <c r="A392" s="86" t="inlineStr">
        <is>
          <t>13RS087047</t>
        </is>
      </c>
      <c r="B392" s="86" t="inlineStr">
        <is>
          <t>RS 87047</t>
        </is>
      </c>
      <c r="C392" s="86" t="n">
        <v>0.87</v>
      </c>
      <c r="D392" s="86" t="n">
        <v>0.61</v>
      </c>
      <c r="E392" s="86" t="n">
        <v>0.5</v>
      </c>
    </row>
    <row r="393" ht="12.5" customHeight="1">
      <c r="A393" s="86" t="inlineStr">
        <is>
          <t>13RS087536</t>
        </is>
      </c>
      <c r="B393" s="86" t="inlineStr">
        <is>
          <t>RS 87536</t>
        </is>
      </c>
      <c r="C393" s="86" t="n">
        <v>0.87</v>
      </c>
      <c r="D393" s="86" t="n">
        <v>0.527</v>
      </c>
      <c r="E393" s="86" t="n">
        <v>0.875</v>
      </c>
    </row>
    <row r="394" ht="12.5" customHeight="1">
      <c r="A394" s="86" t="inlineStr">
        <is>
          <t>13RS087537</t>
        </is>
      </c>
      <c r="B394" s="86" t="inlineStr">
        <is>
          <t>RS 87537</t>
        </is>
      </c>
      <c r="C394" s="86" t="n">
        <v>0.875</v>
      </c>
      <c r="D394" s="86" t="n">
        <v>0.33</v>
      </c>
      <c r="E394" s="86" t="n">
        <v>0.375</v>
      </c>
    </row>
    <row r="395" ht="12.5" customHeight="1">
      <c r="A395" s="86" t="inlineStr">
        <is>
          <t>13RS087539</t>
        </is>
      </c>
      <c r="B395" s="86" t="inlineStr">
        <is>
          <t>RS 87539</t>
        </is>
      </c>
      <c r="C395" s="86" t="n">
        <v>0.875</v>
      </c>
      <c r="D395" s="86" t="n">
        <v>0.375</v>
      </c>
      <c r="E395" s="86" t="n">
        <v>0.312</v>
      </c>
    </row>
    <row r="396" ht="12.5" customHeight="1">
      <c r="A396" s="86" t="inlineStr">
        <is>
          <t>13RS087540</t>
        </is>
      </c>
      <c r="B396" s="86" t="inlineStr">
        <is>
          <t>RS 87540</t>
        </is>
      </c>
      <c r="C396" s="86" t="n">
        <v>0.875</v>
      </c>
      <c r="D396" s="86" t="n">
        <v>0.265</v>
      </c>
      <c r="E396" s="86" t="n">
        <v>0.375</v>
      </c>
    </row>
    <row r="397" ht="12.5" customHeight="1">
      <c r="A397" s="86" t="inlineStr">
        <is>
          <t>13RS087541</t>
        </is>
      </c>
      <c r="B397" s="86" t="inlineStr">
        <is>
          <t>RS 87541</t>
        </is>
      </c>
      <c r="C397" s="86" t="n">
        <v>0.875</v>
      </c>
      <c r="D397" s="86" t="n">
        <v>0.325</v>
      </c>
      <c r="E397" s="86" t="n">
        <v>0.25</v>
      </c>
    </row>
    <row r="398" ht="12.5" customHeight="1">
      <c r="A398" s="86" t="inlineStr">
        <is>
          <t>13RS087542</t>
        </is>
      </c>
      <c r="B398" s="86" t="inlineStr">
        <is>
          <t>RS 87542</t>
        </is>
      </c>
      <c r="C398" s="86" t="n">
        <v>0.875</v>
      </c>
      <c r="D398" s="86" t="n">
        <v>0.265</v>
      </c>
      <c r="E398" s="86" t="n">
        <v>0.25</v>
      </c>
    </row>
    <row r="399" ht="12.5" customHeight="1">
      <c r="A399" s="87" t="inlineStr">
        <is>
          <t>13RS087550</t>
        </is>
      </c>
      <c r="B399" s="87" t="inlineStr">
        <is>
          <t>RS 87550</t>
        </is>
      </c>
      <c r="C399" s="87" t="n">
        <v>0.875</v>
      </c>
      <c r="D399" s="87" t="n">
        <v>0.251</v>
      </c>
      <c r="E399" s="87" t="n">
        <v>0.625</v>
      </c>
    </row>
    <row r="400" ht="12.5" customHeight="1">
      <c r="A400" s="86" t="inlineStr">
        <is>
          <t>13RS087551</t>
        </is>
      </c>
      <c r="B400" s="86" t="inlineStr">
        <is>
          <t>RS 87551</t>
        </is>
      </c>
      <c r="C400" s="86" t="n">
        <v>0.875</v>
      </c>
      <c r="D400" s="86" t="n">
        <v>0.265</v>
      </c>
      <c r="E400" s="86" t="n">
        <v>0.156</v>
      </c>
    </row>
    <row r="401" ht="12.5" customHeight="1">
      <c r="A401" s="86" t="inlineStr">
        <is>
          <t>13RS087555</t>
        </is>
      </c>
      <c r="B401" s="86" t="inlineStr">
        <is>
          <t>RS 87555</t>
        </is>
      </c>
      <c r="C401" s="86" t="n">
        <v>0.875</v>
      </c>
      <c r="D401" s="86" t="n">
        <v>0.28</v>
      </c>
      <c r="E401" s="86" t="n">
        <v>0.5</v>
      </c>
    </row>
    <row r="402" ht="12.5" customHeight="1">
      <c r="A402" s="86" t="inlineStr">
        <is>
          <t>13RS087556</t>
        </is>
      </c>
      <c r="B402" s="86" t="inlineStr">
        <is>
          <t>RS 87556</t>
        </is>
      </c>
      <c r="C402" s="86" t="n">
        <v>0.875</v>
      </c>
      <c r="D402" s="86" t="n">
        <v>0.265</v>
      </c>
      <c r="E402" s="86" t="n">
        <v>0.75</v>
      </c>
    </row>
    <row r="403" ht="12.5" customHeight="1">
      <c r="A403" s="86" t="inlineStr">
        <is>
          <t>13RS087557</t>
        </is>
      </c>
      <c r="B403" s="86" t="inlineStr">
        <is>
          <t>RS 87557</t>
        </is>
      </c>
      <c r="C403" s="86" t="n">
        <v>0.875</v>
      </c>
      <c r="D403" s="86" t="n">
        <v>0.422</v>
      </c>
      <c r="E403" s="86" t="n">
        <v>0.375</v>
      </c>
    </row>
    <row r="404" ht="12.5" customHeight="1">
      <c r="A404" s="86" t="inlineStr">
        <is>
          <t>13RS089037</t>
        </is>
      </c>
      <c r="B404" s="86" t="inlineStr">
        <is>
          <t>RS 89037</t>
        </is>
      </c>
      <c r="C404" s="86" t="n">
        <v>0.885</v>
      </c>
      <c r="D404" s="86" t="n">
        <v>0.438</v>
      </c>
      <c r="E404" s="86" t="n">
        <v>0.37</v>
      </c>
    </row>
    <row r="405" ht="12.5" customHeight="1">
      <c r="A405" s="86" t="inlineStr">
        <is>
          <t>13RS089038</t>
        </is>
      </c>
      <c r="B405" s="86" t="inlineStr">
        <is>
          <t>RS 89038</t>
        </is>
      </c>
      <c r="C405" s="86" t="n">
        <v>0.907</v>
      </c>
      <c r="D405" s="86" t="n">
        <v>0.78</v>
      </c>
      <c r="E405" s="86" t="n">
        <v>0.315</v>
      </c>
    </row>
    <row r="406" ht="12.5" customHeight="1">
      <c r="A406" s="86" t="inlineStr">
        <is>
          <t>13RS091775</t>
        </is>
      </c>
      <c r="B406" s="86" t="inlineStr">
        <is>
          <t>RS 91775</t>
        </is>
      </c>
      <c r="C406" s="86" t="n">
        <v>0.917</v>
      </c>
      <c r="D406" s="86" t="n">
        <v>0.785</v>
      </c>
      <c r="E406" s="86" t="n">
        <v>0.75</v>
      </c>
    </row>
    <row r="407" ht="12.5" customHeight="1">
      <c r="A407" s="86" t="inlineStr">
        <is>
          <t>13RS094550</t>
        </is>
      </c>
      <c r="B407" s="86" t="inlineStr">
        <is>
          <t>RS 94550</t>
        </is>
      </c>
      <c r="C407" s="86" t="n">
        <v>0.946</v>
      </c>
      <c r="D407" s="86" t="n">
        <v>0.248</v>
      </c>
      <c r="E407" s="86" t="n">
        <v>0.5</v>
      </c>
    </row>
    <row r="408" ht="12.5" customHeight="1">
      <c r="A408" s="86" t="inlineStr">
        <is>
          <t>13RS094551</t>
        </is>
      </c>
      <c r="B408" s="86" t="inlineStr">
        <is>
          <t>RS 94551</t>
        </is>
      </c>
      <c r="C408" s="86" t="n">
        <v>0.984</v>
      </c>
      <c r="D408" s="86" t="n">
        <v>0.509</v>
      </c>
      <c r="E408" s="86" t="n">
        <v>0.984</v>
      </c>
    </row>
    <row r="409" ht="12.5" customHeight="1">
      <c r="A409" s="86" t="inlineStr">
        <is>
          <t>13RS097518</t>
        </is>
      </c>
      <c r="B409" s="86" t="inlineStr">
        <is>
          <t>RS 97518</t>
        </is>
      </c>
      <c r="C409" s="86" t="n">
        <v>0.975</v>
      </c>
      <c r="D409" s="86" t="n">
        <v>0.39</v>
      </c>
      <c r="E409" s="86" t="n">
        <v>1.18</v>
      </c>
    </row>
    <row r="410" ht="12.5" customHeight="1">
      <c r="A410" s="86" t="inlineStr">
        <is>
          <t>13RS098528</t>
        </is>
      </c>
      <c r="B410" s="86" t="inlineStr">
        <is>
          <t>RS 98528</t>
        </is>
      </c>
      <c r="C410" s="86" t="n">
        <v>0.985</v>
      </c>
      <c r="D410" s="86" t="n">
        <v>0.285</v>
      </c>
      <c r="E410" s="86" t="n">
        <v>0.25</v>
      </c>
    </row>
    <row r="411" ht="12.5" customHeight="1">
      <c r="A411" s="86" t="inlineStr">
        <is>
          <t>13RS098550</t>
        </is>
      </c>
      <c r="B411" s="86" t="inlineStr">
        <is>
          <t>RS 98550</t>
        </is>
      </c>
      <c r="C411" s="86" t="n">
        <v>0.98</v>
      </c>
      <c r="D411" s="86" t="n">
        <v>0.352</v>
      </c>
      <c r="E411" s="86" t="n">
        <v>0.5</v>
      </c>
    </row>
    <row r="412" ht="12.5" customHeight="1">
      <c r="A412" s="86" t="inlineStr">
        <is>
          <t>13RS098551</t>
        </is>
      </c>
      <c r="B412" s="86" t="inlineStr">
        <is>
          <t>RS 98551</t>
        </is>
      </c>
      <c r="C412" s="86" t="n">
        <v>1</v>
      </c>
      <c r="D412" s="86" t="n">
        <v>0.3125</v>
      </c>
      <c r="E412" s="86" t="n">
        <v>0.25</v>
      </c>
    </row>
    <row r="413" ht="12.5" customHeight="1">
      <c r="A413" s="87" t="inlineStr">
        <is>
          <t>13RS098552</t>
        </is>
      </c>
      <c r="B413" s="87" t="inlineStr">
        <is>
          <t>RS 98552</t>
        </is>
      </c>
      <c r="C413" s="87" t="n">
        <v>1</v>
      </c>
      <c r="D413" s="87" t="n">
        <v>0.328</v>
      </c>
      <c r="E413" s="87" t="n">
        <v>1</v>
      </c>
    </row>
    <row r="414" ht="12.5" customHeight="1">
      <c r="A414" s="86" t="inlineStr">
        <is>
          <t>13RS098553</t>
        </is>
      </c>
      <c r="B414" s="86" t="inlineStr">
        <is>
          <t>RS 98553</t>
        </is>
      </c>
      <c r="C414" s="86" t="n">
        <v>0.984</v>
      </c>
      <c r="D414" s="86" t="n">
        <v>0.65</v>
      </c>
      <c r="E414" s="86" t="n">
        <v>0.492</v>
      </c>
    </row>
    <row r="415" ht="12.5" customHeight="1">
      <c r="A415" s="86" t="inlineStr">
        <is>
          <t>13RS100008</t>
        </is>
      </c>
      <c r="B415" s="86" t="inlineStr">
        <is>
          <t>RS 100008</t>
        </is>
      </c>
      <c r="C415" s="86" t="n">
        <v>1</v>
      </c>
      <c r="D415" s="86" t="n">
        <v>0.45</v>
      </c>
      <c r="E415" s="86" t="n">
        <v>0.219</v>
      </c>
    </row>
    <row r="416" ht="12.5" customHeight="1">
      <c r="A416" s="86" t="inlineStr">
        <is>
          <t>13RS100009</t>
        </is>
      </c>
      <c r="B416" s="86" t="inlineStr">
        <is>
          <t>RS 100009</t>
        </is>
      </c>
      <c r="C416" s="86" t="n">
        <v>1</v>
      </c>
      <c r="D416" s="86" t="n">
        <v>0.53</v>
      </c>
      <c r="E416" s="86" t="n">
        <v>0.5</v>
      </c>
    </row>
    <row r="417" ht="12.5" customHeight="1">
      <c r="A417" s="86" t="inlineStr">
        <is>
          <t>13RS100010</t>
        </is>
      </c>
      <c r="B417" s="86" t="inlineStr">
        <is>
          <t>RS 100010</t>
        </is>
      </c>
      <c r="C417" s="86" t="n">
        <v>1</v>
      </c>
      <c r="D417" s="86" t="n">
        <v>0.65</v>
      </c>
      <c r="E417" s="86" t="n">
        <v>0.373</v>
      </c>
    </row>
    <row r="418" ht="12.5" customHeight="1">
      <c r="A418" s="86" t="inlineStr">
        <is>
          <t>13RS100011</t>
        </is>
      </c>
      <c r="B418" s="86" t="inlineStr">
        <is>
          <t>RS 100011</t>
        </is>
      </c>
      <c r="C418" s="86" t="n">
        <v>0.998</v>
      </c>
      <c r="D418" s="86" t="n">
        <v>0.523</v>
      </c>
      <c r="E418" s="86" t="n">
        <v>0.453</v>
      </c>
    </row>
    <row r="419" ht="12.5" customHeight="1">
      <c r="A419" s="86" t="inlineStr">
        <is>
          <t>13RS100012</t>
        </is>
      </c>
      <c r="B419" s="86" t="inlineStr">
        <is>
          <t>RS 100012</t>
        </is>
      </c>
      <c r="C419" s="86" t="n">
        <v>1</v>
      </c>
      <c r="D419" s="86" t="n">
        <v>0.25</v>
      </c>
      <c r="E419" s="86" t="n">
        <v>0.125</v>
      </c>
    </row>
    <row r="420" ht="12.5" customHeight="1">
      <c r="A420" s="87" t="inlineStr">
        <is>
          <t>13RS100013</t>
        </is>
      </c>
      <c r="B420" s="87" t="inlineStr">
        <is>
          <t>RS 100013</t>
        </is>
      </c>
      <c r="C420" s="87" t="n">
        <v>0.99</v>
      </c>
      <c r="D420" s="87" t="n">
        <v>0.344</v>
      </c>
      <c r="E420" s="87" t="n">
        <v>0.3125</v>
      </c>
    </row>
    <row r="421" ht="12.5" customHeight="1">
      <c r="A421" s="86" t="inlineStr">
        <is>
          <t>13RS100014</t>
        </is>
      </c>
      <c r="B421" s="86" t="inlineStr">
        <is>
          <t>RS 100014</t>
        </is>
      </c>
      <c r="C421" s="86" t="n">
        <v>1</v>
      </c>
      <c r="D421" s="86" t="n">
        <v>0.26</v>
      </c>
      <c r="E421" s="86" t="n">
        <v>0.375</v>
      </c>
    </row>
    <row r="422" ht="12.5" customHeight="1">
      <c r="A422" s="86" t="inlineStr">
        <is>
          <t>13RS100015</t>
        </is>
      </c>
      <c r="B422" s="86" t="inlineStr">
        <is>
          <t>RS 100015</t>
        </is>
      </c>
      <c r="C422" s="86" t="n">
        <v>1</v>
      </c>
      <c r="D422" s="86" t="n">
        <v>0.344</v>
      </c>
      <c r="E422" s="86" t="n">
        <v>0.435</v>
      </c>
    </row>
    <row r="423" ht="12.5" customHeight="1">
      <c r="A423" s="86" t="inlineStr">
        <is>
          <t>13RS100016</t>
        </is>
      </c>
      <c r="B423" s="86" t="inlineStr">
        <is>
          <t>RS 100016</t>
        </is>
      </c>
      <c r="C423" s="86" t="n">
        <v>1</v>
      </c>
      <c r="D423" s="86" t="n">
        <v>0.265</v>
      </c>
      <c r="E423" s="86" t="n">
        <v>0.188</v>
      </c>
    </row>
    <row r="424" ht="12.5" customHeight="1">
      <c r="A424" s="86" t="inlineStr">
        <is>
          <t>13RS100018</t>
        </is>
      </c>
      <c r="B424" s="86" t="inlineStr">
        <is>
          <t>RS 100018</t>
        </is>
      </c>
      <c r="C424" s="86" t="n">
        <v>1</v>
      </c>
      <c r="D424" s="86" t="n">
        <v>0.25</v>
      </c>
      <c r="E424" s="86" t="n">
        <v>0.1875</v>
      </c>
    </row>
    <row r="425" ht="12.5" customHeight="1">
      <c r="A425" s="86" t="inlineStr">
        <is>
          <t>13RS100020</t>
        </is>
      </c>
      <c r="B425" s="86" t="inlineStr">
        <is>
          <t>RS 100020</t>
        </is>
      </c>
      <c r="C425" s="86" t="n">
        <v>0.99</v>
      </c>
      <c r="D425" s="86" t="n">
        <v>0.187</v>
      </c>
      <c r="E425" s="86" t="n">
        <v>0.25</v>
      </c>
    </row>
    <row r="426" ht="12.5" customHeight="1">
      <c r="A426" s="86" t="inlineStr">
        <is>
          <t>13RS100021</t>
        </is>
      </c>
      <c r="B426" s="86" t="inlineStr">
        <is>
          <t>RS 100021</t>
        </is>
      </c>
      <c r="C426" s="86" t="n">
        <v>1</v>
      </c>
      <c r="D426" s="86" t="n">
        <v>0.25</v>
      </c>
      <c r="E426" s="86" t="n">
        <v>0.25</v>
      </c>
    </row>
    <row r="427" ht="12.5" customHeight="1">
      <c r="A427" s="88" t="inlineStr">
        <is>
          <t>13RS100022</t>
        </is>
      </c>
      <c r="B427" s="87" t="inlineStr">
        <is>
          <t>RS 100022</t>
        </is>
      </c>
      <c r="C427" s="87" t="n">
        <v>1</v>
      </c>
      <c r="D427" s="87" t="n">
        <v>0.375</v>
      </c>
      <c r="E427" s="87" t="n">
        <v>0.8</v>
      </c>
    </row>
    <row r="428" ht="12.5" customHeight="1">
      <c r="A428" s="86" t="inlineStr">
        <is>
          <t>13RS100025</t>
        </is>
      </c>
      <c r="B428" s="86" t="inlineStr">
        <is>
          <t>RS 100025</t>
        </is>
      </c>
      <c r="C428" s="86" t="n">
        <v>1</v>
      </c>
      <c r="D428" s="86" t="n">
        <v>0.915</v>
      </c>
      <c r="E428" s="86" t="n">
        <v>0.25</v>
      </c>
    </row>
    <row r="429" ht="12.5" customHeight="1">
      <c r="A429" s="86" t="inlineStr">
        <is>
          <t>13RS100026</t>
        </is>
      </c>
      <c r="B429" s="86" t="inlineStr">
        <is>
          <t>RS 100026</t>
        </is>
      </c>
      <c r="C429" s="86" t="n">
        <v>1</v>
      </c>
      <c r="D429" s="86" t="n">
        <v>0.25</v>
      </c>
      <c r="E429" s="86" t="n">
        <v>0.4375</v>
      </c>
    </row>
    <row r="430" ht="12.5" customHeight="1">
      <c r="A430" s="86" t="inlineStr">
        <is>
          <t>13RS100030</t>
        </is>
      </c>
      <c r="B430" s="86" t="inlineStr">
        <is>
          <t>RS 100030</t>
        </is>
      </c>
      <c r="C430" s="86" t="n">
        <v>1</v>
      </c>
      <c r="D430" s="86" t="n">
        <v>0.25</v>
      </c>
      <c r="E430" s="86" t="n">
        <v>0.225</v>
      </c>
    </row>
    <row r="431" ht="12.5" customHeight="1">
      <c r="A431" s="86" t="inlineStr">
        <is>
          <t>13RS100031</t>
        </is>
      </c>
      <c r="B431" s="86" t="inlineStr">
        <is>
          <t>RS 100031</t>
        </is>
      </c>
      <c r="C431" s="86" t="n">
        <v>1</v>
      </c>
      <c r="D431" s="86" t="n">
        <v>0.517</v>
      </c>
      <c r="E431" s="86" t="n">
        <v>0.375</v>
      </c>
    </row>
    <row r="432" ht="12.5" customHeight="1">
      <c r="A432" s="86" t="inlineStr">
        <is>
          <t>13RS100036</t>
        </is>
      </c>
      <c r="B432" s="86" t="inlineStr">
        <is>
          <t>RS 100036</t>
        </is>
      </c>
      <c r="C432" s="86" t="n">
        <v>1</v>
      </c>
      <c r="D432" s="86" t="n">
        <v>0.385</v>
      </c>
      <c r="E432" s="86" t="n">
        <v>0.34</v>
      </c>
    </row>
    <row r="433" ht="12.5" customHeight="1">
      <c r="A433" s="87" t="inlineStr">
        <is>
          <t>13RS100037</t>
        </is>
      </c>
      <c r="B433" s="87" t="inlineStr">
        <is>
          <t>RS 100037</t>
        </is>
      </c>
      <c r="C433" s="87" t="n">
        <v>1</v>
      </c>
      <c r="D433" s="87" t="n">
        <v>0.385</v>
      </c>
      <c r="E433" s="87" t="n">
        <v>0.375</v>
      </c>
    </row>
    <row r="434" ht="12.5" customHeight="1">
      <c r="A434" s="86" t="inlineStr">
        <is>
          <t>13RS100038</t>
        </is>
      </c>
      <c r="B434" s="86" t="inlineStr">
        <is>
          <t>RS 100038</t>
        </is>
      </c>
      <c r="C434" s="86" t="n">
        <v>1</v>
      </c>
      <c r="D434" s="86" t="n">
        <v>0.2</v>
      </c>
      <c r="E434" s="86" t="n">
        <v>0.375</v>
      </c>
    </row>
    <row r="435" ht="12.5" customHeight="1">
      <c r="A435" s="86" t="inlineStr">
        <is>
          <t>13RS100043</t>
        </is>
      </c>
      <c r="B435" s="86" t="inlineStr">
        <is>
          <t>RS 100043</t>
        </is>
      </c>
      <c r="C435" s="86" t="n">
        <v>1</v>
      </c>
      <c r="D435" s="86" t="n">
        <v>0.406</v>
      </c>
      <c r="E435" s="86" t="n">
        <v>0.4375</v>
      </c>
    </row>
    <row r="436" ht="12.5" customHeight="1">
      <c r="A436" s="86" t="inlineStr">
        <is>
          <t>13RS100050</t>
        </is>
      </c>
      <c r="B436" s="86" t="inlineStr">
        <is>
          <t>RS 100050</t>
        </is>
      </c>
      <c r="C436" s="86" t="n">
        <v>1</v>
      </c>
      <c r="D436" s="86" t="n">
        <v>0.755</v>
      </c>
      <c r="E436" s="86" t="n">
        <v>0.203</v>
      </c>
    </row>
    <row r="437" ht="12.5" customHeight="1">
      <c r="A437" s="86" t="inlineStr">
        <is>
          <t>13RS100051</t>
        </is>
      </c>
      <c r="B437" s="86" t="inlineStr">
        <is>
          <t>RS 100051</t>
        </is>
      </c>
      <c r="C437" s="86" t="n">
        <v>1</v>
      </c>
      <c r="D437" s="86" t="n">
        <v>0.643</v>
      </c>
      <c r="E437" s="86" t="n">
        <v>0.5</v>
      </c>
    </row>
    <row r="438" ht="12.5" customHeight="1">
      <c r="A438" s="86" t="inlineStr">
        <is>
          <t>13RS100053</t>
        </is>
      </c>
      <c r="B438" s="86" t="inlineStr">
        <is>
          <t>RS 100053</t>
        </is>
      </c>
      <c r="C438" s="86" t="n">
        <v>1</v>
      </c>
      <c r="D438" s="86" t="n">
        <v>0.51</v>
      </c>
      <c r="E438" s="86" t="n">
        <v>0.59</v>
      </c>
    </row>
    <row r="439" ht="12.5" customHeight="1">
      <c r="A439" s="87" t="inlineStr">
        <is>
          <t>13RS100054</t>
        </is>
      </c>
      <c r="B439" s="87" t="inlineStr">
        <is>
          <t>RS 100054</t>
        </is>
      </c>
      <c r="C439" s="87" t="n">
        <v>1</v>
      </c>
      <c r="D439" s="87" t="n">
        <v>0.375</v>
      </c>
      <c r="E439" s="87" t="n">
        <v>0.5</v>
      </c>
    </row>
    <row r="440" ht="12.5" customHeight="1">
      <c r="A440" s="86" t="inlineStr">
        <is>
          <t>13RS100055</t>
        </is>
      </c>
      <c r="B440" s="86" t="inlineStr">
        <is>
          <t>RS 100055</t>
        </is>
      </c>
      <c r="C440" s="86" t="n">
        <v>1.08</v>
      </c>
      <c r="D440" s="86" t="n">
        <v>0.95</v>
      </c>
      <c r="E440" s="86" t="n">
        <v>0.875</v>
      </c>
    </row>
    <row r="441" ht="12.5" customHeight="1">
      <c r="A441" s="86" t="inlineStr">
        <is>
          <t>13RS100056</t>
        </is>
      </c>
      <c r="B441" s="86" t="inlineStr">
        <is>
          <t>RS 100056</t>
        </is>
      </c>
      <c r="C441" s="86" t="n">
        <v>1</v>
      </c>
      <c r="D441" s="86" t="n">
        <v>0.765</v>
      </c>
      <c r="E441" s="86" t="n">
        <v>0.5625</v>
      </c>
    </row>
    <row r="442" ht="12.5" customHeight="1">
      <c r="A442" s="86" t="inlineStr">
        <is>
          <t>13RS100057</t>
        </is>
      </c>
      <c r="B442" s="86" t="inlineStr">
        <is>
          <t>RS 100057</t>
        </is>
      </c>
      <c r="C442" s="86" t="n">
        <v>1.18</v>
      </c>
      <c r="D442" s="86" t="n">
        <v>0.25</v>
      </c>
      <c r="E442" s="86" t="n">
        <v>0.217</v>
      </c>
    </row>
    <row r="443" ht="12.5" customHeight="1">
      <c r="A443" s="86" t="inlineStr">
        <is>
          <t>13RS100058</t>
        </is>
      </c>
      <c r="B443" s="86" t="inlineStr">
        <is>
          <t>RS 100058</t>
        </is>
      </c>
      <c r="C443" s="86" t="n">
        <v>0.984</v>
      </c>
      <c r="D443" s="86" t="n">
        <v>0.366</v>
      </c>
      <c r="E443" s="86" t="n">
        <v>0.375</v>
      </c>
    </row>
    <row r="444" ht="12.5" customHeight="1">
      <c r="A444" s="86" t="inlineStr">
        <is>
          <t>13RS100059</t>
        </is>
      </c>
      <c r="B444" s="86" t="inlineStr">
        <is>
          <t>RS 100059</t>
        </is>
      </c>
      <c r="C444" s="86" t="n">
        <v>1</v>
      </c>
      <c r="D444" s="86" t="n">
        <v>0.517</v>
      </c>
      <c r="E444" s="86" t="n">
        <v>0.6870000000000001</v>
      </c>
    </row>
    <row r="445" ht="12.5" customHeight="1">
      <c r="A445" s="86" t="inlineStr">
        <is>
          <t>13RS100060</t>
        </is>
      </c>
      <c r="B445" s="86" t="inlineStr">
        <is>
          <t>RS 100060</t>
        </is>
      </c>
      <c r="C445" s="86" t="n">
        <v>0.987</v>
      </c>
      <c r="D445" s="86" t="n">
        <v>0.5</v>
      </c>
      <c r="E445" s="86" t="n">
        <v>0.375</v>
      </c>
    </row>
    <row r="446" ht="12.5" customHeight="1">
      <c r="A446" s="86" t="inlineStr">
        <is>
          <t>13RS100061</t>
        </is>
      </c>
      <c r="B446" s="86" t="inlineStr">
        <is>
          <t>RS 100061</t>
        </is>
      </c>
      <c r="C446" s="86" t="n">
        <v>1</v>
      </c>
      <c r="D446" s="86" t="n">
        <v>0.517</v>
      </c>
      <c r="E446" s="86" t="n">
        <v>0.312</v>
      </c>
    </row>
    <row r="447" ht="12.5" customHeight="1">
      <c r="A447" s="86" t="inlineStr">
        <is>
          <t>13RS100062</t>
        </is>
      </c>
      <c r="B447" s="86" t="inlineStr">
        <is>
          <t>RS 100062</t>
        </is>
      </c>
      <c r="C447" s="86" t="n">
        <v>1</v>
      </c>
      <c r="D447" s="86" t="n">
        <v>0.5620000000000001</v>
      </c>
      <c r="E447" s="86" t="n">
        <v>0.91</v>
      </c>
    </row>
    <row r="448" ht="12.5" customHeight="1">
      <c r="A448" s="87" t="inlineStr">
        <is>
          <t>13RS100555</t>
        </is>
      </c>
      <c r="B448" s="87" t="inlineStr">
        <is>
          <t>RS 100555</t>
        </is>
      </c>
      <c r="C448" s="87" t="n">
        <v>0.986</v>
      </c>
      <c r="D448" s="87" t="n">
        <v>0.375</v>
      </c>
      <c r="E448" s="87" t="n">
        <v>0.25</v>
      </c>
    </row>
    <row r="449" ht="12.5" customHeight="1">
      <c r="A449" s="86" t="inlineStr">
        <is>
          <t>13RS105720</t>
        </is>
      </c>
      <c r="B449" s="86" t="inlineStr">
        <is>
          <t>RS 105720</t>
        </is>
      </c>
      <c r="C449" s="86" t="n">
        <v>1.057</v>
      </c>
      <c r="D449" s="86" t="n">
        <v>0.8120000000000001</v>
      </c>
      <c r="E449" s="86" t="n">
        <v>0.125</v>
      </c>
    </row>
    <row r="450" ht="12.5" customHeight="1">
      <c r="A450" s="86" t="inlineStr">
        <is>
          <t>13RS106212</t>
        </is>
      </c>
      <c r="B450" s="86" t="inlineStr">
        <is>
          <t>RS 106212</t>
        </is>
      </c>
      <c r="C450" s="86" t="n">
        <v>1.055</v>
      </c>
      <c r="D450" s="86" t="n">
        <v>0.74</v>
      </c>
      <c r="E450" s="86" t="n">
        <v>0.1875</v>
      </c>
    </row>
    <row r="451" ht="12.5" customHeight="1">
      <c r="A451" s="86" t="inlineStr">
        <is>
          <t>13RS112027</t>
        </is>
      </c>
      <c r="B451" s="86" t="inlineStr">
        <is>
          <t>RS 112027</t>
        </is>
      </c>
      <c r="C451" s="86" t="n">
        <v>1.12</v>
      </c>
      <c r="D451" s="86" t="n">
        <v>1.015</v>
      </c>
      <c r="E451" s="86" t="n">
        <v>0.375</v>
      </c>
    </row>
    <row r="452" ht="12.5" customHeight="1">
      <c r="A452" s="86" t="inlineStr">
        <is>
          <t>13RS112028</t>
        </is>
      </c>
      <c r="B452" s="86" t="inlineStr">
        <is>
          <t>RS 112028</t>
        </is>
      </c>
      <c r="C452" s="86" t="n">
        <v>1.12</v>
      </c>
      <c r="D452" s="86" t="n">
        <v>0.281</v>
      </c>
      <c r="E452" s="86" t="n">
        <v>0.4375</v>
      </c>
    </row>
    <row r="453" ht="12.5" customHeight="1">
      <c r="A453" s="86" t="inlineStr">
        <is>
          <t>13RS112030</t>
        </is>
      </c>
      <c r="B453" s="86" t="inlineStr">
        <is>
          <t>RS 112030</t>
        </is>
      </c>
      <c r="C453" s="86" t="n">
        <v>1.24</v>
      </c>
      <c r="D453" s="86" t="n">
        <v>0.505</v>
      </c>
      <c r="E453" s="86" t="n">
        <v>0.5</v>
      </c>
    </row>
    <row r="454" ht="12.5" customHeight="1">
      <c r="A454" s="86" t="inlineStr">
        <is>
          <t>13RS119600</t>
        </is>
      </c>
      <c r="B454" s="86" t="inlineStr">
        <is>
          <t>RS 119600</t>
        </is>
      </c>
      <c r="C454" s="86" t="n">
        <v>1.19</v>
      </c>
      <c r="D454" s="86" t="n">
        <v>0.315</v>
      </c>
      <c r="E454" s="86" t="n">
        <v>0.6</v>
      </c>
    </row>
    <row r="455" ht="12.5" customHeight="1">
      <c r="A455" s="86" t="inlineStr">
        <is>
          <t>13RS125075</t>
        </is>
      </c>
      <c r="B455" s="86" t="inlineStr">
        <is>
          <t>RS 125075</t>
        </is>
      </c>
      <c r="C455" s="86" t="n">
        <v>1.25</v>
      </c>
      <c r="D455" s="86" t="n">
        <v>0.177</v>
      </c>
      <c r="E455" s="86" t="n">
        <v>0.625</v>
      </c>
    </row>
    <row r="456" ht="12.5" customHeight="1">
      <c r="A456" s="86" t="inlineStr">
        <is>
          <t>13RS125080</t>
        </is>
      </c>
      <c r="B456" s="86" t="inlineStr">
        <is>
          <t>RS 125080</t>
        </is>
      </c>
      <c r="C456" s="86" t="n">
        <v>1.25</v>
      </c>
      <c r="D456" s="86" t="n">
        <v>0.642</v>
      </c>
      <c r="E456" s="86" t="n">
        <v>0.082</v>
      </c>
    </row>
    <row r="457" ht="12.5" customHeight="1">
      <c r="A457" s="86" t="inlineStr">
        <is>
          <t>13RS125081</t>
        </is>
      </c>
      <c r="B457" s="86" t="inlineStr">
        <is>
          <t>RS 125081</t>
        </is>
      </c>
      <c r="C457" s="86" t="n">
        <v>1.25</v>
      </c>
      <c r="D457" s="86" t="n">
        <v>0.875</v>
      </c>
      <c r="E457" s="86" t="n">
        <v>0.5625</v>
      </c>
    </row>
    <row r="458" ht="12.5" customHeight="1">
      <c r="A458" s="86" t="inlineStr">
        <is>
          <t>13RS125082</t>
        </is>
      </c>
      <c r="B458" s="86" t="inlineStr">
        <is>
          <t>RS 125082</t>
        </is>
      </c>
      <c r="C458" s="86" t="n">
        <v>1.25</v>
      </c>
      <c r="D458" s="86" t="n">
        <v>0.255</v>
      </c>
      <c r="E458" s="86" t="n">
        <v>0.531</v>
      </c>
    </row>
    <row r="459" ht="12.5" customHeight="1">
      <c r="A459" s="86" t="inlineStr">
        <is>
          <t>13RS125083</t>
        </is>
      </c>
      <c r="B459" s="86" t="inlineStr">
        <is>
          <t>RS 125083</t>
        </is>
      </c>
      <c r="C459" s="86" t="n">
        <v>1.25</v>
      </c>
      <c r="D459" s="86" t="n">
        <v>0.88</v>
      </c>
      <c r="E459" s="86" t="n">
        <v>0.33</v>
      </c>
    </row>
    <row r="460" ht="12.5" customHeight="1">
      <c r="A460" s="86" t="inlineStr">
        <is>
          <t>13RS125250</t>
        </is>
      </c>
      <c r="B460" s="86" t="inlineStr">
        <is>
          <t>RS 125250</t>
        </is>
      </c>
      <c r="C460" s="86" t="n">
        <v>1.24</v>
      </c>
      <c r="D460" s="86" t="n">
        <v>0.312</v>
      </c>
      <c r="E460" s="86" t="n">
        <v>0.25</v>
      </c>
    </row>
    <row r="461" ht="12.5" customHeight="1">
      <c r="A461" s="86" t="inlineStr">
        <is>
          <t>13RS125311</t>
        </is>
      </c>
      <c r="B461" s="86" t="inlineStr">
        <is>
          <t>RS 125311</t>
        </is>
      </c>
      <c r="C461" s="86" t="n">
        <v>1.25</v>
      </c>
      <c r="D461" s="86" t="n">
        <v>0.177</v>
      </c>
      <c r="E461" s="86" t="n">
        <v>0.5625</v>
      </c>
    </row>
    <row r="462" ht="12.5" customHeight="1">
      <c r="A462" s="86" t="inlineStr">
        <is>
          <t>13RS125312</t>
        </is>
      </c>
      <c r="B462" s="86" t="inlineStr">
        <is>
          <t>RS 125312</t>
        </is>
      </c>
      <c r="C462" s="86" t="n">
        <v>1.25</v>
      </c>
      <c r="D462" s="86" t="n">
        <v>0.51</v>
      </c>
      <c r="E462" s="86" t="n">
        <v>0.3125</v>
      </c>
    </row>
    <row r="463" ht="12.5" customHeight="1">
      <c r="A463" s="86" t="inlineStr">
        <is>
          <t>13RS125313</t>
        </is>
      </c>
      <c r="B463" s="86" t="inlineStr">
        <is>
          <t>RS 125313</t>
        </is>
      </c>
      <c r="C463" s="86" t="n">
        <v>1.239</v>
      </c>
      <c r="D463" s="86" t="n">
        <v>0.761</v>
      </c>
      <c r="E463" s="86" t="n">
        <v>0.5625</v>
      </c>
    </row>
    <row r="464" ht="12.5" customHeight="1">
      <c r="A464" s="86" t="inlineStr">
        <is>
          <t>13RS125385</t>
        </is>
      </c>
      <c r="B464" s="86" t="inlineStr">
        <is>
          <t>RS 125385</t>
        </is>
      </c>
      <c r="C464" s="86" t="n">
        <v>1.25</v>
      </c>
      <c r="D464" s="86" t="n">
        <v>0.2</v>
      </c>
      <c r="E464" s="86" t="n">
        <v>0.38</v>
      </c>
    </row>
    <row r="465" ht="12.5" customHeight="1">
      <c r="A465" s="86" t="inlineStr">
        <is>
          <t>13RS125387</t>
        </is>
      </c>
      <c r="B465" s="86" t="inlineStr">
        <is>
          <t>RS 125387</t>
        </is>
      </c>
      <c r="C465" s="86" t="n">
        <v>1.25</v>
      </c>
      <c r="D465" s="86" t="n">
        <v>0.38</v>
      </c>
      <c r="E465" s="86" t="n">
        <v>0.38</v>
      </c>
    </row>
    <row r="466" ht="12.5" customHeight="1">
      <c r="A466" s="86" t="inlineStr">
        <is>
          <t>13RS125500</t>
        </is>
      </c>
      <c r="B466" s="86" t="inlineStr">
        <is>
          <t>RS 125500</t>
        </is>
      </c>
      <c r="C466" s="86" t="n">
        <v>1.24</v>
      </c>
      <c r="D466" s="86" t="n">
        <v>0.307</v>
      </c>
      <c r="E466" s="86" t="n">
        <v>0.5</v>
      </c>
    </row>
    <row r="467" ht="13.5" customHeight="1">
      <c r="A467" s="86" t="inlineStr">
        <is>
          <t>13RS125501</t>
        </is>
      </c>
      <c r="B467" s="86" t="inlineStr">
        <is>
          <t>RS 125501</t>
        </is>
      </c>
      <c r="C467" s="86" t="n">
        <v>1.25</v>
      </c>
      <c r="D467" s="86" t="n">
        <v>0.4</v>
      </c>
      <c r="E467" s="86" t="n">
        <v>0.625</v>
      </c>
    </row>
    <row r="468" ht="12.5" customHeight="1">
      <c r="A468" s="86" t="inlineStr">
        <is>
          <t>13RS125750</t>
        </is>
      </c>
      <c r="B468" s="86" t="inlineStr">
        <is>
          <t>RS 125750</t>
        </is>
      </c>
      <c r="C468" s="86" t="n">
        <v>1.25</v>
      </c>
      <c r="D468" s="86" t="n">
        <v>0.266</v>
      </c>
      <c r="E468" s="86" t="n">
        <v>0.75</v>
      </c>
    </row>
    <row r="469" ht="12.5" customHeight="1">
      <c r="A469" s="86" t="inlineStr">
        <is>
          <t>13RS126210</t>
        </is>
      </c>
      <c r="B469" s="86" t="inlineStr">
        <is>
          <t>RS 126210</t>
        </is>
      </c>
      <c r="C469" s="86" t="n">
        <v>1.262</v>
      </c>
      <c r="D469" s="86" t="n">
        <v>1.043</v>
      </c>
      <c r="E469" s="86" t="n">
        <v>0.95</v>
      </c>
    </row>
    <row r="470" ht="12.5" customHeight="1">
      <c r="A470" s="86" t="inlineStr">
        <is>
          <t>13RS131255</t>
        </is>
      </c>
      <c r="B470" s="86" t="inlineStr">
        <is>
          <t>RS 131255</t>
        </is>
      </c>
      <c r="C470" s="86" t="n">
        <v>1.312</v>
      </c>
      <c r="D470" s="86" t="n">
        <v>1.078</v>
      </c>
      <c r="E470" s="86" t="n">
        <v>0.75</v>
      </c>
    </row>
    <row r="471" ht="12.5" customHeight="1">
      <c r="A471" s="86" t="inlineStr">
        <is>
          <t>13RS131256</t>
        </is>
      </c>
      <c r="B471" s="86" t="inlineStr">
        <is>
          <t>RS 131256</t>
        </is>
      </c>
      <c r="C471" s="86" t="n">
        <v>1.3125</v>
      </c>
      <c r="D471" s="86" t="n">
        <v>0.385</v>
      </c>
      <c r="E471" s="86" t="n">
        <v>0.1</v>
      </c>
    </row>
    <row r="472" ht="12.5" customHeight="1">
      <c r="A472" s="86" t="inlineStr">
        <is>
          <t>13RS132056</t>
        </is>
      </c>
      <c r="B472" s="86" t="inlineStr">
        <is>
          <t>RS 132056</t>
        </is>
      </c>
      <c r="C472" s="86" t="n">
        <v>1.32</v>
      </c>
      <c r="D472" s="86" t="n">
        <v>1.031</v>
      </c>
      <c r="E472" s="86" t="n">
        <v>0.5620000000000001</v>
      </c>
    </row>
    <row r="473" ht="12.5" customHeight="1">
      <c r="A473" s="86" t="inlineStr">
        <is>
          <t>13RS137520</t>
        </is>
      </c>
      <c r="B473" s="86" t="inlineStr">
        <is>
          <t>RS 137520</t>
        </is>
      </c>
      <c r="C473" s="86" t="n">
        <v>1.375</v>
      </c>
      <c r="D473" s="86" t="n">
        <v>0.656</v>
      </c>
      <c r="E473" s="86" t="n">
        <v>0.125</v>
      </c>
    </row>
    <row r="474" ht="12.5" customHeight="1">
      <c r="A474" s="86" t="inlineStr">
        <is>
          <t>13RS137521</t>
        </is>
      </c>
      <c r="B474" s="86" t="inlineStr">
        <is>
          <t>RS 137521</t>
        </is>
      </c>
      <c r="C474" s="86" t="n">
        <v>1.375</v>
      </c>
      <c r="D474" s="86" t="n">
        <v>0.766</v>
      </c>
      <c r="E474" s="86" t="n">
        <v>0.156</v>
      </c>
    </row>
    <row r="475" ht="12.5" customHeight="1">
      <c r="A475" s="86" t="inlineStr">
        <is>
          <t>13RS146050</t>
        </is>
      </c>
      <c r="B475" s="86" t="inlineStr">
        <is>
          <t>RS 146050</t>
        </is>
      </c>
      <c r="C475" s="86" t="n">
        <v>1.46</v>
      </c>
      <c r="D475" s="86" t="n">
        <v>0.521</v>
      </c>
      <c r="E475" s="86" t="n">
        <v>0.5</v>
      </c>
    </row>
    <row r="476" ht="12.5" customHeight="1">
      <c r="A476" s="86" t="inlineStr">
        <is>
          <t>13RS150011</t>
        </is>
      </c>
      <c r="B476" s="86" t="inlineStr">
        <is>
          <t>RS 150011</t>
        </is>
      </c>
      <c r="C476" s="86" t="n">
        <v>1.5</v>
      </c>
      <c r="D476" s="86" t="n">
        <v>1.187</v>
      </c>
      <c r="E476" s="86" t="n">
        <v>0.359</v>
      </c>
    </row>
    <row r="477" ht="12.5" customHeight="1">
      <c r="A477" s="86" t="inlineStr">
        <is>
          <t>13RS150050</t>
        </is>
      </c>
      <c r="B477" s="86" t="inlineStr">
        <is>
          <t>RS 150050</t>
        </is>
      </c>
      <c r="C477" s="86" t="n">
        <v>1.5</v>
      </c>
      <c r="D477" s="86" t="n">
        <v>1.02</v>
      </c>
      <c r="E477" s="86" t="n">
        <v>0.5</v>
      </c>
    </row>
    <row r="478" ht="12.5" customHeight="1">
      <c r="A478" s="86" t="inlineStr">
        <is>
          <t>13RS162590</t>
        </is>
      </c>
      <c r="B478" s="86" t="inlineStr">
        <is>
          <t>RS 162590</t>
        </is>
      </c>
      <c r="C478" s="86" t="n">
        <v>1.625</v>
      </c>
      <c r="D478" s="86" t="n">
        <v>1.388</v>
      </c>
      <c r="E478" s="86" t="n">
        <v>0.094</v>
      </c>
    </row>
    <row r="479" ht="12.5" customHeight="1">
      <c r="A479" s="86" t="inlineStr">
        <is>
          <t>13RS162591</t>
        </is>
      </c>
      <c r="B479" s="86" t="inlineStr">
        <is>
          <t>RS 162591</t>
        </is>
      </c>
      <c r="C479" s="86" t="n">
        <v>1.0625</v>
      </c>
      <c r="D479" s="86" t="n">
        <v>0.68</v>
      </c>
      <c r="E479" s="86" t="n">
        <v>0.2</v>
      </c>
    </row>
    <row r="480" ht="12.5" customHeight="1">
      <c r="A480" s="86" t="inlineStr">
        <is>
          <t>13RS175032</t>
        </is>
      </c>
      <c r="B480" s="86" t="inlineStr">
        <is>
          <t>RS 175032</t>
        </is>
      </c>
      <c r="C480" s="86" t="n">
        <v>1.75</v>
      </c>
      <c r="D480" s="86" t="n">
        <v>0.928</v>
      </c>
      <c r="E480" s="86" t="n">
        <v>0.281</v>
      </c>
    </row>
    <row r="481" ht="12.5" customHeight="1">
      <c r="A481" s="86" t="inlineStr">
        <is>
          <t>13RS187509</t>
        </is>
      </c>
      <c r="B481" s="86" t="inlineStr">
        <is>
          <t>RS 187509</t>
        </is>
      </c>
      <c r="C481" s="86" t="n">
        <v>1.188</v>
      </c>
      <c r="D481" s="86" t="n">
        <v>0.8129999999999999</v>
      </c>
      <c r="E481" s="86" t="n">
        <v>0.25</v>
      </c>
    </row>
    <row r="482" ht="12.5" customHeight="1">
      <c r="A482" s="86" t="inlineStr">
        <is>
          <t>13RS187510</t>
        </is>
      </c>
      <c r="B482" s="86" t="inlineStr">
        <is>
          <t>RS 187510</t>
        </is>
      </c>
      <c r="C482" s="86" t="n">
        <v>1.86</v>
      </c>
      <c r="D482" s="86" t="n">
        <v>0.25</v>
      </c>
      <c r="E482" s="86" t="n">
        <v>1</v>
      </c>
    </row>
    <row r="483" ht="12.5" customHeight="1">
      <c r="A483" s="86" t="inlineStr">
        <is>
          <t>13RS213579</t>
        </is>
      </c>
      <c r="B483" s="86" t="inlineStr">
        <is>
          <t>RS 213579</t>
        </is>
      </c>
      <c r="C483" s="86" t="n">
        <v>2.125</v>
      </c>
      <c r="D483" s="86" t="n">
        <v>1.422</v>
      </c>
      <c r="E483" s="86" t="n">
        <v>0.28</v>
      </c>
    </row>
    <row r="484" ht="12.5" customHeight="1">
      <c r="A484" s="86" t="inlineStr">
        <is>
          <t>13RS213580</t>
        </is>
      </c>
      <c r="B484" s="86" t="inlineStr">
        <is>
          <t>RS 213580</t>
        </is>
      </c>
      <c r="C484" s="86" t="n">
        <v>2.135</v>
      </c>
      <c r="D484" s="86" t="n">
        <v>1.76</v>
      </c>
      <c r="E484" s="86" t="n">
        <v>0.125</v>
      </c>
    </row>
    <row r="485" ht="12.5" customHeight="1">
      <c r="A485" s="86" t="inlineStr">
        <is>
          <t>13RS213581</t>
        </is>
      </c>
      <c r="B485" s="86" t="inlineStr">
        <is>
          <t>RS 213581</t>
        </is>
      </c>
      <c r="C485" s="86" t="n">
        <v>2.13</v>
      </c>
      <c r="D485" s="86" t="n">
        <v>1.63</v>
      </c>
      <c r="E485" s="86" t="n">
        <v>0.13</v>
      </c>
    </row>
    <row r="486" ht="12.5" customHeight="1">
      <c r="A486" s="86" t="inlineStr">
        <is>
          <t>13RS231251</t>
        </is>
      </c>
      <c r="B486" s="86" t="inlineStr">
        <is>
          <t>RS 231251</t>
        </is>
      </c>
      <c r="C486" s="86" t="n">
        <v>2.031</v>
      </c>
      <c r="D486" s="86" t="n">
        <v>1.42</v>
      </c>
      <c r="E486" s="86" t="n">
        <v>0.35</v>
      </c>
    </row>
    <row r="487" ht="12.5" customHeight="1">
      <c r="A487" s="89" t="inlineStr">
        <is>
          <t>13RS075066</t>
        </is>
      </c>
      <c r="B487" s="89" t="inlineStr">
        <is>
          <t>RS 075066</t>
        </is>
      </c>
    </row>
  </sheetData>
  <pageMargins left="0.75" right="0.75" top="1" bottom="1" header="0.511811023622047" footer="0.511811023622047"/>
  <pageSetup orientation="portrait" horizontalDpi="300" verticalDpi="300"/>
</worksheet>
</file>

<file path=xl/worksheets/sheet3.xml><?xml version="1.0" encoding="utf-8"?>
<worksheet xmlns="http://schemas.openxmlformats.org/spreadsheetml/2006/main">
  <sheetPr>
    <outlinePr summaryBelow="1" summaryRight="1"/>
    <pageSetUpPr/>
  </sheetPr>
  <dimension ref="A1:ZX506"/>
  <sheetViews>
    <sheetView topLeftCell="C7" zoomScaleNormal="100" workbookViewId="0">
      <selection activeCell="K18" sqref="K18"/>
    </sheetView>
  </sheetViews>
  <sheetFormatPr baseColWidth="8" defaultColWidth="8.453125" defaultRowHeight="12" customHeight="1"/>
  <cols>
    <col width="20.7265625" customWidth="1" min="1" max="1"/>
    <col width="21.81640625" customWidth="1" min="2" max="2"/>
    <col width="104.81640625" customWidth="1" min="4" max="4"/>
    <col width="18.26953125" customWidth="1" min="8" max="8"/>
    <col width="55.26953125" customWidth="1" min="11" max="11"/>
  </cols>
  <sheetData>
    <row r="1" ht="20.25" customFormat="1" customHeight="1" s="13">
      <c r="A1" s="7" t="inlineStr">
        <is>
          <t>Advantage Order #</t>
        </is>
      </c>
      <c r="B1" s="7" t="inlineStr">
        <is>
          <t>Mfr. Part No.</t>
        </is>
      </c>
      <c r="C1" s="7" t="inlineStr">
        <is>
          <t>Mfr.</t>
        </is>
      </c>
      <c r="D1" s="8" t="inlineStr">
        <is>
          <t>Description</t>
        </is>
      </c>
      <c r="E1" s="8" t="inlineStr">
        <is>
          <t>Qty</t>
        </is>
      </c>
      <c r="F1" s="7" t="inlineStr">
        <is>
          <t>Per</t>
        </is>
      </c>
      <c r="G1" s="7" t="inlineStr">
        <is>
          <t>Vendor</t>
        </is>
      </c>
      <c r="H1" s="7" t="inlineStr">
        <is>
          <t>Vendor Part No.</t>
        </is>
      </c>
      <c r="I1" s="7" t="inlineStr">
        <is>
          <t>Legacy</t>
        </is>
      </c>
      <c r="J1" s="9" t="inlineStr">
        <is>
          <t>Unit Price</t>
        </is>
      </c>
      <c r="K1" s="90" t="inlineStr">
        <is>
          <t xml:space="preserve">Error </t>
        </is>
      </c>
      <c r="L1" s="91" t="n"/>
      <c r="M1" s="90" t="n"/>
      <c r="N1" s="90" t="n"/>
      <c r="O1" s="90" t="n"/>
      <c r="P1" s="9" t="n"/>
      <c r="ZX1" s="13" t="inlineStr">
        <is>
          <t xml:space="preserve">, , </t>
        </is>
      </c>
    </row>
    <row r="2" ht="33" customHeight="1">
      <c r="A2" s="53" t="n">
        <v>8030811</v>
      </c>
      <c r="B2" s="54" t="inlineStr">
        <is>
          <t>VACF-B-C1-1</t>
        </is>
      </c>
      <c r="C2" s="54" t="inlineStr">
        <is>
          <t>Festo</t>
        </is>
      </c>
      <c r="D2" s="54" t="inlineStr">
        <is>
          <t>Solendoid Coil for VUVS-L25 Valves - 24VDC</t>
        </is>
      </c>
      <c r="E2" s="15" t="n"/>
      <c r="F2" s="17" t="n"/>
      <c r="G2" s="54" t="inlineStr">
        <is>
          <t>Festo</t>
        </is>
      </c>
      <c r="H2" s="54" t="inlineStr">
        <is>
          <t>VACF-B-C1-1</t>
        </is>
      </c>
      <c r="I2" s="15" t="inlineStr">
        <is>
          <t>NO</t>
        </is>
      </c>
      <c r="J2" s="56" t="n">
        <v>9.210000000000001</v>
      </c>
      <c r="K2" s="92" t="inlineStr">
        <is>
          <t>An error occurred: NoSuchElementError
Element not found for Css=[class*='quantity-selector-input']</t>
        </is>
      </c>
    </row>
    <row r="3" ht="33" customHeight="1">
      <c r="A3" s="53" t="n">
        <v>8030811</v>
      </c>
      <c r="B3" s="54" t="inlineStr">
        <is>
          <t>VACF-B-C1-1</t>
        </is>
      </c>
      <c r="C3" s="54" t="inlineStr">
        <is>
          <t>Festo</t>
        </is>
      </c>
      <c r="D3" s="54" t="inlineStr">
        <is>
          <t>Solendoid Coil for VUVS-L25 Valves - 24VDC</t>
        </is>
      </c>
      <c r="E3" s="15" t="n"/>
      <c r="F3" s="17" t="n"/>
      <c r="G3" s="54" t="inlineStr">
        <is>
          <t>Festo</t>
        </is>
      </c>
      <c r="H3" s="54" t="inlineStr">
        <is>
          <t>VACF-B-C1-1</t>
        </is>
      </c>
      <c r="I3" s="15" t="inlineStr">
        <is>
          <t>NO</t>
        </is>
      </c>
      <c r="J3" s="56" t="n">
        <v>9.210000000000001</v>
      </c>
      <c r="K3" s="92" t="inlineStr">
        <is>
          <t>An error occurred: NoSuchElementError
Element not found for Css=[class*='quantity-selector-input']</t>
        </is>
      </c>
    </row>
    <row r="4" ht="33" customHeight="1">
      <c r="A4" s="53" t="n">
        <v>8030811</v>
      </c>
      <c r="B4" s="54" t="inlineStr">
        <is>
          <t>VACF-B-C1-1</t>
        </is>
      </c>
      <c r="C4" s="54" t="inlineStr">
        <is>
          <t>Festo</t>
        </is>
      </c>
      <c r="D4" s="54" t="inlineStr">
        <is>
          <t>Solendoid Coil for VUVS-L25 Valves - 24VDC</t>
        </is>
      </c>
      <c r="E4" s="15" t="n"/>
      <c r="F4" s="17" t="n"/>
      <c r="G4" s="54" t="inlineStr">
        <is>
          <t>Festo</t>
        </is>
      </c>
      <c r="H4" s="54" t="inlineStr">
        <is>
          <t>VACF-B-C1-1</t>
        </is>
      </c>
      <c r="I4" s="15" t="inlineStr">
        <is>
          <t>NO</t>
        </is>
      </c>
      <c r="J4" s="56" t="n">
        <v>9.210000000000001</v>
      </c>
      <c r="K4" s="92" t="inlineStr">
        <is>
          <t>An error occurred: NoSuchElementError
Element not found for Css=[class*='quantity-selector-input']</t>
        </is>
      </c>
    </row>
    <row r="5" ht="33" customHeight="1">
      <c r="A5" s="53" t="inlineStr">
        <is>
          <t>ELECT5</t>
        </is>
      </c>
      <c r="B5" s="54" t="n">
        <v>22955901</v>
      </c>
      <c r="C5" s="54" t="inlineStr">
        <is>
          <t>SOUTHWIRE</t>
        </is>
      </c>
      <c r="D5" s="54" t="inlineStr">
        <is>
          <t>Wire, Stranded, THHN, 14 AWG, Black, 500 ft</t>
        </is>
      </c>
      <c r="E5" s="15" t="n">
        <v>1</v>
      </c>
      <c r="F5" s="17" t="inlineStr">
        <is>
          <t>each</t>
        </is>
      </c>
      <c r="G5" s="54" t="inlineStr">
        <is>
          <t>Grainger</t>
        </is>
      </c>
      <c r="H5" s="54" t="inlineStr">
        <is>
          <t>6X794</t>
        </is>
      </c>
      <c r="I5" s="15" t="inlineStr">
        <is>
          <t>NO</t>
        </is>
      </c>
      <c r="J5" s="56" t="n">
        <v>100.7</v>
      </c>
      <c r="K5" s="92" t="inlineStr">
        <is>
          <t>Percentage Change Threshold: 15.3493699885453%</t>
        </is>
      </c>
    </row>
    <row r="6" ht="33" customHeight="1">
      <c r="A6" s="53" t="inlineStr">
        <is>
          <t>ELECT2</t>
        </is>
      </c>
      <c r="B6" s="54" t="inlineStr">
        <is>
          <t>01360.35T.01</t>
        </is>
      </c>
      <c r="C6" s="54" t="inlineStr">
        <is>
          <t>CAROL</t>
        </is>
      </c>
      <c r="D6" s="54" t="inlineStr">
        <is>
          <t>Portable Cord, Number of Conductors 3, 14 AWG, SJOOW, 250 ft, Black</t>
        </is>
      </c>
      <c r="E6" s="15" t="n">
        <v>1</v>
      </c>
      <c r="F6" s="17" t="inlineStr">
        <is>
          <t>each</t>
        </is>
      </c>
      <c r="G6" s="54" t="inlineStr">
        <is>
          <t>Grainger</t>
        </is>
      </c>
      <c r="H6" s="54" t="inlineStr">
        <is>
          <t>1W926</t>
        </is>
      </c>
      <c r="I6" s="15" t="inlineStr">
        <is>
          <t>NO</t>
        </is>
      </c>
      <c r="J6" s="56" t="n">
        <v>595.73</v>
      </c>
      <c r="K6" s="92" t="inlineStr">
        <is>
          <t>Percentage Change Threshold: 48.9325%</t>
        </is>
      </c>
    </row>
    <row r="7" ht="33" customHeight="1">
      <c r="A7" s="53" t="inlineStr">
        <is>
          <t>ELECT5</t>
        </is>
      </c>
      <c r="B7" s="54" t="n">
        <v>22955901</v>
      </c>
      <c r="C7" s="54" t="inlineStr">
        <is>
          <t>SOUTHWIRE</t>
        </is>
      </c>
      <c r="D7" s="54" t="inlineStr">
        <is>
          <t>Wire, Stranded, THHN, 14 AWG, Black, 500 ft</t>
        </is>
      </c>
      <c r="E7" s="15" t="n">
        <v>1</v>
      </c>
      <c r="F7" s="17" t="inlineStr">
        <is>
          <t>each</t>
        </is>
      </c>
      <c r="G7" s="54" t="inlineStr">
        <is>
          <t>Grainger</t>
        </is>
      </c>
      <c r="H7" s="54" t="inlineStr">
        <is>
          <t>6X794</t>
        </is>
      </c>
      <c r="I7" s="15" t="inlineStr">
        <is>
          <t>NO</t>
        </is>
      </c>
      <c r="J7" s="56" t="n">
        <v>171.6</v>
      </c>
      <c r="K7" s="92" t="inlineStr">
        <is>
          <t>Percentage Change Threshold: 67.0886075949367%</t>
        </is>
      </c>
    </row>
    <row r="8" ht="33" customHeight="1">
      <c r="A8" s="53" t="inlineStr">
        <is>
          <t>93625A200</t>
        </is>
      </c>
      <c r="B8" s="54" t="inlineStr">
        <is>
          <t>93625A200</t>
        </is>
      </c>
      <c r="C8" s="54" t="inlineStr">
        <is>
          <t>McMaster-Carr</t>
        </is>
      </c>
      <c r="D8" s="54" t="inlineStr">
        <is>
          <t>18-8 Stainless Steel Nylon-Insert Locknut
M5 x 0.8 mm Thread, 8 mm Wide, 5 mm High (Bag of 100)</t>
        </is>
      </c>
      <c r="E8" s="15" t="n">
        <v>100</v>
      </c>
      <c r="F8" s="17" t="inlineStr">
        <is>
          <t>pack</t>
        </is>
      </c>
      <c r="G8" s="54" t="inlineStr">
        <is>
          <t>McMaster-Carr</t>
        </is>
      </c>
      <c r="H8" s="54" t="inlineStr">
        <is>
          <t>93625A200</t>
        </is>
      </c>
      <c r="I8" s="15" t="inlineStr">
        <is>
          <t>NO</t>
        </is>
      </c>
      <c r="J8" s="56" t="n">
        <v>8.77</v>
      </c>
      <c r="K8" s="92" t="inlineStr">
        <is>
          <t>An error occurred: NoSuchElementError
Element not found for Css=[class='PrceTxt']</t>
        </is>
      </c>
    </row>
    <row r="9" ht="33" customHeight="1">
      <c r="A9" s="53" t="inlineStr">
        <is>
          <t>93625A200</t>
        </is>
      </c>
      <c r="B9" s="54" t="inlineStr">
        <is>
          <t>93625A200</t>
        </is>
      </c>
      <c r="C9" s="54" t="inlineStr">
        <is>
          <t>McMaster-Carr</t>
        </is>
      </c>
      <c r="D9" s="54" t="inlineStr">
        <is>
          <t>18-8 Stainless Steel Nylon-Insert Locknut
M5 x 0.8 mm Thread, 8 mm Wide, 5 mm High (Bag of 100)</t>
        </is>
      </c>
      <c r="E9" s="15" t="n">
        <v>100</v>
      </c>
      <c r="F9" s="17" t="inlineStr">
        <is>
          <t>pack</t>
        </is>
      </c>
      <c r="G9" s="54" t="inlineStr">
        <is>
          <t>McMaster-Carr</t>
        </is>
      </c>
      <c r="H9" s="54" t="inlineStr">
        <is>
          <t>93625A200</t>
        </is>
      </c>
      <c r="I9" s="15" t="inlineStr">
        <is>
          <t>NO</t>
        </is>
      </c>
      <c r="J9" s="56" t="n">
        <v>8.77</v>
      </c>
      <c r="K9" s="93" t="inlineStr">
        <is>
          <t>An error occurred: NoSuchElementError
Element not found for Css=[class='PrceTxt']</t>
        </is>
      </c>
    </row>
    <row r="10" ht="33" customHeight="1">
      <c r="A10" s="65" t="n">
        <v>575702</v>
      </c>
      <c r="B10" s="54" t="inlineStr">
        <is>
          <t>VUVS-L20-M52-AD-N18-F7</t>
        </is>
      </c>
      <c r="C10" s="54" t="inlineStr">
        <is>
          <t>Festo</t>
        </is>
      </c>
      <c r="D10" s="54" t="inlineStr">
        <is>
          <t>L20 Air Solenoid Valve, 1/8" FNPT, 5 Port / 2 Way, Internal Pilot, Pneumatic Return, WITHOUT COIL (8025330)</t>
        </is>
      </c>
      <c r="E10" s="15" t="n">
        <v>1</v>
      </c>
      <c r="F10" s="17" t="inlineStr">
        <is>
          <t>each</t>
        </is>
      </c>
      <c r="G10" s="54" t="inlineStr">
        <is>
          <t>Festo</t>
        </is>
      </c>
      <c r="H10" s="54" t="n">
        <v>575702</v>
      </c>
      <c r="I10" s="15" t="inlineStr">
        <is>
          <t>NO</t>
        </is>
      </c>
      <c r="J10" s="56" t="n">
        <v>52.82</v>
      </c>
      <c r="K10" s="92" t="inlineStr">
        <is>
          <t>An error occurred: NoSuchElementError
Element not found for Css=[class*='price-text']</t>
        </is>
      </c>
    </row>
    <row r="11" ht="33" customHeight="1">
      <c r="A11" s="14" t="inlineStr">
        <is>
          <t>6MN05</t>
        </is>
      </c>
      <c r="B11" s="15" t="inlineStr">
        <is>
          <t>6MN05</t>
        </is>
      </c>
      <c r="C11" s="15" t="inlineStr">
        <is>
          <t>APPROVED VENDOR</t>
        </is>
      </c>
      <c r="D11" s="15" t="inlineStr">
        <is>
          <t>Male Connector, Push To Connect, Tube Size 3/8 In, Pipe Size 1/4 In, Tube x MNPT Connection, Material of Construction Nickel Plated Brass, Outside Dia .188 In, Thread Size 1/4 In, Pressure (PSI) 250, Temp Range 0 To 160 Deg F, Package Quantity 10</t>
        </is>
      </c>
      <c r="E11" s="15" t="n">
        <v>1</v>
      </c>
      <c r="F11" s="17" t="inlineStr">
        <is>
          <t>each</t>
        </is>
      </c>
      <c r="G11" s="15" t="inlineStr">
        <is>
          <t>Grainger</t>
        </is>
      </c>
      <c r="H11" s="15" t="inlineStr">
        <is>
          <t>6MN05</t>
        </is>
      </c>
      <c r="I11" s="15" t="inlineStr">
        <is>
          <t>NO</t>
        </is>
      </c>
      <c r="J11" s="18" t="n">
        <v>69.31</v>
      </c>
      <c r="K11" s="92" t="inlineStr">
        <is>
          <t>Percentage Change Threshold: 142.088718127838%</t>
        </is>
      </c>
    </row>
    <row r="12" ht="33" customHeight="1">
      <c r="A12" s="14" t="inlineStr">
        <is>
          <t>1AJP6</t>
        </is>
      </c>
      <c r="B12" s="15" t="inlineStr">
        <is>
          <t>W169PLP-6-4</t>
        </is>
      </c>
      <c r="C12" s="15" t="inlineStr">
        <is>
          <t>PARKER</t>
        </is>
      </c>
      <c r="D12"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2" s="15" t="n">
        <v>1</v>
      </c>
      <c r="F12" s="17" t="inlineStr">
        <is>
          <t>each</t>
        </is>
      </c>
      <c r="G12" s="15" t="inlineStr">
        <is>
          <t>Grainger</t>
        </is>
      </c>
      <c r="H12" s="15" t="inlineStr">
        <is>
          <t>1AJP6</t>
        </is>
      </c>
      <c r="I12" s="15" t="inlineStr">
        <is>
          <t>NO</t>
        </is>
      </c>
      <c r="J12" s="18" t="n">
        <v>94.2</v>
      </c>
      <c r="K12" s="92" t="inlineStr">
        <is>
          <t>Percentage Change Threshold: 74.1863905325444%</t>
        </is>
      </c>
    </row>
    <row r="13" ht="33" customHeight="1">
      <c r="A13" s="14" t="inlineStr">
        <is>
          <t>1AJP6</t>
        </is>
      </c>
      <c r="B13" s="15" t="inlineStr">
        <is>
          <t>W169PLP-6-4</t>
        </is>
      </c>
      <c r="C13" s="15" t="inlineStr">
        <is>
          <t>PARKER</t>
        </is>
      </c>
      <c r="D13"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3" s="15" t="n">
        <v>1</v>
      </c>
      <c r="F13" s="17" t="inlineStr">
        <is>
          <t>each</t>
        </is>
      </c>
      <c r="G13" s="15" t="inlineStr">
        <is>
          <t>Grainger</t>
        </is>
      </c>
      <c r="H13" s="15" t="inlineStr">
        <is>
          <t>1AJP6</t>
        </is>
      </c>
      <c r="I13" s="15" t="inlineStr">
        <is>
          <t>NO</t>
        </is>
      </c>
      <c r="J13" s="18" t="n">
        <v>94.2</v>
      </c>
      <c r="K13" s="92" t="inlineStr">
        <is>
          <t xml:space="preserve">Product Discontinued: </t>
        </is>
      </c>
    </row>
    <row r="14" ht="33" customHeight="1">
      <c r="A14" s="14" t="inlineStr">
        <is>
          <t>1AJP6</t>
        </is>
      </c>
      <c r="B14" s="15" t="inlineStr">
        <is>
          <t>W169PLP-6-4</t>
        </is>
      </c>
      <c r="C14" s="15" t="inlineStr">
        <is>
          <t>PARKER</t>
        </is>
      </c>
      <c r="D14"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4" s="15" t="n">
        <v>1</v>
      </c>
      <c r="F14" s="17" t="inlineStr">
        <is>
          <t>each</t>
        </is>
      </c>
      <c r="G14" s="15" t="inlineStr">
        <is>
          <t>Grainger</t>
        </is>
      </c>
      <c r="H14" s="15" t="inlineStr">
        <is>
          <t>1AJP6</t>
        </is>
      </c>
      <c r="I14" s="15" t="inlineStr">
        <is>
          <t>NO</t>
        </is>
      </c>
      <c r="J14" s="18" t="n">
        <v>94.2</v>
      </c>
      <c r="K14" s="92" t="inlineStr">
        <is>
          <t xml:space="preserve">Product Discontinued: </t>
        </is>
      </c>
    </row>
    <row r="15" ht="33" customHeight="1">
      <c r="A15" s="14" t="inlineStr">
        <is>
          <t>1AJP6</t>
        </is>
      </c>
      <c r="B15" s="15" t="inlineStr">
        <is>
          <t>W169PLP-6-4</t>
        </is>
      </c>
      <c r="C15" s="15" t="inlineStr">
        <is>
          <t>PARKER</t>
        </is>
      </c>
      <c r="D15"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5" s="15" t="n">
        <v>1</v>
      </c>
      <c r="F15" s="17" t="inlineStr">
        <is>
          <t>each</t>
        </is>
      </c>
      <c r="G15" s="15" t="inlineStr">
        <is>
          <t>Grainger</t>
        </is>
      </c>
      <c r="H15" s="15" t="inlineStr">
        <is>
          <t>1AJP6</t>
        </is>
      </c>
      <c r="I15" s="15" t="inlineStr">
        <is>
          <t>NO</t>
        </is>
      </c>
      <c r="J15" s="18" t="n">
        <v>69.31</v>
      </c>
      <c r="K15" s="92" t="inlineStr">
        <is>
          <t>Percentage Change Threshold: 602.941176470588%</t>
        </is>
      </c>
    </row>
    <row r="16" ht="33" customHeight="1">
      <c r="A16" s="14" t="inlineStr">
        <is>
          <t>1AJP6</t>
        </is>
      </c>
      <c r="B16" s="15" t="inlineStr">
        <is>
          <t>W169PLP-6-4</t>
        </is>
      </c>
      <c r="C16" s="15" t="inlineStr">
        <is>
          <t>PARKER</t>
        </is>
      </c>
      <c r="D16"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6" s="15" t="n">
        <v>1</v>
      </c>
      <c r="F16" s="17" t="inlineStr">
        <is>
          <t>each</t>
        </is>
      </c>
      <c r="G16" s="15" t="inlineStr">
        <is>
          <t>Grainger</t>
        </is>
      </c>
      <c r="H16" s="15" t="inlineStr">
        <is>
          <t>1AJP6</t>
        </is>
      </c>
      <c r="I16" s="15" t="inlineStr">
        <is>
          <t>NO</t>
        </is>
      </c>
      <c r="J16" s="18" t="n">
        <v>69.31</v>
      </c>
      <c r="K16" s="92" t="inlineStr">
        <is>
          <t xml:space="preserve">Product Discontinued: </t>
        </is>
      </c>
    </row>
    <row r="17" ht="33" customHeight="1">
      <c r="A17" s="14" t="inlineStr">
        <is>
          <t>1AJP6</t>
        </is>
      </c>
      <c r="B17" s="15" t="inlineStr">
        <is>
          <t>W169PLP-6-4</t>
        </is>
      </c>
      <c r="C17" s="15" t="inlineStr">
        <is>
          <t>PARKER</t>
        </is>
      </c>
      <c r="D17"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7" s="15" t="n">
        <v>1</v>
      </c>
      <c r="F17" s="17" t="inlineStr">
        <is>
          <t>each</t>
        </is>
      </c>
      <c r="G17" s="15" t="inlineStr">
        <is>
          <t>Grainger</t>
        </is>
      </c>
      <c r="H17" s="15" t="inlineStr">
        <is>
          <t>1AJP6</t>
        </is>
      </c>
      <c r="I17" s="15" t="inlineStr">
        <is>
          <t>NO</t>
        </is>
      </c>
      <c r="J17" s="18" t="n">
        <v>69.31</v>
      </c>
      <c r="K17" s="92" t="inlineStr">
        <is>
          <t xml:space="preserve">Product Discontinued: </t>
        </is>
      </c>
    </row>
    <row r="18" ht="33" customHeight="1">
      <c r="A18" s="14" t="inlineStr">
        <is>
          <t>1AJP6</t>
        </is>
      </c>
      <c r="B18" s="15" t="inlineStr">
        <is>
          <t>W169PLP-6-4</t>
        </is>
      </c>
      <c r="C18" s="15" t="inlineStr">
        <is>
          <t>PARKER</t>
        </is>
      </c>
      <c r="D18"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8" s="15" t="n">
        <v>1</v>
      </c>
      <c r="F18" s="17" t="inlineStr">
        <is>
          <t>each</t>
        </is>
      </c>
      <c r="G18" s="15" t="inlineStr">
        <is>
          <t>Grainger</t>
        </is>
      </c>
      <c r="H18" s="15" t="inlineStr">
        <is>
          <t>1AJP6</t>
        </is>
      </c>
      <c r="I18" s="15" t="inlineStr">
        <is>
          <t>NO</t>
        </is>
      </c>
      <c r="J18" s="18" t="n">
        <v>69.31</v>
      </c>
      <c r="K18" s="92" t="inlineStr">
        <is>
          <t xml:space="preserve">Product Discontinued: </t>
        </is>
      </c>
    </row>
    <row r="19" ht="33" customHeight="1">
      <c r="A19" s="14" t="inlineStr">
        <is>
          <t>1AJP6</t>
        </is>
      </c>
      <c r="B19" s="15" t="inlineStr">
        <is>
          <t>W169PLP-6-4</t>
        </is>
      </c>
      <c r="C19" s="15" t="inlineStr">
        <is>
          <t>PARKER</t>
        </is>
      </c>
      <c r="D19"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19" s="15" t="n">
        <v>1</v>
      </c>
      <c r="F19" s="17" t="inlineStr">
        <is>
          <t>each</t>
        </is>
      </c>
      <c r="G19" s="15" t="inlineStr">
        <is>
          <t>Grainger</t>
        </is>
      </c>
      <c r="H19" s="15" t="inlineStr">
        <is>
          <t>1AJP6</t>
        </is>
      </c>
      <c r="I19" s="15" t="inlineStr">
        <is>
          <t>NO</t>
        </is>
      </c>
      <c r="J19" s="18" t="n">
        <v>69.31</v>
      </c>
      <c r="K19" s="92" t="inlineStr">
        <is>
          <t xml:space="preserve">Product Discontinued: </t>
        </is>
      </c>
    </row>
    <row r="20" ht="33" customHeight="1">
      <c r="A20" s="14" t="inlineStr">
        <is>
          <t>1AJP6</t>
        </is>
      </c>
      <c r="B20" s="15" t="inlineStr">
        <is>
          <t>W169PLP-6-4</t>
        </is>
      </c>
      <c r="C20" s="15" t="inlineStr">
        <is>
          <t>PARKER</t>
        </is>
      </c>
      <c r="D20" s="15" t="inlineStr">
        <is>
          <t>Swivel Male Elbow, Prestolok(R), Tube Size 3/8 In, Pipe Size 1/4 In, Tube x MNPT Connection, Material of Construction Nickel Plated Brass, Outside Dia .312 In, Thread Size 1/4 In, Hex Size 9/16 In, Length 1.14 In, Pressure (PSI) 300, Temp Range 0 To 200 Deg F, Package Quantity 10</t>
        </is>
      </c>
      <c r="E20" s="15" t="n">
        <v>1</v>
      </c>
      <c r="F20" s="17" t="inlineStr">
        <is>
          <t>each</t>
        </is>
      </c>
      <c r="G20" s="15" t="inlineStr">
        <is>
          <t>Grainger</t>
        </is>
      </c>
      <c r="H20" s="15" t="inlineStr">
        <is>
          <t>1AJP6</t>
        </is>
      </c>
      <c r="I20" s="15" t="inlineStr">
        <is>
          <t>NO</t>
        </is>
      </c>
      <c r="J20" s="18" t="n">
        <v>69.31</v>
      </c>
      <c r="K20" s="92" t="inlineStr">
        <is>
          <t xml:space="preserve">Product Discontinued: </t>
        </is>
      </c>
    </row>
    <row r="21" ht="33" customHeight="1">
      <c r="A21" s="53" t="n">
        <v>576051</v>
      </c>
      <c r="B21" s="54" t="inlineStr">
        <is>
          <t>QBLL-1/4-1/4-U-M</t>
        </is>
      </c>
      <c r="C21" s="54" t="inlineStr">
        <is>
          <t>Festo</t>
        </is>
      </c>
      <c r="D21" s="64" t="inlineStr">
        <is>
          <t>Press to Connect Fitting, Extended Length, 90 degree, British 1/4 Thread X 1/4" Tube (Sold in Bags of 10, Priced Each)</t>
        </is>
      </c>
      <c r="E21" s="15" t="n">
        <v>10</v>
      </c>
      <c r="F21" s="17" t="inlineStr">
        <is>
          <t>pcs</t>
        </is>
      </c>
      <c r="G21" s="54" t="inlineStr">
        <is>
          <t>Festo</t>
        </is>
      </c>
      <c r="H21" s="54" t="inlineStr">
        <is>
          <t>QBLL-1/4-1/4-U-M</t>
        </is>
      </c>
      <c r="I21" s="15" t="inlineStr">
        <is>
          <t>NO</t>
        </is>
      </c>
      <c r="J21" s="56" t="n">
        <v>4.93</v>
      </c>
      <c r="K21" s="92" t="inlineStr">
        <is>
          <t>An error occurred: NoSuchElementError
Element not found for Css=[class*='quantity-selector-input']</t>
        </is>
      </c>
    </row>
    <row r="22" ht="33" customHeight="1">
      <c r="A22" s="53" t="n">
        <v>8030811</v>
      </c>
      <c r="B22" s="54" t="inlineStr">
        <is>
          <t>VACF-B-C1-1</t>
        </is>
      </c>
      <c r="C22" s="54" t="inlineStr">
        <is>
          <t>Festo</t>
        </is>
      </c>
      <c r="D22" s="54" t="inlineStr">
        <is>
          <t>Solendoid Coil for VUVS-L25 Valves - 24VDC</t>
        </is>
      </c>
      <c r="E22" s="15" t="n">
        <v>1</v>
      </c>
      <c r="F22" s="17" t="inlineStr">
        <is>
          <t>each</t>
        </is>
      </c>
      <c r="G22" s="54" t="inlineStr">
        <is>
          <t>Festo</t>
        </is>
      </c>
      <c r="H22" s="54" t="inlineStr">
        <is>
          <t>VACF-B-C1-1</t>
        </is>
      </c>
      <c r="I22" s="15" t="inlineStr">
        <is>
          <t>NO</t>
        </is>
      </c>
      <c r="J22" s="56" t="n">
        <v>9.210000000000001</v>
      </c>
      <c r="K22" s="92" t="inlineStr">
        <is>
          <t>An error occurred: NoSuchElementError
Element not found for Css=[class*='quantity-selector-input']</t>
        </is>
      </c>
    </row>
    <row r="23" ht="33" customHeight="1">
      <c r="A23" s="53" t="n">
        <v>533238</v>
      </c>
      <c r="B23" s="54" t="inlineStr">
        <is>
          <t>QBL-1/4-1/4-U-M</t>
        </is>
      </c>
      <c r="C23" s="54" t="inlineStr">
        <is>
          <t>Festo</t>
        </is>
      </c>
      <c r="D23" s="54" t="inlineStr">
        <is>
          <t>Press to Connect Fitting, 90 degree, British 1/4 Thread X 1/4" Tube (Sold in Bags of 10, Priced Each)</t>
        </is>
      </c>
      <c r="E23" s="15" t="n">
        <v>10</v>
      </c>
      <c r="F23" s="17" t="inlineStr">
        <is>
          <t>pcs</t>
        </is>
      </c>
      <c r="G23" s="54" t="inlineStr">
        <is>
          <t>Festo</t>
        </is>
      </c>
      <c r="H23" s="54" t="inlineStr">
        <is>
          <t>QBL-1/4-1/4-U-M</t>
        </is>
      </c>
      <c r="I23" s="15" t="inlineStr">
        <is>
          <t>NO</t>
        </is>
      </c>
      <c r="J23" s="56" t="n">
        <v>3.51</v>
      </c>
      <c r="K23" s="92" t="inlineStr">
        <is>
          <t>An error occurred: NoSuchElementError
Element not found for Css=[class*='quantity-selector-input']</t>
        </is>
      </c>
    </row>
    <row r="24" ht="33" customHeight="1">
      <c r="A24" s="53" t="n">
        <v>533240</v>
      </c>
      <c r="B24" s="54" t="inlineStr">
        <is>
          <t>QBL-1/4-3/8-U-M</t>
        </is>
      </c>
      <c r="C24" s="54" t="inlineStr">
        <is>
          <t>Festo</t>
        </is>
      </c>
      <c r="D24" s="54" t="inlineStr">
        <is>
          <t>Press to Connect Fitting, 90 degree, British 1/4 Thread X 3/8" Tube (Sold in Bags of 5, Priced Each)</t>
        </is>
      </c>
      <c r="E24" s="15" t="n"/>
      <c r="F24" s="17" t="n"/>
      <c r="G24" s="54" t="inlineStr">
        <is>
          <t>Festo</t>
        </is>
      </c>
      <c r="H24" s="54" t="inlineStr">
        <is>
          <t>QBL-1/4-3/8-U-M</t>
        </is>
      </c>
      <c r="I24" s="15" t="inlineStr">
        <is>
          <t>NO</t>
        </is>
      </c>
      <c r="J24" s="56" t="n">
        <v>5.29</v>
      </c>
      <c r="K24" s="92" t="inlineStr">
        <is>
          <t>An error occurred: NoSuchElementError
Element not found for Css=[class*='quantity-selector-input']</t>
        </is>
      </c>
    </row>
    <row r="25" ht="33" customHeight="1">
      <c r="A25" s="53" t="n">
        <v>533238</v>
      </c>
      <c r="B25" s="54" t="inlineStr">
        <is>
          <t>QBL-1/4-1/4-U-M</t>
        </is>
      </c>
      <c r="C25" s="54" t="inlineStr">
        <is>
          <t>Festo</t>
        </is>
      </c>
      <c r="D25" s="54" t="inlineStr">
        <is>
          <t>Press to Connect Fitting, 90 degree, British 1/4 Thread X 1/4" Tube (Sold in Bags of 10, Priced Each)</t>
        </is>
      </c>
      <c r="E25" s="15" t="n">
        <v>10</v>
      </c>
      <c r="F25" s="17" t="inlineStr">
        <is>
          <t>pcs</t>
        </is>
      </c>
      <c r="G25" s="54" t="inlineStr">
        <is>
          <t>Festo</t>
        </is>
      </c>
      <c r="H25" s="54" t="inlineStr">
        <is>
          <t>QBL-1/4-1/4-U-M</t>
        </is>
      </c>
      <c r="I25" s="15" t="inlineStr">
        <is>
          <t>NO</t>
        </is>
      </c>
      <c r="J25" s="56" t="n">
        <v>3.51</v>
      </c>
      <c r="K25" s="92" t="inlineStr">
        <is>
          <t>An error occurred: NoSuchElementError
Element not found for Css=[class*='quantity-selector-input']</t>
        </is>
      </c>
    </row>
    <row r="26" ht="33" customHeight="1">
      <c r="A26" s="53" t="n">
        <v>533240</v>
      </c>
      <c r="B26" s="54" t="inlineStr">
        <is>
          <t>QBL-1/4-3/8-U-M</t>
        </is>
      </c>
      <c r="C26" s="54" t="inlineStr">
        <is>
          <t>Festo</t>
        </is>
      </c>
      <c r="D26" s="54" t="inlineStr">
        <is>
          <t>Press to Connect Fitting, 90 degree, British 1/4 Thread X 3/8" Tube (Sold in Bags of 5, Priced Each)</t>
        </is>
      </c>
      <c r="E26" s="15" t="n"/>
      <c r="F26" s="17" t="n"/>
      <c r="G26" s="54" t="inlineStr">
        <is>
          <t>Festo</t>
        </is>
      </c>
      <c r="H26" s="54" t="n">
        <v>533240</v>
      </c>
      <c r="I26" s="15" t="inlineStr">
        <is>
          <t>NO</t>
        </is>
      </c>
      <c r="J26" s="56" t="n">
        <v>5.29</v>
      </c>
      <c r="K26" t="inlineStr">
        <is>
          <t>Percentage Change Threshold: 400%</t>
        </is>
      </c>
    </row>
    <row r="27" ht="33" customHeight="1">
      <c r="A27" s="14" t="inlineStr">
        <is>
          <t>1351A52</t>
        </is>
      </c>
      <c r="B27" s="15" t="inlineStr">
        <is>
          <t>1351A52</t>
        </is>
      </c>
      <c r="C27" s="15" t="inlineStr">
        <is>
          <t>McMaster-Carr</t>
        </is>
      </c>
      <c r="D27" s="15" t="inlineStr">
        <is>
          <t>High-Capacity Lid Support w/ Hold-Open Mechanism, Lift-to-Release, Side Mount, Free Moving, T304SS - 3/8/22</t>
        </is>
      </c>
      <c r="E27" s="15" t="n">
        <v>1</v>
      </c>
      <c r="F27" s="17" t="inlineStr">
        <is>
          <t>each</t>
        </is>
      </c>
      <c r="G27" s="15" t="inlineStr">
        <is>
          <t>McMaster-Carr</t>
        </is>
      </c>
      <c r="H27" s="15" t="inlineStr">
        <is>
          <t>1351A52</t>
        </is>
      </c>
      <c r="I27" s="15" t="inlineStr">
        <is>
          <t>NO</t>
        </is>
      </c>
      <c r="J27" s="18" t="n">
        <v>181.71</v>
      </c>
      <c r="K27" s="92" t="inlineStr">
        <is>
          <t>An error occurred: NoSuchElementError
Element not found for Css=[class='PrceTxt']</t>
        </is>
      </c>
    </row>
    <row r="28" ht="33" customHeight="1">
      <c r="A28" s="53" t="n">
        <v>10773</v>
      </c>
      <c r="B28" s="54" t="inlineStr">
        <is>
          <t>PEV-1/4-B</t>
        </is>
      </c>
      <c r="C28" s="54" t="inlineStr">
        <is>
          <t>Festo</t>
        </is>
      </c>
      <c r="D28" s="54" t="inlineStr">
        <is>
          <t>Pressure switch</t>
        </is>
      </c>
      <c r="E28" s="15" t="n">
        <v>1</v>
      </c>
      <c r="F28" s="17" t="inlineStr">
        <is>
          <t>each</t>
        </is>
      </c>
      <c r="G28" s="54" t="inlineStr">
        <is>
          <t>Festo</t>
        </is>
      </c>
      <c r="H28" s="54" t="inlineStr">
        <is>
          <t>PEV-1/4-B</t>
        </is>
      </c>
      <c r="I28" s="15" t="inlineStr">
        <is>
          <t>NO</t>
        </is>
      </c>
      <c r="J28" s="56" t="n">
        <v>196.79</v>
      </c>
      <c r="K28" s="92" t="inlineStr">
        <is>
          <t>An error occurred: NoSuchElementError
Element not found for Css=[class*='quantity-selector-input']</t>
        </is>
      </c>
    </row>
    <row r="29" ht="33" customHeight="1">
      <c r="A29" s="53" t="n">
        <v>164274</v>
      </c>
      <c r="B29" s="54" t="inlineStr">
        <is>
          <t>PEV-1/4-WD-LED-24</t>
        </is>
      </c>
      <c r="C29" s="54" t="inlineStr">
        <is>
          <t>Festo</t>
        </is>
      </c>
      <c r="D29" s="54" t="inlineStr">
        <is>
          <t>Angled plug socket for PEV pressure switch</t>
        </is>
      </c>
      <c r="E29" s="15" t="n">
        <v>1</v>
      </c>
      <c r="F29" s="17" t="inlineStr">
        <is>
          <t>each</t>
        </is>
      </c>
      <c r="G29" s="54" t="inlineStr">
        <is>
          <t>Festo</t>
        </is>
      </c>
      <c r="H29" s="54" t="inlineStr">
        <is>
          <t>PEV-1/4-WD-LED-24</t>
        </is>
      </c>
      <c r="I29" s="15" t="inlineStr">
        <is>
          <t>NO</t>
        </is>
      </c>
      <c r="J29" s="56" t="n">
        <v>30.98</v>
      </c>
      <c r="K29" s="92" t="inlineStr">
        <is>
          <t>An error occurred: NoSuchElementError
Element not found for Css=[class*='quantity-selector-input']</t>
        </is>
      </c>
    </row>
    <row r="30" ht="33" customHeight="1">
      <c r="A30" s="14" t="inlineStr">
        <is>
          <t>1351A52</t>
        </is>
      </c>
      <c r="B30" s="15" t="inlineStr">
        <is>
          <t>1351A52</t>
        </is>
      </c>
      <c r="C30" s="15" t="inlineStr">
        <is>
          <t>McMaster-Carr</t>
        </is>
      </c>
      <c r="D30" s="15" t="inlineStr">
        <is>
          <t>High-Capacity Lid Support w/ Hold-Open Mechanism, Lift-to-Release, Side Mount, Free Moving, T304SS - 3/8/22</t>
        </is>
      </c>
      <c r="E30" s="15" t="n">
        <v>1</v>
      </c>
      <c r="F30" s="17" t="inlineStr">
        <is>
          <t>each</t>
        </is>
      </c>
      <c r="G30" s="15" t="inlineStr">
        <is>
          <t>McMaster-Carr</t>
        </is>
      </c>
      <c r="H30" s="15" t="inlineStr">
        <is>
          <t>1351A52</t>
        </is>
      </c>
      <c r="I30" s="15" t="inlineStr">
        <is>
          <t>NO</t>
        </is>
      </c>
      <c r="J30" s="18" t="n">
        <v>181.71</v>
      </c>
      <c r="K30" s="92" t="inlineStr">
        <is>
          <t>An error occurred: NoSuchElementError
Element not found for Css=[class='PrceTxt']</t>
        </is>
      </c>
    </row>
    <row r="31" ht="33" customHeight="1">
      <c r="A31" s="53" t="inlineStr">
        <is>
          <t>6255K22</t>
        </is>
      </c>
      <c r="B31" s="54" t="inlineStr">
        <is>
          <t>6255K22</t>
        </is>
      </c>
      <c r="C31" s="54" t="inlineStr">
        <is>
          <t>McMaster-Carr</t>
        </is>
      </c>
      <c r="D31" s="54" t="inlineStr">
        <is>
          <t>High-Load Mounted Linear Ball Bearing, For 1-1/4" Dia. Shaft, 0.5 Degree Misalignment Capability, 7-1/2" Overall Length, 6061 Aluminum Housing, Acetal Bearing Body, Steel Balls</t>
        </is>
      </c>
      <c r="E31" s="15" t="n"/>
      <c r="F31" s="17" t="inlineStr">
        <is>
          <t>Each</t>
        </is>
      </c>
      <c r="G31" s="54" t="inlineStr">
        <is>
          <t>McMaster-Carr</t>
        </is>
      </c>
      <c r="H31" s="54" t="inlineStr">
        <is>
          <t>6255K22</t>
        </is>
      </c>
      <c r="I31" s="15" t="inlineStr">
        <is>
          <t>NO</t>
        </is>
      </c>
      <c r="J31" s="56" t="n">
        <v>654.38</v>
      </c>
      <c r="K31" t="inlineStr">
        <is>
          <t>Percentage Change Threshold: 23.5005473143849%</t>
        </is>
      </c>
    </row>
    <row r="32" ht="33" customHeight="1">
      <c r="A32" s="53" t="inlineStr">
        <is>
          <t>90145A508</t>
        </is>
      </c>
      <c r="B32" s="54" t="inlineStr">
        <is>
          <t>90145A508</t>
        </is>
      </c>
      <c r="C32" s="54" t="inlineStr">
        <is>
          <t>McMaster-Carr</t>
        </is>
      </c>
      <c r="D32" s="55" t="inlineStr">
        <is>
          <t>18-8 Stainless Steel Standard Dowel Pin 3/16" Diameter, 3/4" Length, Packs of 20</t>
        </is>
      </c>
      <c r="E32" s="15" t="n">
        <v>20</v>
      </c>
      <c r="F32" s="17" t="inlineStr">
        <is>
          <t>pack</t>
        </is>
      </c>
      <c r="G32" s="54" t="inlineStr">
        <is>
          <t>McMaster-Carr</t>
        </is>
      </c>
      <c r="H32" s="54" t="inlineStr">
        <is>
          <t>90145A508</t>
        </is>
      </c>
      <c r="I32" s="15" t="inlineStr">
        <is>
          <t>NO</t>
        </is>
      </c>
      <c r="J32" s="56" t="n">
        <v>8.31</v>
      </c>
      <c r="K32" t="inlineStr">
        <is>
          <t>An error occurred: Type mismatch</t>
        </is>
      </c>
    </row>
    <row r="33" ht="33" customHeight="1">
      <c r="A33" s="53" t="inlineStr">
        <is>
          <t>90145A508</t>
        </is>
      </c>
      <c r="B33" s="54" t="inlineStr">
        <is>
          <t>90145A508</t>
        </is>
      </c>
      <c r="C33" s="54" t="inlineStr">
        <is>
          <t>McMaster-Carr</t>
        </is>
      </c>
      <c r="D33" s="55" t="inlineStr">
        <is>
          <t>18-8 Stainless Steel Standard Dowel Pin 3/16" Diameter, 3/4" Length, Packs of 20</t>
        </is>
      </c>
      <c r="E33" s="15" t="n">
        <v>20</v>
      </c>
      <c r="F33" s="17" t="inlineStr">
        <is>
          <t>pack</t>
        </is>
      </c>
      <c r="G33" s="54" t="inlineStr">
        <is>
          <t>McMaster-Carr</t>
        </is>
      </c>
      <c r="H33" s="54" t="inlineStr">
        <is>
          <t>90145A508</t>
        </is>
      </c>
      <c r="I33" s="15" t="inlineStr">
        <is>
          <t>NO</t>
        </is>
      </c>
      <c r="J33" s="56" t="n">
        <v>8.31</v>
      </c>
      <c r="K33" t="inlineStr">
        <is>
          <t>An error occurred: Type mismatch</t>
        </is>
      </c>
    </row>
    <row r="34" ht="33" customHeight="1">
      <c r="A34" s="14" t="inlineStr">
        <is>
          <t>6255K21</t>
        </is>
      </c>
      <c r="B34" s="15" t="inlineStr">
        <is>
          <t>N/A</t>
        </is>
      </c>
      <c r="C34" s="15" t="inlineStr">
        <is>
          <t>Thompson</t>
        </is>
      </c>
      <c r="D34" s="16" t="inlineStr">
        <is>
          <t>Thompson Aluminum Mounted Self-aligning Double Length Linear Bearing with 1" Dia. Bore - price checked 4/5/22</t>
        </is>
      </c>
      <c r="E34" s="16" t="n"/>
      <c r="F34" s="17" t="inlineStr">
        <is>
          <t>Each</t>
        </is>
      </c>
      <c r="G34" s="15" t="inlineStr">
        <is>
          <t>McMaster-Carr</t>
        </is>
      </c>
      <c r="H34" s="15" t="inlineStr">
        <is>
          <t>6255K21</t>
        </is>
      </c>
      <c r="I34" s="15" t="inlineStr">
        <is>
          <t>NO</t>
        </is>
      </c>
      <c r="J34" s="18" t="n">
        <v>365.28</v>
      </c>
      <c r="K34" t="inlineStr">
        <is>
          <t>Percentage Change Threshold: 26.149802890933%</t>
        </is>
      </c>
    </row>
    <row r="35" ht="33" customHeight="1">
      <c r="A35" s="53" t="inlineStr">
        <is>
          <t>HPA-FIX101-34-10</t>
        </is>
      </c>
      <c r="B35" s="54" t="inlineStr">
        <is>
          <t>HPA-FIX101-34-10</t>
        </is>
      </c>
      <c r="C35" s="54" t="inlineStr">
        <is>
          <t>NGI</t>
        </is>
      </c>
      <c r="D35" s="54" t="inlineStr">
        <is>
          <t>10" L x 3/4-10 thread, Adjustable Leveler w/ Adjusting Nut, Stainless Steel Rod, 2 skinned-over lag holes</t>
        </is>
      </c>
      <c r="E35" s="15" t="n">
        <v>1</v>
      </c>
      <c r="F35" s="17" t="inlineStr">
        <is>
          <t>each</t>
        </is>
      </c>
      <c r="G35" s="54" t="inlineStr">
        <is>
          <t>NGI</t>
        </is>
      </c>
      <c r="H35" s="54" t="inlineStr">
        <is>
          <t>HPA-FIX101-34-10</t>
        </is>
      </c>
      <c r="I35" s="15" t="inlineStr">
        <is>
          <t>NO</t>
        </is>
      </c>
      <c r="J35" s="56" t="n">
        <v>16.52</v>
      </c>
      <c r="K35" t="inlineStr">
        <is>
          <t>Percentage Change Threshold: 12.953995157385%</t>
        </is>
      </c>
    </row>
    <row r="36" ht="33" customHeight="1">
      <c r="A36" s="53" t="inlineStr">
        <is>
          <t>90145A508</t>
        </is>
      </c>
      <c r="B36" s="54" t="inlineStr">
        <is>
          <t>90145A508</t>
        </is>
      </c>
      <c r="C36" s="54" t="inlineStr">
        <is>
          <t>McMaster-Carr</t>
        </is>
      </c>
      <c r="D36" s="55" t="inlineStr">
        <is>
          <t>18-8 Stainless Steel Standard Dowel Pin 3/16" Diameter, 3/4" Length, Packs of 20</t>
        </is>
      </c>
      <c r="E36" s="15" t="n">
        <v>20</v>
      </c>
      <c r="F36" s="17" t="inlineStr">
        <is>
          <t>pack</t>
        </is>
      </c>
      <c r="G36" s="54" t="inlineStr">
        <is>
          <t>McMaster-Carr</t>
        </is>
      </c>
      <c r="H36" s="54" t="inlineStr">
        <is>
          <t>90145A508</t>
        </is>
      </c>
      <c r="I36" s="15" t="inlineStr">
        <is>
          <t>NO</t>
        </is>
      </c>
      <c r="J36" s="56" t="n">
        <v>8.31</v>
      </c>
      <c r="K36" s="92" t="inlineStr">
        <is>
          <t>An error occurred: NoSuchElementError
Element not found for Css=[class='PrceTxt']</t>
        </is>
      </c>
    </row>
    <row r="37" ht="33" customHeight="1">
      <c r="A37" s="14" t="n"/>
      <c r="B37" s="15" t="n"/>
      <c r="C37" s="15" t="n"/>
      <c r="D37" s="15" t="n"/>
      <c r="E37" s="15" t="n"/>
      <c r="F37" s="17" t="n"/>
      <c r="G37" s="15" t="n"/>
      <c r="H37" s="15" t="n"/>
      <c r="I37" s="15" t="n"/>
      <c r="J37" s="18" t="n"/>
    </row>
    <row r="38" ht="33" customHeight="1">
      <c r="A38" s="14" t="n"/>
      <c r="B38" s="15" t="n"/>
      <c r="C38" s="15" t="n"/>
      <c r="D38" s="15" t="n"/>
      <c r="E38" s="15" t="n"/>
      <c r="F38" s="17" t="n"/>
      <c r="G38" s="15" t="n"/>
      <c r="H38" s="15" t="n"/>
      <c r="I38" s="15" t="n"/>
      <c r="J38" s="18" t="n"/>
    </row>
    <row r="39" ht="33" customHeight="1">
      <c r="A39" s="14" t="n"/>
      <c r="B39" s="15" t="n"/>
      <c r="C39" s="15" t="n"/>
      <c r="D39" s="15" t="n"/>
      <c r="E39" s="15" t="n"/>
      <c r="F39" s="17" t="n"/>
      <c r="G39" s="15" t="n"/>
      <c r="H39" s="15" t="n"/>
      <c r="I39" s="15" t="n"/>
      <c r="J39" s="18" t="n"/>
    </row>
    <row r="40" ht="33" customHeight="1">
      <c r="A40" s="14" t="n"/>
      <c r="B40" s="15" t="n"/>
      <c r="C40" s="15" t="n"/>
      <c r="D40" s="15" t="n"/>
      <c r="E40" s="15" t="n"/>
      <c r="F40" s="17" t="n"/>
      <c r="G40" s="15" t="n"/>
      <c r="H40" s="15" t="n"/>
      <c r="I40" s="15" t="n"/>
      <c r="J40" s="18" t="n"/>
    </row>
    <row r="41" ht="33" customHeight="1">
      <c r="A41" s="14" t="n"/>
      <c r="B41" s="15" t="n"/>
      <c r="C41" s="15" t="n"/>
      <c r="D41" s="15" t="n"/>
      <c r="E41" s="15" t="n"/>
      <c r="F41" s="17" t="n"/>
      <c r="G41" s="15" t="n"/>
      <c r="H41" s="15" t="n"/>
      <c r="I41" s="15" t="n"/>
      <c r="J41" s="18" t="n"/>
    </row>
    <row r="42" ht="33" customHeight="1">
      <c r="A42" s="14" t="n"/>
      <c r="B42" s="15" t="n"/>
      <c r="C42" s="15" t="n"/>
      <c r="D42" s="15" t="n"/>
      <c r="E42" s="15" t="n"/>
      <c r="F42" s="17" t="n"/>
      <c r="G42" s="15" t="n"/>
      <c r="H42" s="15" t="n"/>
      <c r="I42" s="15" t="n"/>
      <c r="J42" s="18" t="n"/>
      <c r="K42" s="92" t="n"/>
    </row>
    <row r="43" ht="33" customHeight="1">
      <c r="A43" s="14" t="n"/>
      <c r="B43" s="15" t="n"/>
      <c r="C43" s="15" t="n"/>
      <c r="D43" s="15" t="n"/>
      <c r="E43" s="15" t="n"/>
      <c r="F43" s="17" t="n"/>
      <c r="G43" s="15" t="n"/>
      <c r="H43" s="15" t="n"/>
      <c r="I43" s="15" t="n"/>
      <c r="J43" s="18" t="n"/>
      <c r="K43" s="92" t="n"/>
    </row>
    <row r="44" ht="33" customHeight="1">
      <c r="A44" s="14" t="n"/>
      <c r="B44" s="15" t="n"/>
      <c r="C44" s="15" t="n"/>
      <c r="D44" s="15" t="n"/>
      <c r="E44" s="15" t="n"/>
      <c r="F44" s="17" t="n"/>
      <c r="G44" s="15" t="n"/>
      <c r="H44" s="15" t="n"/>
      <c r="I44" s="15" t="n"/>
      <c r="J44" s="18" t="n"/>
    </row>
    <row r="45" ht="33" customHeight="1">
      <c r="A45" s="14" t="n"/>
      <c r="B45" s="15" t="n"/>
      <c r="C45" s="15" t="n"/>
      <c r="D45" s="15" t="n"/>
      <c r="E45" s="15" t="n"/>
      <c r="F45" s="17" t="n"/>
      <c r="G45" s="15" t="n"/>
      <c r="H45" s="15" t="n"/>
      <c r="I45" s="15" t="n"/>
      <c r="J45" s="18" t="n"/>
    </row>
    <row r="46" ht="33" customHeight="1">
      <c r="A46" s="14" t="n"/>
      <c r="B46" s="15" t="n"/>
      <c r="C46" s="15" t="n"/>
      <c r="D46" s="15" t="n"/>
      <c r="E46" s="15" t="n"/>
      <c r="F46" s="17" t="n"/>
      <c r="G46" s="15" t="n"/>
      <c r="H46" s="15" t="n"/>
      <c r="I46" s="15" t="n"/>
      <c r="J46" s="18" t="n"/>
    </row>
    <row r="47" ht="33" customHeight="1">
      <c r="A47" s="14" t="n"/>
      <c r="B47" s="15" t="n"/>
      <c r="C47" s="15" t="n"/>
      <c r="D47" s="15" t="n"/>
      <c r="E47" s="15" t="n"/>
      <c r="F47" s="17" t="n"/>
      <c r="G47" s="15" t="n"/>
      <c r="H47" s="15" t="n"/>
      <c r="I47" s="15" t="n"/>
      <c r="J47" s="18" t="n"/>
      <c r="K47" s="92" t="n"/>
    </row>
    <row r="48" ht="33" customHeight="1">
      <c r="A48" s="14" t="n"/>
      <c r="B48" s="15" t="n"/>
      <c r="C48" s="15" t="n"/>
      <c r="D48" s="15" t="n"/>
      <c r="E48" s="15" t="n"/>
      <c r="F48" s="17" t="n"/>
      <c r="G48" s="15" t="n"/>
      <c r="H48" s="15" t="n"/>
      <c r="I48" s="15" t="n"/>
      <c r="J48" s="18" t="n"/>
    </row>
    <row r="49" ht="33" customHeight="1">
      <c r="A49" s="14" t="n"/>
      <c r="B49" s="15" t="n"/>
      <c r="C49" s="15" t="n"/>
      <c r="D49" s="15" t="n"/>
      <c r="E49" s="15" t="n"/>
      <c r="F49" s="17" t="n"/>
      <c r="G49" s="15" t="n"/>
      <c r="H49" s="15" t="n"/>
      <c r="I49" s="15" t="n"/>
      <c r="J49" s="18" t="n"/>
    </row>
    <row r="50" ht="33" customHeight="1">
      <c r="A50" s="14" t="n"/>
      <c r="B50" s="15" t="n"/>
      <c r="C50" s="15" t="n"/>
      <c r="D50" s="15" t="n"/>
      <c r="E50" s="15" t="n"/>
      <c r="F50" s="17" t="n"/>
      <c r="G50" s="15" t="n"/>
      <c r="H50" s="15" t="n"/>
      <c r="I50" s="15" t="n"/>
      <c r="J50" s="18" t="n"/>
    </row>
    <row r="51" ht="33" customHeight="1">
      <c r="A51" s="14" t="n"/>
      <c r="B51" s="15" t="n"/>
      <c r="C51" s="15" t="n"/>
      <c r="D51" s="15" t="n"/>
      <c r="E51" s="15" t="n"/>
      <c r="F51" s="17" t="n"/>
      <c r="G51" s="15" t="n"/>
      <c r="H51" s="15" t="n"/>
      <c r="I51" s="15" t="n"/>
      <c r="J51" s="18" t="n"/>
    </row>
    <row r="52" ht="33" customHeight="1">
      <c r="A52" s="14" t="n"/>
      <c r="B52" s="15" t="n"/>
      <c r="C52" s="15" t="n"/>
      <c r="D52" s="15" t="n"/>
      <c r="E52" s="15" t="n"/>
      <c r="F52" s="17" t="n"/>
      <c r="G52" s="15" t="n"/>
      <c r="H52" s="15" t="n"/>
      <c r="I52" s="15" t="n"/>
      <c r="J52" s="18" t="n"/>
      <c r="K52" s="92" t="n"/>
    </row>
    <row r="53" ht="33" customHeight="1">
      <c r="A53" s="43" t="n"/>
      <c r="B53" s="15" t="n"/>
      <c r="C53" s="15" t="n"/>
      <c r="D53" s="44" t="n"/>
      <c r="E53" s="44" t="n"/>
      <c r="F53" s="17" t="n"/>
      <c r="G53" s="15" t="n"/>
      <c r="H53" s="15" t="n"/>
      <c r="I53" s="15" t="n"/>
      <c r="J53" s="18" t="n"/>
      <c r="K53" s="92" t="n"/>
    </row>
    <row r="54" ht="33" customHeight="1">
      <c r="A54" s="14" t="n"/>
      <c r="B54" s="15" t="n"/>
      <c r="C54" s="15" t="n"/>
      <c r="D54" s="15" t="n"/>
      <c r="E54" s="15" t="n"/>
      <c r="F54" s="17" t="n"/>
      <c r="G54" s="15" t="n"/>
      <c r="H54" s="15" t="n"/>
      <c r="I54" s="15" t="n"/>
      <c r="J54" s="18" t="n"/>
    </row>
    <row r="55" ht="33" customHeight="1">
      <c r="A55" s="14" t="n"/>
      <c r="B55" s="15" t="n"/>
      <c r="C55" s="15" t="n"/>
      <c r="D55" s="15" t="n"/>
      <c r="E55" s="15" t="n"/>
      <c r="F55" s="17" t="n"/>
      <c r="G55" s="15" t="n"/>
      <c r="H55" s="15" t="n"/>
      <c r="I55" s="15" t="n"/>
      <c r="J55" s="18" t="n"/>
    </row>
    <row r="56" ht="33" customHeight="1">
      <c r="A56" s="43" t="n"/>
      <c r="B56" s="15" t="n"/>
      <c r="C56" s="15" t="n"/>
      <c r="D56" s="15" t="n"/>
      <c r="E56" s="15" t="n"/>
      <c r="F56" s="17" t="n"/>
      <c r="G56" s="15" t="n"/>
      <c r="H56" s="15" t="n"/>
      <c r="I56" s="15" t="n"/>
      <c r="J56" s="18" t="n"/>
    </row>
    <row r="57" ht="33" customHeight="1">
      <c r="A57" s="43" t="n"/>
      <c r="B57" s="15" t="n"/>
      <c r="C57" s="15" t="n"/>
      <c r="D57" s="15" t="n"/>
      <c r="E57" s="15" t="n"/>
      <c r="F57" s="17" t="n"/>
      <c r="G57" s="15" t="n"/>
      <c r="H57" s="15" t="n"/>
      <c r="I57" s="15" t="n"/>
      <c r="J57" s="18" t="n"/>
    </row>
    <row r="58" ht="33" customHeight="1">
      <c r="A58" s="43" t="n"/>
      <c r="B58" s="15" t="n"/>
      <c r="C58" s="15" t="n"/>
      <c r="D58" s="15" t="n"/>
      <c r="E58" s="15" t="n"/>
      <c r="F58" s="17" t="n"/>
      <c r="G58" s="15" t="n"/>
      <c r="H58" s="15" t="n"/>
      <c r="I58" s="15" t="n"/>
      <c r="J58" s="18" t="n"/>
    </row>
    <row r="59" ht="33" customHeight="1">
      <c r="A59" s="43" t="n"/>
      <c r="B59" s="15" t="n"/>
      <c r="C59" s="15" t="n"/>
      <c r="D59" s="15" t="n"/>
      <c r="E59" s="15" t="n"/>
      <c r="F59" s="17" t="n"/>
      <c r="G59" s="15" t="n"/>
      <c r="H59" s="15" t="n"/>
      <c r="I59" s="15" t="n"/>
      <c r="J59" s="18" t="n"/>
      <c r="K59" s="92" t="n"/>
    </row>
    <row r="60" ht="33" customHeight="1">
      <c r="A60" s="43" t="n"/>
      <c r="B60" s="15" t="n"/>
      <c r="C60" s="15" t="n"/>
      <c r="D60" s="15" t="n"/>
      <c r="E60" s="15" t="n"/>
      <c r="F60" s="17" t="n"/>
      <c r="G60" s="15" t="n"/>
      <c r="H60" s="15" t="n"/>
      <c r="I60" s="15" t="n"/>
      <c r="J60" s="18" t="n"/>
    </row>
    <row r="61" ht="33" customHeight="1">
      <c r="A61" s="43" t="n"/>
      <c r="B61" s="15" t="n"/>
      <c r="C61" s="15" t="n"/>
      <c r="D61" s="15" t="n"/>
      <c r="E61" s="15" t="n"/>
      <c r="F61" s="17" t="n"/>
      <c r="G61" s="15" t="n"/>
      <c r="H61" s="15" t="n"/>
      <c r="I61" s="15" t="n"/>
      <c r="J61" s="18" t="n"/>
    </row>
    <row r="62" ht="33" customHeight="1">
      <c r="A62" s="43" t="n"/>
      <c r="B62" s="15" t="n"/>
      <c r="C62" s="15" t="n"/>
      <c r="D62" s="15" t="n"/>
      <c r="E62" s="15" t="n"/>
      <c r="F62" s="17" t="n"/>
      <c r="G62" s="15" t="n"/>
      <c r="H62" s="15" t="n"/>
      <c r="I62" s="15" t="n"/>
      <c r="J62" s="18" t="n"/>
      <c r="K62" s="92" t="n"/>
    </row>
    <row r="63" ht="33" customHeight="1">
      <c r="A63" s="43" t="n"/>
      <c r="B63" s="15" t="n"/>
      <c r="C63" s="15" t="n"/>
      <c r="D63" s="15" t="n"/>
      <c r="E63" s="15" t="n"/>
      <c r="F63" s="17" t="n"/>
      <c r="G63" s="15" t="n"/>
      <c r="H63" s="15" t="n"/>
      <c r="I63" s="15" t="n"/>
      <c r="J63" s="18" t="n"/>
    </row>
    <row r="64" ht="33" customHeight="1">
      <c r="A64" s="43" t="n"/>
      <c r="B64" s="15" t="n"/>
      <c r="C64" s="15" t="n"/>
      <c r="D64" s="15" t="n"/>
      <c r="E64" s="15" t="n"/>
      <c r="F64" s="17" t="n"/>
      <c r="G64" s="15" t="n"/>
      <c r="H64" s="15" t="n"/>
      <c r="I64" s="15" t="n"/>
      <c r="J64" s="18" t="n"/>
    </row>
    <row r="65" ht="33" customHeight="1">
      <c r="A65" s="43" t="n"/>
      <c r="B65" s="15" t="n"/>
      <c r="C65" s="15" t="n"/>
      <c r="D65" s="15" t="n"/>
      <c r="E65" s="15" t="n"/>
      <c r="F65" s="17" t="n"/>
      <c r="G65" s="15" t="n"/>
      <c r="H65" s="15" t="n"/>
      <c r="I65" s="15" t="n"/>
      <c r="J65" s="18" t="n"/>
    </row>
    <row r="66" ht="33" customHeight="1">
      <c r="A66" s="43" t="n"/>
      <c r="B66" s="15" t="n"/>
      <c r="C66" s="15" t="n"/>
      <c r="D66" s="15" t="n"/>
      <c r="E66" s="15" t="n"/>
      <c r="F66" s="17" t="n"/>
      <c r="G66" s="15" t="n"/>
      <c r="H66" s="15" t="n"/>
      <c r="I66" s="15" t="n"/>
      <c r="J66" s="18" t="n"/>
    </row>
    <row r="67" ht="33" customHeight="1">
      <c r="A67" s="43" t="n"/>
      <c r="B67" s="15" t="n"/>
      <c r="C67" s="15" t="n"/>
      <c r="D67" s="15" t="n"/>
      <c r="E67" s="15" t="n"/>
      <c r="F67" s="17" t="n"/>
      <c r="G67" s="15" t="n"/>
      <c r="H67" s="15" t="n"/>
      <c r="I67" s="15" t="n"/>
      <c r="J67" s="18" t="n"/>
      <c r="K67" s="92" t="n"/>
    </row>
    <row r="68" ht="33" customHeight="1">
      <c r="A68" s="14" t="n"/>
      <c r="B68" s="15" t="n"/>
      <c r="C68" s="15" t="n"/>
      <c r="D68" s="15" t="n"/>
      <c r="E68" s="15" t="n"/>
      <c r="F68" s="17" t="n"/>
      <c r="G68" s="15" t="n"/>
      <c r="H68" s="15" t="n"/>
      <c r="I68" s="15" t="n"/>
      <c r="J68" s="18" t="n"/>
    </row>
    <row r="69" ht="33" customHeight="1">
      <c r="A69" s="14" t="n"/>
      <c r="B69" s="15" t="n"/>
      <c r="C69" s="15" t="n"/>
      <c r="D69" s="15" t="n"/>
      <c r="E69" s="15" t="n"/>
      <c r="F69" s="17" t="n"/>
      <c r="G69" s="15" t="n"/>
      <c r="H69" s="15" t="n"/>
      <c r="I69" s="15" t="n"/>
      <c r="J69" s="18" t="n"/>
    </row>
    <row r="70" ht="33" customHeight="1">
      <c r="A70" s="14" t="n"/>
      <c r="B70" s="15" t="n"/>
      <c r="C70" s="15" t="n"/>
      <c r="D70" s="15" t="n"/>
      <c r="E70" s="15" t="n"/>
      <c r="F70" s="17" t="n"/>
      <c r="G70" s="15" t="n"/>
      <c r="H70" s="15" t="n"/>
      <c r="I70" s="15" t="n"/>
      <c r="J70" s="18" t="n"/>
    </row>
    <row r="71" ht="33" customHeight="1">
      <c r="A71" s="14" t="n"/>
      <c r="B71" s="15" t="n"/>
      <c r="C71" s="15" t="n"/>
      <c r="D71" s="15" t="n"/>
      <c r="E71" s="15" t="n"/>
      <c r="F71" s="17" t="n"/>
      <c r="G71" s="15" t="n"/>
      <c r="H71" s="15" t="n"/>
      <c r="I71" s="15" t="n"/>
      <c r="J71" s="18" t="n"/>
    </row>
    <row r="72" ht="33" customHeight="1">
      <c r="A72" s="14" t="n"/>
      <c r="B72" s="15" t="n"/>
      <c r="C72" s="15" t="n"/>
      <c r="D72" s="15" t="n"/>
      <c r="E72" s="15" t="n"/>
      <c r="F72" s="17" t="n"/>
      <c r="G72" s="15" t="n"/>
      <c r="H72" s="15" t="n"/>
      <c r="I72" s="15" t="n"/>
      <c r="J72" s="18" t="n"/>
    </row>
    <row r="73" ht="33" customHeight="1">
      <c r="A73" s="14" t="n"/>
      <c r="B73" s="15" t="n"/>
      <c r="C73" s="15" t="n"/>
      <c r="D73" s="15" t="n"/>
      <c r="E73" s="15" t="n"/>
      <c r="F73" s="17" t="n"/>
      <c r="G73" s="15" t="n"/>
      <c r="H73" s="15" t="n"/>
      <c r="I73" s="15" t="n"/>
      <c r="J73" s="18" t="n"/>
      <c r="K73" s="92" t="n"/>
    </row>
    <row r="74" ht="33" customHeight="1">
      <c r="A74" s="43" t="n"/>
      <c r="B74" s="15" t="n"/>
      <c r="C74" s="15" t="n"/>
      <c r="D74" s="15" t="n"/>
      <c r="E74" s="15" t="n"/>
      <c r="F74" s="17" t="n"/>
      <c r="G74" s="15" t="n"/>
      <c r="H74" s="15" t="n"/>
      <c r="I74" s="15" t="n"/>
      <c r="J74" s="18" t="n"/>
    </row>
    <row r="75" ht="33" customHeight="1">
      <c r="A75" s="43" t="n"/>
      <c r="B75" s="15" t="n"/>
      <c r="C75" s="15" t="n"/>
      <c r="D75" s="15" t="n"/>
      <c r="E75" s="15" t="n"/>
      <c r="F75" s="17" t="n"/>
      <c r="G75" s="15" t="n"/>
      <c r="H75" s="15" t="n"/>
      <c r="I75" s="15" t="n"/>
      <c r="J75" s="18" t="n"/>
    </row>
    <row r="76" ht="33" customHeight="1">
      <c r="A76" s="14" t="n"/>
      <c r="B76" s="15" t="n"/>
      <c r="C76" s="15" t="n"/>
      <c r="D76" s="15" t="n"/>
      <c r="E76" s="15" t="n"/>
      <c r="F76" s="17" t="n"/>
      <c r="G76" s="15" t="n"/>
      <c r="H76" s="15" t="n"/>
      <c r="I76" s="15" t="n"/>
      <c r="J76" s="18" t="n"/>
    </row>
    <row r="77" ht="33" customHeight="1">
      <c r="A77" s="14" t="n"/>
      <c r="B77" s="15" t="n"/>
      <c r="C77" s="15" t="n"/>
      <c r="D77" s="15" t="n"/>
      <c r="E77" s="15" t="n"/>
      <c r="F77" s="17" t="n"/>
      <c r="G77" s="15" t="n"/>
      <c r="H77" s="15" t="n"/>
      <c r="I77" s="15" t="n"/>
      <c r="J77" s="18" t="n"/>
    </row>
    <row r="78" ht="33" customHeight="1">
      <c r="A78" s="14" t="n"/>
      <c r="B78" s="15" t="n"/>
      <c r="C78" s="15" t="n"/>
      <c r="D78" s="15" t="n"/>
      <c r="E78" s="15" t="n"/>
      <c r="F78" s="17" t="n"/>
      <c r="G78" s="15" t="n"/>
      <c r="H78" s="15" t="n"/>
      <c r="I78" s="15" t="n"/>
      <c r="J78" s="18" t="n"/>
    </row>
    <row r="79" ht="33" customHeight="1">
      <c r="A79" s="14" t="n"/>
      <c r="B79" s="15" t="n"/>
      <c r="C79" s="15" t="n"/>
      <c r="D79" s="15" t="n"/>
      <c r="E79" s="15" t="n"/>
      <c r="F79" s="17" t="n"/>
      <c r="G79" s="15" t="n"/>
      <c r="H79" s="15" t="n"/>
      <c r="I79" s="15" t="n"/>
      <c r="J79" s="18" t="n"/>
    </row>
    <row r="80" ht="33" customHeight="1">
      <c r="A80" s="52" t="n"/>
      <c r="B80" s="15" t="n"/>
      <c r="C80" s="15" t="n"/>
      <c r="D80" s="15" t="n"/>
      <c r="E80" s="15" t="n"/>
      <c r="F80" s="17" t="n"/>
      <c r="G80" s="15" t="n"/>
      <c r="H80" s="15" t="n"/>
      <c r="I80" s="15" t="n"/>
      <c r="J80" s="18" t="n"/>
    </row>
    <row r="81" ht="33" customHeight="1">
      <c r="A81" s="52" t="n"/>
      <c r="B81" s="15" t="n"/>
      <c r="C81" s="15" t="n"/>
      <c r="D81" s="15" t="n"/>
      <c r="E81" s="15" t="n"/>
      <c r="F81" s="17" t="n"/>
      <c r="G81" s="15" t="n"/>
      <c r="H81" s="15" t="n"/>
      <c r="I81" s="15" t="n"/>
      <c r="J81" s="18" t="n"/>
    </row>
    <row r="82" ht="33" customHeight="1">
      <c r="A82" s="52" t="n"/>
      <c r="B82" s="15" t="n"/>
      <c r="C82" s="15" t="n"/>
      <c r="D82" s="15" t="n"/>
      <c r="E82" s="15" t="n"/>
      <c r="F82" s="17" t="n"/>
      <c r="G82" s="15" t="n"/>
      <c r="H82" s="15" t="n"/>
      <c r="I82" s="15" t="n"/>
      <c r="J82" s="18" t="n"/>
    </row>
    <row r="83" ht="33" customHeight="1">
      <c r="A83" s="14" t="n"/>
      <c r="B83" s="15" t="n"/>
      <c r="C83" s="15" t="n"/>
      <c r="D83" s="15" t="n"/>
      <c r="E83" s="15" t="n"/>
      <c r="F83" s="17" t="n"/>
      <c r="G83" s="15" t="n"/>
      <c r="H83" s="15" t="n"/>
      <c r="I83" s="15" t="n"/>
      <c r="J83" s="18" t="n"/>
    </row>
    <row r="84" ht="33" customHeight="1">
      <c r="A84" s="14" t="n"/>
      <c r="B84" s="15" t="n"/>
      <c r="C84" s="15" t="n"/>
      <c r="D84" s="15" t="n"/>
      <c r="E84" s="15" t="n"/>
      <c r="F84" s="17" t="n"/>
      <c r="G84" s="15" t="n"/>
      <c r="H84" s="15" t="n"/>
      <c r="I84" s="15" t="n"/>
      <c r="J84" s="18" t="n"/>
    </row>
    <row r="85" ht="33" customHeight="1">
      <c r="A85" s="14" t="n"/>
      <c r="B85" s="15" t="n"/>
      <c r="C85" s="15" t="n"/>
      <c r="D85" s="15" t="n"/>
      <c r="E85" s="15" t="n"/>
      <c r="F85" s="17" t="n"/>
      <c r="G85" s="15" t="n"/>
      <c r="H85" s="15" t="n"/>
      <c r="I85" s="15" t="n"/>
      <c r="J85" s="18" t="n"/>
    </row>
    <row r="86" ht="33" customHeight="1">
      <c r="A86" s="53" t="n"/>
      <c r="B86" s="54" t="n"/>
      <c r="C86" s="54" t="n"/>
      <c r="D86" s="55" t="n"/>
      <c r="E86" s="15" t="n"/>
      <c r="F86" s="17" t="n"/>
      <c r="G86" s="54" t="n"/>
      <c r="H86" s="54" t="n"/>
      <c r="I86" s="15" t="n"/>
      <c r="J86" s="56" t="n"/>
      <c r="K86" s="92" t="n"/>
    </row>
    <row r="87" ht="33" customHeight="1">
      <c r="A87" s="53" t="n"/>
      <c r="B87" s="54" t="n"/>
      <c r="C87" s="54" t="n"/>
      <c r="D87" s="54" t="n"/>
      <c r="E87" s="15" t="n"/>
      <c r="F87" s="17" t="n"/>
      <c r="G87" s="54" t="n"/>
      <c r="H87" s="54" t="n"/>
      <c r="I87" s="15" t="n"/>
      <c r="J87" s="56" t="n"/>
      <c r="K87" s="92" t="n"/>
    </row>
    <row r="88" ht="33" customHeight="1">
      <c r="A88" s="53" t="n"/>
      <c r="B88" s="54" t="n"/>
      <c r="C88" s="54" t="n"/>
      <c r="D88" s="54" t="n"/>
      <c r="E88" s="15" t="n"/>
      <c r="F88" s="17" t="n"/>
      <c r="G88" s="54" t="n"/>
      <c r="H88" s="54" t="n"/>
      <c r="I88" s="15" t="n"/>
      <c r="J88" s="56" t="n"/>
      <c r="K88" s="92" t="n"/>
    </row>
    <row r="89" ht="33" customHeight="1">
      <c r="A89" s="53" t="n"/>
      <c r="B89" s="54" t="n"/>
      <c r="C89" s="54" t="n"/>
      <c r="D89" s="64" t="n"/>
      <c r="E89" s="15" t="n"/>
      <c r="F89" s="17" t="n"/>
      <c r="G89" s="54" t="n"/>
      <c r="H89" s="54" t="n"/>
      <c r="I89" s="15" t="n"/>
      <c r="J89" s="56" t="n"/>
      <c r="K89" s="92" t="n"/>
    </row>
    <row r="90" ht="33" customHeight="1">
      <c r="A90" s="53" t="n"/>
      <c r="B90" s="54" t="n"/>
      <c r="C90" s="54" t="n"/>
      <c r="D90" s="64" t="n"/>
      <c r="E90" s="15" t="n"/>
      <c r="F90" s="17" t="n"/>
      <c r="G90" s="54" t="n"/>
      <c r="H90" s="54" t="n"/>
      <c r="I90" s="15" t="n"/>
      <c r="J90" s="56" t="n"/>
      <c r="K90" s="92" t="n"/>
    </row>
    <row r="91" ht="33" customHeight="1">
      <c r="A91" s="53" t="n"/>
      <c r="B91" s="54" t="n"/>
      <c r="C91" s="54" t="n"/>
      <c r="D91" s="54" t="n"/>
      <c r="E91" s="15" t="n"/>
      <c r="F91" s="17" t="n"/>
      <c r="G91" s="54" t="n"/>
      <c r="H91" s="54" t="n"/>
      <c r="I91" s="15" t="n"/>
      <c r="J91" s="56" t="n"/>
      <c r="K91" s="92" t="n"/>
    </row>
    <row r="92" ht="33" customHeight="1">
      <c r="A92" s="53" t="n"/>
      <c r="B92" s="54" t="n"/>
      <c r="C92" s="54" t="n"/>
      <c r="D92" s="54" t="n"/>
      <c r="E92" s="15" t="n"/>
      <c r="F92" s="17" t="n"/>
      <c r="G92" s="54" t="n"/>
      <c r="H92" s="54" t="n"/>
      <c r="I92" s="15" t="n"/>
      <c r="J92" s="56" t="n"/>
      <c r="K92" s="92" t="n"/>
    </row>
    <row r="93" ht="33" customHeight="1">
      <c r="A93" s="53" t="n"/>
      <c r="B93" s="54" t="n"/>
      <c r="C93" s="54" t="n"/>
      <c r="D93" s="54" t="n"/>
      <c r="E93" s="15" t="n"/>
      <c r="F93" s="17" t="n"/>
      <c r="G93" s="54" t="n"/>
      <c r="H93" s="54" t="n"/>
      <c r="I93" s="15" t="n"/>
      <c r="J93" s="56" t="n"/>
      <c r="K93" s="92" t="n"/>
    </row>
    <row r="94" ht="33" customHeight="1">
      <c r="A94" s="65" t="n"/>
      <c r="B94" s="54" t="n"/>
      <c r="C94" s="54" t="n"/>
      <c r="D94" s="54" t="n"/>
      <c r="E94" s="15" t="n"/>
      <c r="F94" s="17" t="n"/>
      <c r="G94" s="54" t="n"/>
      <c r="H94" s="54" t="n"/>
      <c r="I94" s="15" t="n"/>
      <c r="J94" s="56" t="n"/>
      <c r="K94" s="92" t="n"/>
    </row>
    <row r="95" ht="33" customHeight="1">
      <c r="A95" s="65" t="n"/>
      <c r="B95" s="54" t="n"/>
      <c r="C95" s="54" t="n"/>
      <c r="D95" s="54" t="n"/>
      <c r="E95" s="15" t="n"/>
      <c r="F95" s="17" t="n"/>
      <c r="G95" s="54" t="n"/>
      <c r="H95" s="54" t="n"/>
      <c r="I95" s="15" t="n"/>
      <c r="J95" s="56" t="n"/>
      <c r="K95" s="92" t="n"/>
    </row>
    <row r="96" ht="33" customHeight="1">
      <c r="A96" s="53" t="n"/>
      <c r="B96" s="54" t="n"/>
      <c r="C96" s="54" t="n"/>
      <c r="D96" s="54" t="n"/>
      <c r="E96" s="15" t="n"/>
      <c r="F96" s="17" t="n"/>
      <c r="G96" s="54" t="n"/>
      <c r="H96" s="54" t="n"/>
      <c r="I96" s="15" t="n"/>
      <c r="J96" s="56" t="n"/>
      <c r="K96" s="92" t="n"/>
    </row>
    <row r="97" ht="33" customHeight="1">
      <c r="A97" s="53" t="n"/>
      <c r="B97" s="54" t="n"/>
      <c r="C97" s="54" t="n"/>
      <c r="D97" s="54" t="n"/>
      <c r="E97" s="15" t="n"/>
      <c r="F97" s="17" t="n"/>
      <c r="G97" s="54" t="n"/>
      <c r="H97" s="54" t="n"/>
      <c r="I97" s="15" t="n"/>
      <c r="J97" s="56" t="n"/>
      <c r="K97" s="92" t="n"/>
    </row>
    <row r="98" ht="33" customHeight="1">
      <c r="A98" s="14" t="n"/>
      <c r="B98" s="15" t="n"/>
      <c r="C98" s="15" t="n"/>
      <c r="D98" s="15" t="n"/>
      <c r="E98" s="15" t="n"/>
      <c r="F98" s="17" t="n"/>
      <c r="G98" s="15" t="n"/>
      <c r="H98" s="15" t="n"/>
      <c r="I98" s="15" t="n"/>
      <c r="J98" s="18" t="n"/>
      <c r="K98" s="92" t="n"/>
    </row>
    <row r="99" ht="33" customHeight="1">
      <c r="A99" s="14" t="n"/>
      <c r="B99" s="15" t="n"/>
      <c r="C99" s="15" t="n"/>
      <c r="D99" s="15" t="n"/>
      <c r="E99" s="15" t="n"/>
      <c r="F99" s="17" t="n"/>
      <c r="G99" s="15" t="n"/>
      <c r="H99" s="15" t="n"/>
      <c r="I99" s="15" t="n"/>
      <c r="J99" s="18" t="n"/>
      <c r="K99" s="92" t="n"/>
    </row>
    <row r="100" ht="33" customHeight="1">
      <c r="A100" s="14" t="n"/>
      <c r="B100" s="15" t="n"/>
      <c r="C100" s="15" t="n"/>
      <c r="D100" s="15" t="n"/>
      <c r="E100" s="15" t="n"/>
      <c r="F100" s="17" t="n"/>
      <c r="G100" s="15" t="n"/>
      <c r="H100" s="15" t="n"/>
      <c r="I100" s="15" t="n"/>
      <c r="J100" s="18" t="n"/>
      <c r="K100" s="92" t="n"/>
    </row>
    <row r="101" ht="33" customHeight="1">
      <c r="A101" s="14" t="n"/>
      <c r="B101" s="15" t="n"/>
      <c r="C101" s="15" t="n"/>
      <c r="D101" s="15" t="n"/>
      <c r="E101" s="15" t="n"/>
      <c r="F101" s="17" t="n"/>
      <c r="G101" s="15" t="n"/>
      <c r="H101" s="15" t="n"/>
      <c r="I101" s="15" t="n"/>
      <c r="J101" s="18" t="n"/>
      <c r="K101" s="92" t="n"/>
    </row>
    <row r="102" ht="33" customHeight="1">
      <c r="A102" s="14" t="n"/>
      <c r="B102" s="15" t="n"/>
      <c r="C102" s="15" t="n"/>
      <c r="D102" s="15" t="n"/>
      <c r="E102" s="15" t="n"/>
      <c r="F102" s="17" t="n"/>
      <c r="G102" s="15" t="n"/>
      <c r="H102" s="15" t="n"/>
      <c r="I102" s="15" t="n"/>
      <c r="J102" s="18" t="n"/>
      <c r="K102" s="92" t="n"/>
    </row>
    <row r="103" ht="33" customHeight="1">
      <c r="A103" s="14" t="n"/>
      <c r="B103" s="15" t="n"/>
      <c r="C103" s="15" t="n"/>
      <c r="D103" s="16" t="n"/>
      <c r="E103" s="16" t="n"/>
      <c r="F103" s="17" t="n"/>
      <c r="G103" s="15" t="n"/>
      <c r="H103" s="15" t="n"/>
      <c r="I103" s="15" t="n"/>
      <c r="J103" s="18" t="n"/>
    </row>
    <row r="104" ht="33" customHeight="1">
      <c r="A104" s="14" t="n"/>
      <c r="B104" s="15" t="n"/>
      <c r="C104" s="15" t="n"/>
      <c r="D104" s="16" t="n"/>
      <c r="E104" s="16" t="n"/>
      <c r="F104" s="17" t="n"/>
      <c r="G104" s="15" t="n"/>
      <c r="H104" s="15" t="n"/>
      <c r="I104" s="15" t="n"/>
      <c r="J104" s="18" t="n"/>
    </row>
    <row r="105" ht="33" customHeight="1">
      <c r="A105" s="14" t="n"/>
      <c r="B105" s="15" t="n"/>
      <c r="C105" s="15" t="n"/>
      <c r="D105" s="15" t="n"/>
      <c r="E105" s="15" t="n"/>
      <c r="F105" s="17" t="n"/>
      <c r="G105" s="15" t="n"/>
      <c r="H105" s="15" t="n"/>
      <c r="I105" s="15" t="n"/>
      <c r="J105" s="18" t="n"/>
      <c r="K105" s="92" t="n"/>
    </row>
    <row r="106" ht="33" customHeight="1">
      <c r="A106" s="14" t="n"/>
      <c r="B106" s="15" t="n"/>
      <c r="C106" s="15" t="n"/>
      <c r="D106" s="15" t="n"/>
      <c r="E106" s="15" t="n"/>
      <c r="F106" s="17" t="n"/>
      <c r="G106" s="15" t="n"/>
      <c r="H106" s="15" t="n"/>
      <c r="I106" s="15" t="n"/>
      <c r="J106" s="18" t="n"/>
      <c r="K106" s="92" t="n"/>
    </row>
    <row r="107" ht="33" customHeight="1">
      <c r="A107" s="14" t="n"/>
      <c r="B107" s="15" t="n"/>
      <c r="C107" s="15" t="n"/>
      <c r="D107" s="15" t="n"/>
      <c r="E107" s="15" t="n"/>
      <c r="F107" s="17" t="n"/>
      <c r="G107" s="15" t="n"/>
      <c r="H107" s="15" t="n"/>
      <c r="I107" s="15" t="n"/>
      <c r="J107" s="18" t="n"/>
    </row>
    <row r="108" ht="33" customHeight="1">
      <c r="A108" s="14" t="n"/>
      <c r="B108" s="15" t="n"/>
      <c r="C108" s="15" t="n"/>
      <c r="D108" s="15" t="n"/>
      <c r="E108" s="15" t="n"/>
      <c r="F108" s="17" t="n"/>
      <c r="G108" s="15" t="n"/>
      <c r="H108" s="15" t="n"/>
      <c r="I108" s="15" t="n"/>
      <c r="J108" s="18" t="n"/>
    </row>
    <row r="109" ht="33" customHeight="1">
      <c r="A109" s="14" t="n"/>
      <c r="B109" s="15" t="n"/>
      <c r="C109" s="15" t="n"/>
      <c r="D109" s="16" t="n"/>
      <c r="E109" s="16" t="n"/>
      <c r="F109" s="17" t="n"/>
      <c r="G109" s="15" t="n"/>
      <c r="H109" s="15" t="n"/>
      <c r="I109" s="15" t="n"/>
      <c r="J109" s="18" t="n"/>
      <c r="K109" s="92" t="n"/>
    </row>
    <row r="110" ht="33" customHeight="1">
      <c r="A110" s="53" t="n"/>
      <c r="B110" s="54" t="n"/>
      <c r="C110" s="54" t="n"/>
      <c r="D110" s="54" t="n"/>
      <c r="E110" s="15" t="n"/>
      <c r="F110" s="17" t="n"/>
      <c r="G110" s="54" t="n"/>
      <c r="H110" s="54" t="n"/>
      <c r="I110" s="15" t="n"/>
      <c r="J110" s="56" t="n"/>
    </row>
    <row r="111" ht="33" customHeight="1">
      <c r="A111" s="53" t="n"/>
      <c r="B111" s="54" t="n"/>
      <c r="C111" s="54" t="n"/>
      <c r="D111" s="54" t="n"/>
      <c r="E111" s="15" t="n"/>
      <c r="F111" s="17" t="n"/>
      <c r="G111" s="54" t="n"/>
      <c r="H111" s="54" t="n"/>
      <c r="I111" s="15" t="n"/>
      <c r="J111" s="56" t="n"/>
    </row>
    <row r="112" ht="33" customHeight="1">
      <c r="A112" s="53" t="n"/>
      <c r="B112" s="54" t="n"/>
      <c r="C112" s="54" t="n"/>
      <c r="D112" s="54" t="n"/>
      <c r="E112" s="15" t="n"/>
      <c r="F112" s="17" t="n"/>
      <c r="G112" s="54" t="n"/>
      <c r="H112" s="54" t="n"/>
      <c r="I112" s="15" t="n"/>
      <c r="J112" s="56" t="n"/>
    </row>
    <row r="113" ht="33" customHeight="1">
      <c r="A113" s="53" t="n"/>
      <c r="B113" s="54" t="n"/>
      <c r="C113" s="54" t="n"/>
      <c r="D113" s="54" t="n"/>
      <c r="E113" s="15" t="n"/>
      <c r="F113" s="17" t="n"/>
      <c r="G113" s="54" t="n"/>
      <c r="H113" s="54" t="n"/>
      <c r="I113" s="15" t="n"/>
      <c r="J113" s="56" t="n"/>
    </row>
    <row r="114" ht="33" customHeight="1">
      <c r="A114" s="53" t="n"/>
      <c r="B114" s="54" t="n"/>
      <c r="C114" s="54" t="n"/>
      <c r="D114" s="54" t="n"/>
      <c r="E114" s="15" t="n"/>
      <c r="F114" s="17" t="n"/>
      <c r="G114" s="54" t="n"/>
      <c r="H114" s="54" t="n"/>
      <c r="I114" s="15" t="n"/>
      <c r="J114" s="56" t="n"/>
    </row>
    <row r="115" ht="33" customHeight="1">
      <c r="A115" s="53" t="n"/>
      <c r="B115" s="54" t="n"/>
      <c r="C115" s="54" t="n"/>
      <c r="D115" s="54" t="n"/>
      <c r="E115" s="15" t="n"/>
      <c r="F115" s="17" t="n"/>
      <c r="G115" s="54" t="n"/>
      <c r="H115" s="54" t="n"/>
      <c r="I115" s="15" t="n"/>
      <c r="J115" s="56" t="n"/>
    </row>
    <row r="116" ht="33" customHeight="1">
      <c r="A116" s="53" t="n"/>
      <c r="B116" s="54" t="n"/>
      <c r="C116" s="54" t="n"/>
      <c r="D116" s="54" t="n"/>
      <c r="E116" s="15" t="n"/>
      <c r="F116" s="17" t="n"/>
      <c r="G116" s="54" t="n"/>
      <c r="H116" s="54" t="n"/>
      <c r="I116" s="15" t="n"/>
      <c r="J116" s="56" t="n"/>
    </row>
    <row r="117" ht="33" customHeight="1">
      <c r="A117" s="53" t="n"/>
      <c r="B117" s="54" t="n"/>
      <c r="C117" s="54" t="n"/>
      <c r="D117" s="54" t="n"/>
      <c r="E117" s="15" t="n"/>
      <c r="F117" s="17" t="n"/>
      <c r="G117" s="54" t="n"/>
      <c r="H117" s="54" t="n"/>
      <c r="I117" s="15" t="n"/>
      <c r="J117" s="56" t="n"/>
    </row>
    <row r="118" ht="33" customHeight="1">
      <c r="A118" s="53" t="n"/>
      <c r="B118" s="54" t="n"/>
      <c r="C118" s="54" t="n"/>
      <c r="D118" s="54" t="n"/>
      <c r="E118" s="15" t="n"/>
      <c r="F118" s="17" t="n"/>
      <c r="G118" s="54" t="n"/>
      <c r="H118" s="54" t="n"/>
      <c r="I118" s="15" t="n"/>
      <c r="J118" s="56" t="n"/>
    </row>
    <row r="119" ht="33" customHeight="1">
      <c r="A119" s="53" t="n"/>
      <c r="B119" s="54" t="n"/>
      <c r="C119" s="54" t="n"/>
      <c r="D119" s="54" t="n"/>
      <c r="E119" s="15" t="n"/>
      <c r="F119" s="17" t="n"/>
      <c r="G119" s="54" t="n"/>
      <c r="H119" s="54" t="n"/>
      <c r="I119" s="15" t="n"/>
      <c r="J119" s="56" t="n"/>
    </row>
    <row r="120" ht="33" customHeight="1">
      <c r="A120" s="53" t="n"/>
      <c r="B120" s="54" t="n"/>
      <c r="C120" s="54" t="n"/>
      <c r="D120" s="54" t="n"/>
      <c r="E120" s="15" t="n"/>
      <c r="F120" s="17" t="n"/>
      <c r="G120" s="54" t="n"/>
      <c r="H120" s="54" t="n"/>
      <c r="I120" s="15" t="n"/>
      <c r="J120" s="56" t="n"/>
    </row>
    <row r="121" ht="33" customHeight="1">
      <c r="A121" s="53" t="n"/>
      <c r="B121" s="54" t="n"/>
      <c r="C121" s="54" t="n"/>
      <c r="D121" s="54" t="n"/>
      <c r="E121" s="15" t="n"/>
      <c r="F121" s="17" t="n"/>
      <c r="G121" s="54" t="n"/>
      <c r="H121" s="54" t="n"/>
      <c r="I121" s="15" t="n"/>
      <c r="J121" s="56" t="n"/>
    </row>
    <row r="122" ht="33" customHeight="1">
      <c r="A122" s="53" t="n"/>
      <c r="B122" s="54" t="n"/>
      <c r="C122" s="54" t="n"/>
      <c r="D122" s="54" t="n"/>
      <c r="E122" s="15" t="n"/>
      <c r="F122" s="17" t="n"/>
      <c r="G122" s="54" t="n"/>
      <c r="H122" s="54" t="n"/>
      <c r="I122" s="15" t="n"/>
      <c r="J122" s="56" t="n"/>
    </row>
    <row r="123" ht="33" customHeight="1">
      <c r="A123" s="53" t="n"/>
      <c r="B123" s="54" t="n"/>
      <c r="C123" s="54" t="n"/>
      <c r="D123" s="54" t="n"/>
      <c r="E123" s="15" t="n"/>
      <c r="F123" s="17" t="n"/>
      <c r="G123" s="54" t="n"/>
      <c r="H123" s="54" t="n"/>
      <c r="I123" s="15" t="n"/>
      <c r="J123" s="56" t="n"/>
    </row>
    <row r="124" ht="33" customHeight="1">
      <c r="A124" s="53" t="n"/>
      <c r="B124" s="54" t="n"/>
      <c r="C124" s="54" t="n"/>
      <c r="D124" s="54" t="n"/>
      <c r="E124" s="15" t="n"/>
      <c r="F124" s="17" t="n"/>
      <c r="G124" s="54" t="n"/>
      <c r="H124" s="54" t="n"/>
      <c r="I124" s="15" t="n"/>
      <c r="J124" s="56" t="n"/>
    </row>
    <row r="125" ht="33" customHeight="1">
      <c r="A125" s="53" t="n"/>
      <c r="B125" s="54" t="n"/>
      <c r="C125" s="54" t="n"/>
      <c r="D125" s="54" t="n"/>
      <c r="E125" s="15" t="n"/>
      <c r="F125" s="17" t="n"/>
      <c r="G125" s="54" t="n"/>
      <c r="H125" s="54" t="n"/>
      <c r="I125" s="15" t="n"/>
      <c r="J125" s="56" t="n"/>
    </row>
    <row r="126" ht="33" customHeight="1">
      <c r="A126" s="53" t="n"/>
      <c r="B126" s="54" t="n"/>
      <c r="C126" s="54" t="n"/>
      <c r="D126" s="54" t="n"/>
      <c r="E126" s="15" t="n"/>
      <c r="F126" s="17" t="n"/>
      <c r="G126" s="54" t="n"/>
      <c r="H126" s="54" t="n"/>
      <c r="I126" s="15" t="n"/>
      <c r="J126" s="56" t="n"/>
    </row>
    <row r="127" ht="33" customHeight="1">
      <c r="A127" s="53" t="n"/>
      <c r="B127" s="54" t="n"/>
      <c r="C127" s="54" t="n"/>
      <c r="D127" s="54" t="n"/>
      <c r="E127" s="15" t="n"/>
      <c r="F127" s="17" t="n"/>
      <c r="G127" s="54" t="n"/>
      <c r="H127" s="54" t="n"/>
      <c r="I127" s="15" t="n"/>
      <c r="J127" s="56" t="n"/>
    </row>
    <row r="128" ht="33" customHeight="1">
      <c r="A128" s="53" t="n"/>
      <c r="B128" s="54" t="n"/>
      <c r="C128" s="54" t="n"/>
      <c r="D128" s="54" t="n"/>
      <c r="E128" s="15" t="n"/>
      <c r="F128" s="17" t="n"/>
      <c r="G128" s="54" t="n"/>
      <c r="H128" s="54" t="n"/>
      <c r="I128" s="15" t="n"/>
      <c r="J128" s="56" t="n"/>
    </row>
    <row r="129" ht="33" customHeight="1">
      <c r="A129" s="53" t="n"/>
      <c r="B129" s="54" t="n"/>
      <c r="C129" s="54" t="n"/>
      <c r="D129" s="54" t="n"/>
      <c r="E129" s="15" t="n"/>
      <c r="F129" s="17" t="n"/>
      <c r="G129" s="54" t="n"/>
      <c r="H129" s="54" t="n"/>
      <c r="I129" s="15" t="n"/>
      <c r="J129" s="56" t="n"/>
    </row>
    <row r="130" ht="33" customHeight="1">
      <c r="A130" s="53" t="n"/>
      <c r="B130" s="54" t="n"/>
      <c r="C130" s="54" t="n"/>
      <c r="D130" s="54" t="n"/>
      <c r="E130" s="15" t="n"/>
      <c r="F130" s="17" t="n"/>
      <c r="G130" s="54" t="n"/>
      <c r="H130" s="54" t="n"/>
      <c r="I130" s="15" t="n"/>
      <c r="J130" s="56" t="n"/>
    </row>
    <row r="131" ht="33" customHeight="1">
      <c r="A131" s="53" t="n"/>
      <c r="B131" s="54" t="n"/>
      <c r="C131" s="54" t="n"/>
      <c r="D131" s="54" t="n"/>
      <c r="E131" s="15" t="n"/>
      <c r="F131" s="17" t="n"/>
      <c r="G131" s="54" t="n"/>
      <c r="H131" s="54" t="n"/>
      <c r="I131" s="15" t="n"/>
      <c r="J131" s="56" t="n"/>
    </row>
    <row r="132" ht="33" customHeight="1">
      <c r="A132" s="53" t="n"/>
      <c r="B132" s="54" t="n"/>
      <c r="C132" s="54" t="n"/>
      <c r="D132" s="54" t="n"/>
      <c r="E132" s="15" t="n"/>
      <c r="F132" s="17" t="n"/>
      <c r="G132" s="54" t="n"/>
      <c r="H132" s="54" t="n"/>
      <c r="I132" s="15" t="n"/>
      <c r="J132" s="56" t="n"/>
    </row>
    <row r="133" ht="33" customHeight="1">
      <c r="A133" s="53" t="n"/>
      <c r="B133" s="54" t="n"/>
      <c r="C133" s="54" t="n"/>
      <c r="D133" s="54" t="n"/>
      <c r="E133" s="15" t="n"/>
      <c r="F133" s="17" t="n"/>
      <c r="G133" s="54" t="n"/>
      <c r="H133" s="54" t="n"/>
      <c r="I133" s="15" t="n"/>
      <c r="J133" s="56" t="n"/>
    </row>
    <row r="134" ht="33" customHeight="1">
      <c r="A134" s="53" t="n"/>
      <c r="B134" s="54" t="n"/>
      <c r="C134" s="54" t="n"/>
      <c r="D134" s="54" t="n"/>
      <c r="E134" s="15" t="n"/>
      <c r="F134" s="17" t="n"/>
      <c r="G134" s="54" t="n"/>
      <c r="H134" s="54" t="n"/>
      <c r="I134" s="15" t="n"/>
      <c r="J134" s="56" t="n"/>
    </row>
    <row r="135" ht="33" customHeight="1">
      <c r="A135" s="53" t="n"/>
      <c r="B135" s="54" t="n"/>
      <c r="C135" s="54" t="n"/>
      <c r="D135" s="54" t="n"/>
      <c r="E135" s="15" t="n"/>
      <c r="F135" s="17" t="n"/>
      <c r="G135" s="54" t="n"/>
      <c r="H135" s="54" t="n"/>
      <c r="I135" s="15" t="n"/>
      <c r="J135" s="56" t="n"/>
    </row>
    <row r="136" ht="33" customHeight="1">
      <c r="A136" s="53" t="n"/>
      <c r="B136" s="54" t="n"/>
      <c r="C136" s="54" t="n"/>
      <c r="D136" s="54" t="n"/>
      <c r="E136" s="15" t="n"/>
      <c r="F136" s="17" t="n"/>
      <c r="G136" s="54" t="n"/>
      <c r="H136" s="54" t="n"/>
      <c r="I136" s="15" t="n"/>
      <c r="J136" s="56" t="n"/>
    </row>
    <row r="137" ht="33" customHeight="1">
      <c r="A137" s="53" t="n"/>
      <c r="B137" s="54" t="n"/>
      <c r="C137" s="54" t="n"/>
      <c r="D137" s="54" t="n"/>
      <c r="E137" s="15" t="n"/>
      <c r="F137" s="17" t="n"/>
      <c r="G137" s="54" t="n"/>
      <c r="H137" s="54" t="n"/>
      <c r="I137" s="15" t="n"/>
      <c r="J137" s="56" t="n"/>
    </row>
    <row r="138" ht="33" customHeight="1">
      <c r="A138" s="53" t="n"/>
      <c r="B138" s="54" t="n"/>
      <c r="C138" s="54" t="n"/>
      <c r="D138" s="54" t="n"/>
      <c r="E138" s="15" t="n"/>
      <c r="F138" s="17" t="n"/>
      <c r="G138" s="54" t="n"/>
      <c r="H138" s="54" t="n"/>
      <c r="I138" s="15" t="n"/>
      <c r="J138" s="56" t="n"/>
    </row>
    <row r="139" ht="33" customHeight="1">
      <c r="A139" s="53" t="n"/>
      <c r="B139" s="54" t="n"/>
      <c r="C139" s="54" t="n"/>
      <c r="D139" s="54" t="n"/>
      <c r="E139" s="15" t="n"/>
      <c r="F139" s="17" t="n"/>
      <c r="G139" s="54" t="n"/>
      <c r="H139" s="54" t="n"/>
      <c r="I139" s="15" t="n"/>
      <c r="J139" s="56" t="n"/>
    </row>
    <row r="140" ht="33" customHeight="1">
      <c r="A140" s="53" t="n"/>
      <c r="B140" s="54" t="n"/>
      <c r="C140" s="54" t="n"/>
      <c r="D140" s="54" t="n"/>
      <c r="E140" s="15" t="n"/>
      <c r="F140" s="17" t="n"/>
      <c r="G140" s="54" t="n"/>
      <c r="H140" s="54" t="n"/>
      <c r="I140" s="15" t="n"/>
      <c r="J140" s="56" t="n"/>
    </row>
    <row r="141" ht="33" customHeight="1">
      <c r="A141" s="53" t="n"/>
      <c r="B141" s="54" t="n"/>
      <c r="C141" s="54" t="n"/>
      <c r="D141" s="54" t="n"/>
      <c r="E141" s="15" t="n"/>
      <c r="F141" s="17" t="n"/>
      <c r="G141" s="54" t="n"/>
      <c r="H141" s="54" t="n"/>
      <c r="I141" s="15" t="n"/>
      <c r="J141" s="56" t="n"/>
    </row>
    <row r="142" ht="33" customHeight="1">
      <c r="A142" s="53" t="n"/>
      <c r="B142" s="54" t="n"/>
      <c r="C142" s="54" t="n"/>
      <c r="D142" s="54" t="n"/>
      <c r="E142" s="15" t="n"/>
      <c r="F142" s="17" t="n"/>
      <c r="G142" s="54" t="n"/>
      <c r="H142" s="54" t="n"/>
      <c r="I142" s="15" t="n"/>
      <c r="J142" s="56" t="n"/>
    </row>
    <row r="143" ht="33" customHeight="1">
      <c r="A143" s="53" t="n"/>
      <c r="B143" s="54" t="n"/>
      <c r="C143" s="54" t="n"/>
      <c r="D143" s="54" t="n"/>
      <c r="E143" s="15" t="n"/>
      <c r="F143" s="17" t="n"/>
      <c r="G143" s="54" t="n"/>
      <c r="H143" s="54" t="n"/>
      <c r="I143" s="15" t="n"/>
      <c r="J143" s="56" t="n"/>
    </row>
    <row r="144" ht="33" customHeight="1">
      <c r="A144" s="53" t="n"/>
      <c r="B144" s="54" t="n"/>
      <c r="C144" s="54" t="n"/>
      <c r="D144" s="54" t="n"/>
      <c r="E144" s="15" t="n"/>
      <c r="F144" s="17" t="n"/>
      <c r="G144" s="54" t="n"/>
      <c r="H144" s="54" t="n"/>
      <c r="I144" s="15" t="n"/>
      <c r="J144" s="56" t="n"/>
    </row>
    <row r="145" ht="33" customHeight="1">
      <c r="A145" s="53" t="n"/>
      <c r="B145" s="54" t="n"/>
      <c r="C145" s="54" t="n"/>
      <c r="D145" s="54" t="n"/>
      <c r="E145" s="15" t="n"/>
      <c r="F145" s="17" t="n"/>
      <c r="G145" s="54" t="n"/>
      <c r="H145" s="54" t="n"/>
      <c r="I145" s="15" t="n"/>
      <c r="J145" s="56" t="n"/>
    </row>
    <row r="146" ht="33" customHeight="1">
      <c r="A146" s="53" t="n"/>
      <c r="B146" s="54" t="n"/>
      <c r="C146" s="54" t="n"/>
      <c r="D146" s="54" t="n"/>
      <c r="E146" s="15" t="n"/>
      <c r="F146" s="17" t="n"/>
      <c r="G146" s="54" t="n"/>
      <c r="H146" s="54" t="n"/>
      <c r="I146" s="15" t="n"/>
      <c r="J146" s="56" t="n"/>
    </row>
    <row r="147" ht="33" customHeight="1">
      <c r="A147" s="53" t="n"/>
      <c r="B147" s="54" t="n"/>
      <c r="C147" s="54" t="n"/>
      <c r="D147" s="54" t="n"/>
      <c r="E147" s="15" t="n"/>
      <c r="F147" s="17" t="n"/>
      <c r="G147" s="54" t="n"/>
      <c r="H147" s="54" t="n"/>
      <c r="I147" s="15" t="n"/>
      <c r="J147" s="56" t="n"/>
    </row>
    <row r="148" ht="33" customHeight="1">
      <c r="A148" s="53" t="n"/>
      <c r="B148" s="54" t="n"/>
      <c r="C148" s="54" t="n"/>
      <c r="D148" s="54" t="n"/>
      <c r="E148" s="15" t="n"/>
      <c r="F148" s="17" t="n"/>
      <c r="G148" s="54" t="n"/>
      <c r="H148" s="54" t="n"/>
      <c r="I148" s="15" t="n"/>
      <c r="J148" s="56" t="n"/>
    </row>
    <row r="149" ht="33" customHeight="1">
      <c r="A149" s="53" t="n"/>
      <c r="B149" s="54" t="n"/>
      <c r="C149" s="54" t="n"/>
      <c r="D149" s="54" t="n"/>
      <c r="E149" s="15" t="n"/>
      <c r="F149" s="17" t="n"/>
      <c r="G149" s="54" t="n"/>
      <c r="H149" s="54" t="n"/>
      <c r="I149" s="15" t="n"/>
      <c r="J149" s="56" t="n"/>
    </row>
    <row r="150" ht="33" customHeight="1">
      <c r="A150" s="53" t="n"/>
      <c r="B150" s="54" t="n"/>
      <c r="C150" s="54" t="n"/>
      <c r="D150" s="54" t="n"/>
      <c r="E150" s="15" t="n"/>
      <c r="F150" s="17" t="n"/>
      <c r="G150" s="54" t="n"/>
      <c r="H150" s="54" t="n"/>
      <c r="I150" s="15" t="n"/>
      <c r="J150" s="56" t="n"/>
    </row>
    <row r="151" ht="33" customHeight="1">
      <c r="A151" s="53" t="n"/>
      <c r="B151" s="54" t="n"/>
      <c r="C151" s="54" t="n"/>
      <c r="D151" s="54" t="n"/>
      <c r="E151" s="15" t="n"/>
      <c r="F151" s="17" t="n"/>
      <c r="G151" s="54" t="n"/>
      <c r="H151" s="54" t="n"/>
      <c r="I151" s="15" t="n"/>
      <c r="J151" s="56" t="n"/>
    </row>
    <row r="152" ht="33" customHeight="1">
      <c r="A152" s="53" t="n"/>
      <c r="B152" s="54" t="n"/>
      <c r="C152" s="54" t="n"/>
      <c r="D152" s="54" t="n"/>
      <c r="E152" s="15" t="n"/>
      <c r="F152" s="17" t="n"/>
      <c r="G152" s="54" t="n"/>
      <c r="H152" s="54" t="n"/>
      <c r="I152" s="15" t="n"/>
      <c r="J152" s="56" t="n"/>
    </row>
    <row r="153" ht="33" customHeight="1">
      <c r="A153" s="53" t="n"/>
      <c r="B153" s="54" t="n"/>
      <c r="C153" s="54" t="n"/>
      <c r="D153" s="54" t="n"/>
      <c r="E153" s="15" t="n"/>
      <c r="F153" s="17" t="n"/>
      <c r="G153" s="54" t="n"/>
      <c r="H153" s="54" t="n"/>
      <c r="I153" s="15" t="n"/>
      <c r="J153" s="56" t="n"/>
    </row>
    <row r="154" ht="33" customHeight="1">
      <c r="A154" s="53" t="n"/>
      <c r="B154" s="54" t="n"/>
      <c r="C154" s="54" t="n"/>
      <c r="D154" s="54" t="n"/>
      <c r="E154" s="15" t="n"/>
      <c r="F154" s="17" t="n"/>
      <c r="G154" s="54" t="n"/>
      <c r="H154" s="54" t="n"/>
      <c r="I154" s="15" t="n"/>
      <c r="J154" s="56" t="n"/>
    </row>
    <row r="155" ht="33" customHeight="1">
      <c r="A155" s="53" t="n"/>
      <c r="B155" s="54" t="n"/>
      <c r="C155" s="54" t="n"/>
      <c r="D155" s="54" t="n"/>
      <c r="E155" s="15" t="n"/>
      <c r="F155" s="17" t="n"/>
      <c r="G155" s="54" t="n"/>
      <c r="H155" s="54" t="n"/>
      <c r="I155" s="15" t="n"/>
      <c r="J155" s="56" t="n"/>
    </row>
    <row r="156" ht="33" customHeight="1">
      <c r="A156" s="53" t="n"/>
      <c r="B156" s="54" t="n"/>
      <c r="C156" s="54" t="n"/>
      <c r="D156" s="54" t="n"/>
      <c r="E156" s="15" t="n"/>
      <c r="F156" s="17" t="n"/>
      <c r="G156" s="54" t="n"/>
      <c r="H156" s="54" t="n"/>
      <c r="I156" s="15" t="n"/>
      <c r="J156" s="56" t="n"/>
    </row>
    <row r="157" ht="33" customHeight="1">
      <c r="A157" s="53" t="n"/>
      <c r="B157" s="54" t="n"/>
      <c r="C157" s="54" t="n"/>
      <c r="D157" s="54" t="n"/>
      <c r="E157" s="15" t="n"/>
      <c r="F157" s="17" t="n"/>
      <c r="G157" s="54" t="n"/>
      <c r="H157" s="54" t="n"/>
      <c r="I157" s="15" t="n"/>
      <c r="J157" s="56" t="n"/>
    </row>
    <row r="158" ht="33" customHeight="1">
      <c r="A158" s="53" t="n"/>
      <c r="B158" s="54" t="n"/>
      <c r="C158" s="54" t="n"/>
      <c r="D158" s="54" t="n"/>
      <c r="E158" s="15" t="n"/>
      <c r="F158" s="17" t="n"/>
      <c r="G158" s="54" t="n"/>
      <c r="H158" s="54" t="n"/>
      <c r="I158" s="15" t="n"/>
      <c r="J158" s="56" t="n"/>
    </row>
    <row r="159" ht="33" customHeight="1">
      <c r="A159" s="53" t="n"/>
      <c r="B159" s="54" t="n"/>
      <c r="C159" s="54" t="n"/>
      <c r="D159" s="54" t="n"/>
      <c r="E159" s="15" t="n"/>
      <c r="F159" s="17" t="n"/>
      <c r="G159" s="54" t="n"/>
      <c r="H159" s="54" t="n"/>
      <c r="I159" s="15" t="n"/>
      <c r="J159" s="56" t="n"/>
    </row>
    <row r="160" ht="33" customHeight="1">
      <c r="A160" s="53" t="n"/>
      <c r="B160" s="54" t="n"/>
      <c r="C160" s="54" t="n"/>
      <c r="D160" s="54" t="n"/>
      <c r="E160" s="15" t="n"/>
      <c r="F160" s="17" t="n"/>
      <c r="G160" s="54" t="n"/>
      <c r="H160" s="54" t="n"/>
      <c r="I160" s="15" t="n"/>
      <c r="J160" s="56" t="n"/>
    </row>
    <row r="161" ht="33" customHeight="1">
      <c r="A161" s="53" t="n"/>
      <c r="B161" s="54" t="n"/>
      <c r="C161" s="54" t="n"/>
      <c r="D161" s="54" t="n"/>
      <c r="E161" s="15" t="n"/>
      <c r="F161" s="17" t="n"/>
      <c r="G161" s="54" t="n"/>
      <c r="H161" s="54" t="n"/>
      <c r="I161" s="15" t="n"/>
      <c r="J161" s="56" t="n"/>
    </row>
    <row r="162" ht="33" customHeight="1">
      <c r="A162" s="53" t="n"/>
      <c r="B162" s="54" t="n"/>
      <c r="C162" s="54" t="n"/>
      <c r="D162" s="54" t="n"/>
      <c r="E162" s="15" t="n"/>
      <c r="F162" s="17" t="n"/>
      <c r="G162" s="54" t="n"/>
      <c r="H162" s="54" t="n"/>
      <c r="I162" s="15" t="n"/>
      <c r="J162" s="56" t="n"/>
    </row>
    <row r="163" ht="33" customHeight="1">
      <c r="A163" s="53" t="n"/>
      <c r="B163" s="54" t="n"/>
      <c r="C163" s="54" t="n"/>
      <c r="D163" s="54" t="n"/>
      <c r="E163" s="15" t="n"/>
      <c r="F163" s="17" t="n"/>
      <c r="G163" s="54" t="n"/>
      <c r="H163" s="54" t="n"/>
      <c r="I163" s="15" t="n"/>
      <c r="J163" s="56" t="n"/>
    </row>
    <row r="164" ht="33" customHeight="1">
      <c r="A164" s="53" t="n"/>
      <c r="B164" s="54" t="n"/>
      <c r="C164" s="54" t="n"/>
      <c r="D164" s="54" t="n"/>
      <c r="E164" s="15" t="n"/>
      <c r="F164" s="17" t="n"/>
      <c r="G164" s="54" t="n"/>
      <c r="H164" s="54" t="n"/>
      <c r="I164" s="15" t="n"/>
      <c r="J164" s="56" t="n"/>
    </row>
    <row r="165" ht="33" customHeight="1">
      <c r="A165" s="53" t="n"/>
      <c r="B165" s="54" t="n"/>
      <c r="C165" s="54" t="n"/>
      <c r="D165" s="54" t="n"/>
      <c r="E165" s="15" t="n"/>
      <c r="F165" s="17" t="n"/>
      <c r="G165" s="54" t="n"/>
      <c r="H165" s="54" t="n"/>
      <c r="I165" s="15" t="n"/>
      <c r="J165" s="56" t="n"/>
    </row>
    <row r="166" ht="33" customHeight="1">
      <c r="A166" s="53" t="n"/>
      <c r="B166" s="54" t="n"/>
      <c r="C166" s="54" t="n"/>
      <c r="D166" s="54" t="n"/>
      <c r="E166" s="15" t="n"/>
      <c r="F166" s="17" t="n"/>
      <c r="G166" s="54" t="n"/>
      <c r="H166" s="54" t="n"/>
      <c r="I166" s="15" t="n"/>
      <c r="J166" s="56" t="n"/>
    </row>
    <row r="167" ht="33" customHeight="1">
      <c r="A167" s="53" t="n"/>
      <c r="B167" s="54" t="n"/>
      <c r="C167" s="54" t="n"/>
      <c r="D167" s="54" t="n"/>
      <c r="E167" s="15" t="n"/>
      <c r="F167" s="17" t="n"/>
      <c r="G167" s="54" t="n"/>
      <c r="H167" s="54" t="n"/>
      <c r="I167" s="15" t="n"/>
      <c r="J167" s="56" t="n"/>
    </row>
    <row r="168" ht="33" customHeight="1">
      <c r="A168" s="53" t="n"/>
      <c r="B168" s="54" t="n"/>
      <c r="C168" s="54" t="n"/>
      <c r="D168" s="54" t="n"/>
      <c r="E168" s="15" t="n"/>
      <c r="F168" s="17" t="n"/>
      <c r="G168" s="54" t="n"/>
      <c r="H168" s="54" t="n"/>
      <c r="I168" s="15" t="n"/>
      <c r="J168" s="56" t="n"/>
    </row>
    <row r="169" ht="33" customHeight="1">
      <c r="A169" s="53" t="n"/>
      <c r="B169" s="54" t="n"/>
      <c r="C169" s="54" t="n"/>
      <c r="D169" s="54" t="n"/>
      <c r="E169" s="15" t="n"/>
      <c r="F169" s="17" t="n"/>
      <c r="G169" s="54" t="n"/>
      <c r="H169" s="54" t="n"/>
      <c r="I169" s="15" t="n"/>
      <c r="J169" s="56" t="n"/>
    </row>
    <row r="170" ht="33" customHeight="1">
      <c r="A170" s="53" t="n"/>
      <c r="B170" s="54" t="n"/>
      <c r="C170" s="54" t="n"/>
      <c r="D170" s="54" t="n"/>
      <c r="E170" s="15" t="n"/>
      <c r="F170" s="17" t="n"/>
      <c r="G170" s="54" t="n"/>
      <c r="H170" s="54" t="n"/>
      <c r="I170" s="15" t="n"/>
      <c r="J170" s="56" t="n"/>
    </row>
    <row r="171" ht="33" customHeight="1">
      <c r="A171" s="53" t="n"/>
      <c r="B171" s="54" t="n"/>
      <c r="C171" s="54" t="n"/>
      <c r="D171" s="54" t="n"/>
      <c r="E171" s="15" t="n"/>
      <c r="F171" s="17" t="n"/>
      <c r="G171" s="54" t="n"/>
      <c r="H171" s="54" t="n"/>
      <c r="I171" s="15" t="n"/>
      <c r="J171" s="56" t="n"/>
    </row>
    <row r="172" ht="33" customHeight="1">
      <c r="A172" s="53" t="n"/>
      <c r="B172" s="54" t="n"/>
      <c r="C172" s="54" t="n"/>
      <c r="D172" s="54" t="n"/>
      <c r="E172" s="15" t="n"/>
      <c r="F172" s="17" t="n"/>
      <c r="G172" s="54" t="n"/>
      <c r="H172" s="54" t="n"/>
      <c r="I172" s="15" t="n"/>
      <c r="J172" s="56" t="n"/>
    </row>
    <row r="173" ht="33" customHeight="1">
      <c r="A173" s="53" t="n"/>
      <c r="B173" s="54" t="n"/>
      <c r="C173" s="54" t="n"/>
      <c r="D173" s="54" t="n"/>
      <c r="E173" s="15" t="n"/>
      <c r="F173" s="17" t="n"/>
      <c r="G173" s="54" t="n"/>
      <c r="H173" s="54" t="n"/>
      <c r="I173" s="15" t="n"/>
      <c r="J173" s="56" t="n"/>
    </row>
    <row r="174" ht="33" customHeight="1">
      <c r="A174" s="53" t="n"/>
      <c r="B174" s="54" t="n"/>
      <c r="C174" s="54" t="n"/>
      <c r="D174" s="54" t="n"/>
      <c r="E174" s="15" t="n"/>
      <c r="F174" s="17" t="n"/>
      <c r="G174" s="54" t="n"/>
      <c r="H174" s="54" t="n"/>
      <c r="I174" s="15" t="n"/>
      <c r="J174" s="56" t="n"/>
    </row>
    <row r="175" ht="33" customHeight="1">
      <c r="A175" s="53" t="n"/>
      <c r="B175" s="54" t="n"/>
      <c r="C175" s="54" t="n"/>
      <c r="D175" s="54" t="n"/>
      <c r="E175" s="15" t="n"/>
      <c r="F175" s="17" t="n"/>
      <c r="G175" s="54" t="n"/>
      <c r="H175" s="54" t="n"/>
      <c r="I175" s="15" t="n"/>
      <c r="J175" s="56" t="n"/>
    </row>
    <row r="176" ht="33" customHeight="1">
      <c r="A176" s="53" t="n"/>
      <c r="B176" s="54" t="n"/>
      <c r="C176" s="54" t="n"/>
      <c r="D176" s="54" t="n"/>
      <c r="E176" s="15" t="n"/>
      <c r="F176" s="17" t="n"/>
      <c r="G176" s="54" t="n"/>
      <c r="H176" s="54" t="n"/>
      <c r="I176" s="15" t="n"/>
      <c r="J176" s="56" t="n"/>
    </row>
    <row r="177" ht="33" customHeight="1">
      <c r="A177" s="53" t="n"/>
      <c r="B177" s="54" t="n"/>
      <c r="C177" s="54" t="n"/>
      <c r="D177" s="54" t="n"/>
      <c r="E177" s="15" t="n"/>
      <c r="F177" s="17" t="n"/>
      <c r="G177" s="54" t="n"/>
      <c r="H177" s="54" t="n"/>
      <c r="I177" s="15" t="n"/>
      <c r="J177" s="56" t="n"/>
    </row>
    <row r="178" ht="33" customHeight="1">
      <c r="A178" s="53" t="n"/>
      <c r="B178" s="54" t="n"/>
      <c r="C178" s="54" t="n"/>
      <c r="D178" s="54" t="n"/>
      <c r="E178" s="15" t="n"/>
      <c r="F178" s="17" t="n"/>
      <c r="G178" s="54" t="n"/>
      <c r="H178" s="54" t="n"/>
      <c r="I178" s="15" t="n"/>
      <c r="J178" s="56" t="n"/>
    </row>
    <row r="179" ht="33" customHeight="1">
      <c r="A179" s="53" t="n"/>
      <c r="B179" s="54" t="n"/>
      <c r="C179" s="54" t="n"/>
      <c r="D179" s="54" t="n"/>
      <c r="E179" s="15" t="n"/>
      <c r="F179" s="17" t="n"/>
      <c r="G179" s="54" t="n"/>
      <c r="H179" s="54" t="n"/>
      <c r="I179" s="15" t="n"/>
      <c r="J179" s="56" t="n"/>
    </row>
    <row r="180" ht="33" customHeight="1">
      <c r="A180" s="53" t="n"/>
      <c r="B180" s="54" t="n"/>
      <c r="C180" s="54" t="n"/>
      <c r="D180" s="54" t="n"/>
      <c r="E180" s="15" t="n"/>
      <c r="F180" s="17" t="n"/>
      <c r="G180" s="54" t="n"/>
      <c r="H180" s="54" t="n"/>
      <c r="I180" s="15" t="n"/>
      <c r="J180" s="56" t="n"/>
    </row>
    <row r="181" ht="33" customHeight="1">
      <c r="A181" s="53" t="n"/>
      <c r="B181" s="54" t="n"/>
      <c r="C181" s="54" t="n"/>
      <c r="D181" s="54" t="n"/>
      <c r="E181" s="15" t="n"/>
      <c r="F181" s="17" t="n"/>
      <c r="G181" s="54" t="n"/>
      <c r="H181" s="54" t="n"/>
      <c r="I181" s="15" t="n"/>
      <c r="J181" s="56" t="n"/>
    </row>
    <row r="182" ht="33" customHeight="1">
      <c r="A182" s="53" t="n"/>
      <c r="B182" s="54" t="n"/>
      <c r="C182" s="54" t="n"/>
      <c r="D182" s="54" t="n"/>
      <c r="E182" s="15" t="n"/>
      <c r="F182" s="17" t="n"/>
      <c r="G182" s="54" t="n"/>
      <c r="H182" s="54" t="n"/>
      <c r="I182" s="15" t="n"/>
      <c r="J182" s="56" t="n"/>
    </row>
    <row r="183" ht="33" customHeight="1">
      <c r="A183" s="53" t="n"/>
      <c r="B183" s="54" t="n"/>
      <c r="C183" s="54" t="n"/>
      <c r="D183" s="54" t="n"/>
      <c r="E183" s="15" t="n"/>
      <c r="F183" s="17" t="n"/>
      <c r="G183" s="54" t="n"/>
      <c r="H183" s="54" t="n"/>
      <c r="I183" s="15" t="n"/>
      <c r="J183" s="56" t="n"/>
    </row>
    <row r="184" ht="33" customHeight="1">
      <c r="A184" s="53" t="n"/>
      <c r="B184" s="54" t="n"/>
      <c r="C184" s="54" t="n"/>
      <c r="D184" s="54" t="n"/>
      <c r="E184" s="15" t="n"/>
      <c r="F184" s="17" t="n"/>
      <c r="G184" s="54" t="n"/>
      <c r="H184" s="54" t="n"/>
      <c r="I184" s="15" t="n"/>
      <c r="J184" s="56" t="n"/>
    </row>
    <row r="185" ht="33" customHeight="1">
      <c r="A185" s="53" t="n"/>
      <c r="B185" s="54" t="n"/>
      <c r="C185" s="54" t="n"/>
      <c r="D185" s="54" t="n"/>
      <c r="E185" s="15" t="n"/>
      <c r="F185" s="17" t="n"/>
      <c r="G185" s="54" t="n"/>
      <c r="H185" s="54" t="n"/>
      <c r="I185" s="15" t="n"/>
      <c r="J185" s="56" t="n"/>
    </row>
    <row r="186" ht="33" customHeight="1">
      <c r="A186" s="53" t="n"/>
      <c r="B186" s="54" t="n"/>
      <c r="C186" s="54" t="n"/>
      <c r="D186" s="54" t="n"/>
      <c r="E186" s="15" t="n"/>
      <c r="F186" s="17" t="n"/>
      <c r="G186" s="54" t="n"/>
      <c r="H186" s="54" t="n"/>
      <c r="I186" s="15" t="n"/>
      <c r="J186" s="56" t="n"/>
    </row>
    <row r="187" ht="33" customHeight="1">
      <c r="A187" s="53" t="n"/>
      <c r="B187" s="54" t="n"/>
      <c r="C187" s="54" t="n"/>
      <c r="D187" s="54" t="n"/>
      <c r="E187" s="15" t="n"/>
      <c r="F187" s="17" t="n"/>
      <c r="G187" s="54" t="n"/>
      <c r="H187" s="54" t="n"/>
      <c r="I187" s="15" t="n"/>
      <c r="J187" s="56" t="n"/>
    </row>
    <row r="188" ht="33" customHeight="1">
      <c r="A188" s="53" t="n"/>
      <c r="B188" s="54" t="n"/>
      <c r="C188" s="54" t="n"/>
      <c r="D188" s="54" t="n"/>
      <c r="E188" s="15" t="n"/>
      <c r="F188" s="17" t="n"/>
      <c r="G188" s="54" t="n"/>
      <c r="H188" s="54" t="n"/>
      <c r="I188" s="15" t="n"/>
      <c r="J188" s="56" t="n"/>
    </row>
    <row r="189" ht="33" customHeight="1">
      <c r="A189" s="53" t="n"/>
      <c r="B189" s="54" t="n"/>
      <c r="C189" s="54" t="n"/>
      <c r="D189" s="54" t="n"/>
      <c r="E189" s="15" t="n"/>
      <c r="F189" s="17" t="n"/>
      <c r="G189" s="54" t="n"/>
      <c r="H189" s="54" t="n"/>
      <c r="I189" s="15" t="n"/>
      <c r="J189" s="56" t="n"/>
    </row>
    <row r="190" ht="33" customHeight="1">
      <c r="A190" s="53" t="n"/>
      <c r="B190" s="54" t="n"/>
      <c r="C190" s="54" t="n"/>
      <c r="D190" s="54" t="n"/>
      <c r="E190" s="15" t="n"/>
      <c r="F190" s="17" t="n"/>
      <c r="G190" s="54" t="n"/>
      <c r="H190" s="54" t="n"/>
      <c r="I190" s="15" t="n"/>
      <c r="J190" s="56" t="n"/>
    </row>
    <row r="191" ht="33" customHeight="1">
      <c r="A191" s="53" t="n"/>
      <c r="B191" s="54" t="n"/>
      <c r="C191" s="54" t="n"/>
      <c r="D191" s="54" t="n"/>
      <c r="E191" s="15" t="n"/>
      <c r="F191" s="17" t="n"/>
      <c r="G191" s="54" t="n"/>
      <c r="H191" s="54" t="n"/>
      <c r="I191" s="15" t="n"/>
      <c r="J191" s="56" t="n"/>
    </row>
    <row r="192" ht="33" customHeight="1">
      <c r="A192" s="53" t="n"/>
      <c r="B192" s="54" t="n"/>
      <c r="C192" s="54" t="n"/>
      <c r="D192" s="54" t="n"/>
      <c r="E192" s="15" t="n"/>
      <c r="F192" s="17" t="n"/>
      <c r="G192" s="54" t="n"/>
      <c r="H192" s="54" t="n"/>
      <c r="I192" s="15" t="n"/>
      <c r="J192" s="56" t="n"/>
    </row>
    <row r="193" ht="33" customHeight="1">
      <c r="A193" s="53" t="n"/>
      <c r="B193" s="54" t="n"/>
      <c r="C193" s="54" t="n"/>
      <c r="D193" s="54" t="n"/>
      <c r="E193" s="15" t="n"/>
      <c r="F193" s="17" t="n"/>
      <c r="G193" s="54" t="n"/>
      <c r="H193" s="54" t="n"/>
      <c r="I193" s="15" t="n"/>
      <c r="J193" s="56" t="n"/>
    </row>
    <row r="194" ht="33" customHeight="1">
      <c r="A194" s="53" t="n"/>
      <c r="B194" s="54" t="n"/>
      <c r="C194" s="54" t="n"/>
      <c r="D194" s="54" t="n"/>
      <c r="E194" s="15" t="n"/>
      <c r="F194" s="17" t="n"/>
      <c r="G194" s="54" t="n"/>
      <c r="H194" s="54" t="n"/>
      <c r="I194" s="15" t="n"/>
      <c r="J194" s="56" t="n"/>
    </row>
    <row r="195" ht="33" customHeight="1">
      <c r="A195" s="53" t="n"/>
      <c r="B195" s="54" t="n"/>
      <c r="C195" s="54" t="n"/>
      <c r="D195" s="54" t="n"/>
      <c r="E195" s="15" t="n"/>
      <c r="F195" s="17" t="n"/>
      <c r="G195" s="54" t="n"/>
      <c r="H195" s="54" t="n"/>
      <c r="I195" s="15" t="n"/>
      <c r="J195" s="56" t="n"/>
    </row>
    <row r="196" ht="33" customHeight="1">
      <c r="A196" s="53" t="n"/>
      <c r="B196" s="54" t="n"/>
      <c r="C196" s="54" t="n"/>
      <c r="D196" s="54" t="n"/>
      <c r="E196" s="15" t="n"/>
      <c r="F196" s="17" t="n"/>
      <c r="G196" s="54" t="n"/>
      <c r="H196" s="54" t="n"/>
      <c r="I196" s="15" t="n"/>
      <c r="J196" s="56" t="n"/>
    </row>
    <row r="197" ht="33" customHeight="1">
      <c r="A197" s="53" t="n"/>
      <c r="B197" s="54" t="n"/>
      <c r="C197" s="54" t="n"/>
      <c r="D197" s="54" t="n"/>
      <c r="E197" s="15" t="n"/>
      <c r="F197" s="17" t="n"/>
      <c r="G197" s="54" t="n"/>
      <c r="H197" s="54" t="n"/>
      <c r="I197" s="15" t="n"/>
      <c r="J197" s="56" t="n"/>
    </row>
    <row r="198" ht="33" customHeight="1">
      <c r="A198" s="53" t="n"/>
      <c r="B198" s="54" t="n"/>
      <c r="C198" s="54" t="n"/>
      <c r="D198" s="54" t="n"/>
      <c r="E198" s="15" t="n"/>
      <c r="F198" s="17" t="n"/>
      <c r="G198" s="54" t="n"/>
      <c r="H198" s="54" t="n"/>
      <c r="I198" s="15" t="n"/>
      <c r="J198" s="56" t="n"/>
    </row>
    <row r="199" ht="33" customHeight="1">
      <c r="A199" s="53" t="n"/>
      <c r="B199" s="54" t="n"/>
      <c r="C199" s="54" t="n"/>
      <c r="D199" s="54" t="n"/>
      <c r="E199" s="15" t="n"/>
      <c r="F199" s="17" t="n"/>
      <c r="G199" s="54" t="n"/>
      <c r="H199" s="54" t="n"/>
      <c r="I199" s="15" t="n"/>
      <c r="J199" s="56" t="n"/>
    </row>
    <row r="200" ht="33" customHeight="1">
      <c r="A200" s="53" t="n"/>
      <c r="B200" s="54" t="n"/>
      <c r="C200" s="54" t="n"/>
      <c r="D200" s="54" t="n"/>
      <c r="E200" s="15" t="n"/>
      <c r="F200" s="17" t="n"/>
      <c r="G200" s="54" t="n"/>
      <c r="H200" s="54" t="n"/>
      <c r="I200" s="15" t="n"/>
      <c r="J200" s="56" t="n"/>
    </row>
    <row r="201" ht="33" customHeight="1">
      <c r="A201" s="53" t="n"/>
      <c r="B201" s="54" t="n"/>
      <c r="C201" s="54" t="n"/>
      <c r="D201" s="54" t="n"/>
      <c r="E201" s="15" t="n"/>
      <c r="F201" s="17" t="n"/>
      <c r="G201" s="54" t="n"/>
      <c r="H201" s="54" t="n"/>
      <c r="I201" s="15" t="n"/>
      <c r="J201" s="56" t="n"/>
    </row>
    <row r="202" ht="33" customHeight="1">
      <c r="A202" s="53" t="n"/>
      <c r="B202" s="54" t="n"/>
      <c r="C202" s="54" t="n"/>
      <c r="D202" s="54" t="n"/>
      <c r="E202" s="15" t="n"/>
      <c r="F202" s="17" t="n"/>
      <c r="G202" s="54" t="n"/>
      <c r="H202" s="54" t="n"/>
      <c r="I202" s="15" t="n"/>
      <c r="J202" s="56" t="n"/>
    </row>
    <row r="203" ht="33" customHeight="1">
      <c r="A203" s="53" t="n"/>
      <c r="B203" s="54" t="n"/>
      <c r="C203" s="54" t="n"/>
      <c r="D203" s="54" t="n"/>
      <c r="E203" s="15" t="n"/>
      <c r="F203" s="17" t="n"/>
      <c r="G203" s="54" t="n"/>
      <c r="H203" s="54" t="n"/>
      <c r="I203" s="15" t="n"/>
      <c r="J203" s="56" t="n"/>
    </row>
    <row r="204" ht="33" customHeight="1">
      <c r="A204" s="53" t="n"/>
      <c r="B204" s="54" t="n"/>
      <c r="C204" s="54" t="n"/>
      <c r="D204" s="54" t="n"/>
      <c r="E204" s="15" t="n"/>
      <c r="F204" s="17" t="n"/>
      <c r="G204" s="54" t="n"/>
      <c r="H204" s="54" t="n"/>
      <c r="I204" s="15" t="n"/>
      <c r="J204" s="56" t="n"/>
    </row>
    <row r="205" ht="33" customHeight="1">
      <c r="A205" s="53" t="n"/>
      <c r="B205" s="54" t="n"/>
      <c r="C205" s="54" t="n"/>
      <c r="D205" s="54" t="n"/>
      <c r="E205" s="15" t="n"/>
      <c r="F205" s="17" t="n"/>
      <c r="G205" s="54" t="n"/>
      <c r="H205" s="54" t="n"/>
      <c r="I205" s="15" t="n"/>
      <c r="J205" s="56" t="n"/>
    </row>
    <row r="206" ht="33" customHeight="1">
      <c r="A206" s="53" t="n"/>
      <c r="B206" s="54" t="n"/>
      <c r="C206" s="54" t="n"/>
      <c r="D206" s="54" t="n"/>
      <c r="E206" s="15" t="n"/>
      <c r="F206" s="17" t="n"/>
      <c r="G206" s="54" t="n"/>
      <c r="H206" s="54" t="n"/>
      <c r="I206" s="15" t="n"/>
      <c r="J206" s="56" t="n"/>
    </row>
    <row r="207" ht="33" customHeight="1">
      <c r="A207" s="53" t="n"/>
      <c r="B207" s="54" t="n"/>
      <c r="C207" s="54" t="n"/>
      <c r="D207" s="54" t="n"/>
      <c r="E207" s="15" t="n"/>
      <c r="F207" s="17" t="n"/>
      <c r="G207" s="54" t="n"/>
      <c r="H207" s="54" t="n"/>
      <c r="I207" s="15" t="n"/>
      <c r="J207" s="56" t="n"/>
    </row>
    <row r="208" ht="33" customHeight="1">
      <c r="A208" s="53" t="n"/>
      <c r="B208" s="54" t="n"/>
      <c r="C208" s="54" t="n"/>
      <c r="D208" s="54" t="n"/>
      <c r="E208" s="15" t="n"/>
      <c r="F208" s="17" t="n"/>
      <c r="G208" s="54" t="n"/>
      <c r="H208" s="54" t="n"/>
      <c r="I208" s="15" t="n"/>
      <c r="J208" s="56" t="n"/>
    </row>
    <row r="209" ht="33" customHeight="1">
      <c r="A209" s="53" t="n"/>
      <c r="B209" s="54" t="n"/>
      <c r="C209" s="54" t="n"/>
      <c r="D209" s="54" t="n"/>
      <c r="E209" s="15" t="n"/>
      <c r="F209" s="17" t="n"/>
      <c r="G209" s="54" t="n"/>
      <c r="H209" s="54" t="n"/>
      <c r="I209" s="15" t="n"/>
      <c r="J209" s="56" t="n"/>
    </row>
    <row r="210" ht="33" customHeight="1">
      <c r="A210" s="53" t="n"/>
      <c r="B210" s="54" t="n"/>
      <c r="C210" s="54" t="n"/>
      <c r="D210" s="54" t="n"/>
      <c r="E210" s="15" t="n"/>
      <c r="F210" s="17" t="n"/>
      <c r="G210" s="54" t="n"/>
      <c r="H210" s="54" t="n"/>
      <c r="I210" s="15" t="n"/>
      <c r="J210" s="56" t="n"/>
    </row>
    <row r="211" ht="33" customHeight="1">
      <c r="A211" s="53" t="n"/>
      <c r="B211" s="54" t="n"/>
      <c r="C211" s="54" t="n"/>
      <c r="D211" s="54" t="n"/>
      <c r="E211" s="15" t="n"/>
      <c r="F211" s="17" t="n"/>
      <c r="G211" s="54" t="n"/>
      <c r="H211" s="54" t="n"/>
      <c r="I211" s="15" t="n"/>
      <c r="J211" s="56" t="n"/>
    </row>
    <row r="212" ht="33" customHeight="1">
      <c r="A212" s="53" t="n"/>
      <c r="B212" s="54" t="n"/>
      <c r="C212" s="54" t="n"/>
      <c r="D212" s="54" t="n"/>
      <c r="E212" s="15" t="n"/>
      <c r="F212" s="17" t="n"/>
      <c r="G212" s="54" t="n"/>
      <c r="H212" s="54" t="n"/>
      <c r="I212" s="15" t="n"/>
      <c r="J212" s="56" t="n"/>
    </row>
    <row r="213" ht="33" customHeight="1">
      <c r="A213" s="53" t="n"/>
      <c r="B213" s="54" t="n"/>
      <c r="C213" s="54" t="n"/>
      <c r="D213" s="54" t="n"/>
      <c r="E213" s="15" t="n"/>
      <c r="F213" s="17" t="n"/>
      <c r="G213" s="54" t="n"/>
      <c r="H213" s="54" t="n"/>
      <c r="I213" s="15" t="n"/>
      <c r="J213" s="56" t="n"/>
    </row>
    <row r="214" ht="33" customHeight="1">
      <c r="A214" s="53" t="n"/>
      <c r="B214" s="54" t="n"/>
      <c r="C214" s="54" t="n"/>
      <c r="D214" s="54" t="n"/>
      <c r="E214" s="15" t="n"/>
      <c r="F214" s="17" t="n"/>
      <c r="G214" s="54" t="n"/>
      <c r="H214" s="54" t="n"/>
      <c r="I214" s="15" t="n"/>
      <c r="J214" s="56" t="n"/>
    </row>
    <row r="215" ht="33" customHeight="1">
      <c r="A215" s="53" t="n"/>
      <c r="B215" s="54" t="n"/>
      <c r="C215" s="54" t="n"/>
      <c r="D215" s="54" t="n"/>
      <c r="E215" s="15" t="n"/>
      <c r="F215" s="17" t="n"/>
      <c r="G215" s="54" t="n"/>
      <c r="H215" s="54" t="n"/>
      <c r="I215" s="15" t="n"/>
      <c r="J215" s="56" t="n"/>
    </row>
    <row r="216" ht="33" customHeight="1">
      <c r="A216" s="53" t="n"/>
      <c r="B216" s="54" t="n"/>
      <c r="C216" s="54" t="n"/>
      <c r="D216" s="54" t="n"/>
      <c r="E216" s="15" t="n"/>
      <c r="F216" s="17" t="n"/>
      <c r="G216" s="54" t="n"/>
      <c r="H216" s="54" t="n"/>
      <c r="I216" s="15" t="n"/>
      <c r="J216" s="56" t="n"/>
    </row>
    <row r="217" ht="33" customHeight="1">
      <c r="A217" s="53" t="n"/>
      <c r="B217" s="54" t="n"/>
      <c r="C217" s="54" t="n"/>
      <c r="D217" s="54" t="n"/>
      <c r="E217" s="15" t="n"/>
      <c r="F217" s="17" t="n"/>
      <c r="G217" s="54" t="n"/>
      <c r="H217" s="54" t="n"/>
      <c r="I217" s="15" t="n"/>
      <c r="J217" s="56" t="n"/>
    </row>
    <row r="218" ht="33" customHeight="1">
      <c r="A218" s="53" t="n"/>
      <c r="B218" s="54" t="n"/>
      <c r="C218" s="54" t="n"/>
      <c r="D218" s="54" t="n"/>
      <c r="E218" s="15" t="n"/>
      <c r="F218" s="17" t="n"/>
      <c r="G218" s="54" t="n"/>
      <c r="H218" s="54" t="n"/>
      <c r="I218" s="15" t="n"/>
      <c r="J218" s="56" t="n"/>
    </row>
    <row r="219" ht="33" customHeight="1">
      <c r="A219" s="53" t="n"/>
      <c r="B219" s="54" t="n"/>
      <c r="C219" s="54" t="n"/>
      <c r="D219" s="54" t="n"/>
      <c r="E219" s="15" t="n"/>
      <c r="F219" s="17" t="n"/>
      <c r="G219" s="54" t="n"/>
      <c r="H219" s="54" t="n"/>
      <c r="I219" s="15" t="n"/>
      <c r="J219" s="56" t="n"/>
    </row>
    <row r="220" ht="33" customHeight="1">
      <c r="A220" s="53" t="n"/>
      <c r="B220" s="54" t="n"/>
      <c r="C220" s="54" t="n"/>
      <c r="D220" s="54" t="n"/>
      <c r="E220" s="15" t="n"/>
      <c r="F220" s="17" t="n"/>
      <c r="G220" s="54" t="n"/>
      <c r="H220" s="54" t="n"/>
      <c r="I220" s="15" t="n"/>
      <c r="J220" s="56" t="n"/>
    </row>
    <row r="221" ht="33" customHeight="1">
      <c r="A221" s="53" t="n"/>
      <c r="B221" s="54" t="n"/>
      <c r="C221" s="54" t="n"/>
      <c r="D221" s="54" t="n"/>
      <c r="E221" s="15" t="n"/>
      <c r="F221" s="17" t="n"/>
      <c r="G221" s="54" t="n"/>
      <c r="H221" s="54" t="n"/>
      <c r="I221" s="15" t="n"/>
      <c r="J221" s="56" t="n"/>
    </row>
    <row r="222" ht="33" customHeight="1">
      <c r="A222" s="53" t="n"/>
      <c r="B222" s="54" t="n"/>
      <c r="C222" s="54" t="n"/>
      <c r="D222" s="54" t="n"/>
      <c r="E222" s="15" t="n"/>
      <c r="F222" s="17" t="n"/>
      <c r="G222" s="54" t="n"/>
      <c r="H222" s="54" t="n"/>
      <c r="I222" s="15" t="n"/>
      <c r="J222" s="56" t="n"/>
    </row>
    <row r="223" ht="33" customHeight="1">
      <c r="A223" s="53" t="n"/>
      <c r="B223" s="54" t="n"/>
      <c r="C223" s="54" t="n"/>
      <c r="D223" s="54" t="n"/>
      <c r="E223" s="15" t="n"/>
      <c r="F223" s="17" t="n"/>
      <c r="G223" s="54" t="n"/>
      <c r="H223" s="54" t="n"/>
      <c r="I223" s="15" t="n"/>
      <c r="J223" s="56" t="n"/>
    </row>
    <row r="224" ht="33" customHeight="1">
      <c r="A224" s="53" t="n"/>
      <c r="B224" s="54" t="n"/>
      <c r="C224" s="54" t="n"/>
      <c r="D224" s="54" t="n"/>
      <c r="E224" s="15" t="n"/>
      <c r="F224" s="17" t="n"/>
      <c r="G224" s="54" t="n"/>
      <c r="H224" s="54" t="n"/>
      <c r="I224" s="15" t="n"/>
      <c r="J224" s="56" t="n"/>
    </row>
    <row r="225" ht="33" customHeight="1">
      <c r="A225" s="53" t="n"/>
      <c r="B225" s="54" t="n"/>
      <c r="C225" s="54" t="n"/>
      <c r="D225" s="54" t="n"/>
      <c r="E225" s="15" t="n"/>
      <c r="F225" s="17" t="n"/>
      <c r="G225" s="54" t="n"/>
      <c r="H225" s="54" t="n"/>
      <c r="I225" s="15" t="n"/>
      <c r="J225" s="56" t="n"/>
    </row>
    <row r="226" ht="33" customHeight="1">
      <c r="A226" s="53" t="n"/>
      <c r="B226" s="54" t="n"/>
      <c r="C226" s="54" t="n"/>
      <c r="D226" s="54" t="n"/>
      <c r="E226" s="15" t="n"/>
      <c r="F226" s="17" t="n"/>
      <c r="G226" s="54" t="n"/>
      <c r="H226" s="54" t="n"/>
      <c r="I226" s="15" t="n"/>
      <c r="J226" s="56" t="n"/>
    </row>
    <row r="227" ht="33" customHeight="1">
      <c r="A227" s="53" t="n"/>
      <c r="B227" s="54" t="n"/>
      <c r="C227" s="54" t="n"/>
      <c r="D227" s="54" t="n"/>
      <c r="E227" s="15" t="n"/>
      <c r="F227" s="17" t="n"/>
      <c r="G227" s="54" t="n"/>
      <c r="H227" s="54" t="n"/>
      <c r="I227" s="15" t="n"/>
      <c r="J227" s="56" t="n"/>
    </row>
    <row r="228" ht="33" customHeight="1">
      <c r="A228" s="53" t="n"/>
      <c r="B228" s="54" t="n"/>
      <c r="C228" s="54" t="n"/>
      <c r="D228" s="54" t="n"/>
      <c r="E228" s="15" t="n"/>
      <c r="F228" s="17" t="n"/>
      <c r="G228" s="54" t="n"/>
      <c r="H228" s="54" t="n"/>
      <c r="I228" s="15" t="n"/>
      <c r="J228" s="56" t="n"/>
    </row>
    <row r="229" ht="33" customHeight="1">
      <c r="A229" s="53" t="n"/>
      <c r="B229" s="54" t="n"/>
      <c r="C229" s="54" t="n"/>
      <c r="D229" s="54" t="n"/>
      <c r="E229" s="15" t="n"/>
      <c r="F229" s="17" t="n"/>
      <c r="G229" s="54" t="n"/>
      <c r="H229" s="54" t="n"/>
      <c r="I229" s="15" t="n"/>
      <c r="J229" s="56" t="n"/>
    </row>
    <row r="230" ht="33" customHeight="1">
      <c r="A230" s="53" t="n"/>
      <c r="B230" s="54" t="n"/>
      <c r="C230" s="54" t="n"/>
      <c r="D230" s="54" t="n"/>
      <c r="E230" s="15" t="n"/>
      <c r="F230" s="17" t="n"/>
      <c r="G230" s="54" t="n"/>
      <c r="H230" s="54" t="n"/>
      <c r="I230" s="15" t="n"/>
      <c r="J230" s="56" t="n"/>
    </row>
    <row r="231" ht="33" customHeight="1">
      <c r="A231" s="53" t="n"/>
      <c r="B231" s="54" t="n"/>
      <c r="C231" s="54" t="n"/>
      <c r="D231" s="54" t="n"/>
      <c r="E231" s="15" t="n"/>
      <c r="F231" s="17" t="n"/>
      <c r="G231" s="54" t="n"/>
      <c r="H231" s="54" t="n"/>
      <c r="I231" s="15" t="n"/>
      <c r="J231" s="56" t="n"/>
    </row>
    <row r="232" ht="33" customHeight="1">
      <c r="A232" s="53" t="n"/>
      <c r="B232" s="54" t="n"/>
      <c r="C232" s="54" t="n"/>
      <c r="D232" s="54" t="n"/>
      <c r="E232" s="15" t="n"/>
      <c r="F232" s="17" t="n"/>
      <c r="G232" s="54" t="n"/>
      <c r="H232" s="54" t="n"/>
      <c r="I232" s="15" t="n"/>
      <c r="J232" s="56" t="n"/>
    </row>
    <row r="233" ht="33" customHeight="1">
      <c r="A233" s="53" t="n"/>
      <c r="B233" s="54" t="n"/>
      <c r="C233" s="54" t="n"/>
      <c r="D233" s="54" t="n"/>
      <c r="E233" s="15" t="n"/>
      <c r="F233" s="17" t="n"/>
      <c r="G233" s="54" t="n"/>
      <c r="H233" s="54" t="n"/>
      <c r="I233" s="15" t="n"/>
      <c r="J233" s="56" t="n"/>
    </row>
    <row r="234" ht="33" customHeight="1">
      <c r="A234" s="53" t="n"/>
      <c r="B234" s="54" t="n"/>
      <c r="C234" s="54" t="n"/>
      <c r="D234" s="54" t="n"/>
      <c r="E234" s="15" t="n"/>
      <c r="F234" s="17" t="n"/>
      <c r="G234" s="54" t="n"/>
      <c r="H234" s="54" t="n"/>
      <c r="I234" s="15" t="n"/>
      <c r="J234" s="56" t="n"/>
    </row>
    <row r="235" ht="33" customHeight="1">
      <c r="A235" s="53" t="n"/>
      <c r="B235" s="54" t="n"/>
      <c r="C235" s="54" t="n"/>
      <c r="D235" s="54" t="n"/>
      <c r="E235" s="15" t="n"/>
      <c r="F235" s="17" t="n"/>
      <c r="G235" s="54" t="n"/>
      <c r="H235" s="54" t="n"/>
      <c r="I235" s="15" t="n"/>
      <c r="J235" s="56" t="n"/>
    </row>
    <row r="236" ht="33" customHeight="1">
      <c r="A236" s="53" t="n"/>
      <c r="B236" s="54" t="n"/>
      <c r="C236" s="54" t="n"/>
      <c r="D236" s="54" t="n"/>
      <c r="E236" s="15" t="n"/>
      <c r="F236" s="17" t="n"/>
      <c r="G236" s="54" t="n"/>
      <c r="H236" s="54" t="n"/>
      <c r="I236" s="15" t="n"/>
      <c r="J236" s="56" t="n"/>
    </row>
    <row r="237" ht="33" customHeight="1">
      <c r="A237" s="53" t="n"/>
      <c r="B237" s="54" t="n"/>
      <c r="C237" s="54" t="n"/>
      <c r="D237" s="54" t="n"/>
      <c r="E237" s="15" t="n"/>
      <c r="F237" s="17" t="n"/>
      <c r="G237" s="54" t="n"/>
      <c r="H237" s="54" t="n"/>
      <c r="I237" s="15" t="n"/>
      <c r="J237" s="56" t="n"/>
    </row>
    <row r="238" ht="33" customHeight="1">
      <c r="A238" s="53" t="n"/>
      <c r="B238" s="54" t="n"/>
      <c r="C238" s="54" t="n"/>
      <c r="D238" s="54" t="n"/>
      <c r="E238" s="15" t="n"/>
      <c r="F238" s="17" t="n"/>
      <c r="G238" s="54" t="n"/>
      <c r="H238" s="54" t="n"/>
      <c r="I238" s="15" t="n"/>
      <c r="J238" s="56" t="n"/>
    </row>
    <row r="239" ht="33" customHeight="1">
      <c r="A239" s="53" t="n"/>
      <c r="B239" s="54" t="n"/>
      <c r="C239" s="54" t="n"/>
      <c r="D239" s="54" t="n"/>
      <c r="E239" s="15" t="n"/>
      <c r="F239" s="17" t="n"/>
      <c r="G239" s="54" t="n"/>
      <c r="H239" s="54" t="n"/>
      <c r="I239" s="15" t="n"/>
      <c r="J239" s="56" t="n"/>
    </row>
    <row r="240" ht="33" customHeight="1">
      <c r="A240" s="53" t="n"/>
      <c r="B240" s="54" t="n"/>
      <c r="C240" s="54" t="n"/>
      <c r="D240" s="54" t="n"/>
      <c r="E240" s="15" t="n"/>
      <c r="F240" s="17" t="n"/>
      <c r="G240" s="54" t="n"/>
      <c r="H240" s="54" t="n"/>
      <c r="I240" s="15" t="n"/>
      <c r="J240" s="56" t="n"/>
    </row>
    <row r="241" ht="33" customHeight="1">
      <c r="A241" s="53" t="n"/>
      <c r="B241" s="54" t="n"/>
      <c r="C241" s="54" t="n"/>
      <c r="D241" s="54" t="n"/>
      <c r="E241" s="15" t="n"/>
      <c r="F241" s="17" t="n"/>
      <c r="G241" s="54" t="n"/>
      <c r="H241" s="54" t="n"/>
      <c r="I241" s="15" t="n"/>
      <c r="J241" s="56" t="n"/>
    </row>
    <row r="242" ht="33" customHeight="1">
      <c r="A242" s="53" t="n"/>
      <c r="B242" s="54" t="n"/>
      <c r="C242" s="54" t="n"/>
      <c r="D242" s="54" t="n"/>
      <c r="E242" s="15" t="n"/>
      <c r="F242" s="17" t="n"/>
      <c r="G242" s="54" t="n"/>
      <c r="H242" s="54" t="n"/>
      <c r="I242" s="15" t="n"/>
      <c r="J242" s="56" t="n"/>
    </row>
    <row r="243" ht="33" customHeight="1">
      <c r="A243" s="53" t="n"/>
      <c r="B243" s="54" t="n"/>
      <c r="C243" s="54" t="n"/>
      <c r="D243" s="54" t="n"/>
      <c r="E243" s="15" t="n"/>
      <c r="F243" s="17" t="n"/>
      <c r="G243" s="54" t="n"/>
      <c r="H243" s="54" t="n"/>
      <c r="I243" s="15" t="n"/>
      <c r="J243" s="56" t="n"/>
    </row>
    <row r="244" ht="33" customHeight="1">
      <c r="A244" s="53" t="n"/>
      <c r="B244" s="54" t="n"/>
      <c r="C244" s="54" t="n"/>
      <c r="D244" s="54" t="n"/>
      <c r="E244" s="15" t="n"/>
      <c r="F244" s="17" t="n"/>
      <c r="G244" s="54" t="n"/>
      <c r="H244" s="54" t="n"/>
      <c r="I244" s="15" t="n"/>
      <c r="J244" s="56" t="n"/>
    </row>
    <row r="245" ht="33" customHeight="1">
      <c r="A245" s="53" t="n"/>
      <c r="B245" s="54" t="n"/>
      <c r="C245" s="54" t="n"/>
      <c r="D245" s="54" t="n"/>
      <c r="E245" s="15" t="n"/>
      <c r="F245" s="17" t="n"/>
      <c r="G245" s="54" t="n"/>
      <c r="H245" s="54" t="n"/>
      <c r="I245" s="15" t="n"/>
      <c r="J245" s="56" t="n"/>
    </row>
    <row r="246" ht="33" customHeight="1">
      <c r="A246" s="53" t="n"/>
      <c r="B246" s="54" t="n"/>
      <c r="C246" s="54" t="n"/>
      <c r="D246" s="54" t="n"/>
      <c r="E246" s="15" t="n"/>
      <c r="F246" s="17" t="n"/>
      <c r="G246" s="54" t="n"/>
      <c r="H246" s="54" t="n"/>
      <c r="I246" s="15" t="n"/>
      <c r="J246" s="56" t="n"/>
    </row>
    <row r="247" ht="33" customHeight="1">
      <c r="A247" s="53" t="n"/>
      <c r="B247" s="54" t="n"/>
      <c r="C247" s="54" t="n"/>
      <c r="D247" s="54" t="n"/>
      <c r="E247" s="15" t="n"/>
      <c r="F247" s="17" t="n"/>
      <c r="G247" s="54" t="n"/>
      <c r="H247" s="54" t="n"/>
      <c r="I247" s="15" t="n"/>
      <c r="J247" s="56" t="n"/>
    </row>
    <row r="248" ht="33" customHeight="1">
      <c r="A248" s="53" t="n"/>
      <c r="B248" s="54" t="n"/>
      <c r="C248" s="54" t="n"/>
      <c r="D248" s="54" t="n"/>
      <c r="E248" s="15" t="n"/>
      <c r="F248" s="17" t="n"/>
      <c r="G248" s="54" t="n"/>
      <c r="H248" s="54" t="n"/>
      <c r="I248" s="15" t="n"/>
      <c r="J248" s="56" t="n"/>
    </row>
    <row r="249" ht="33" customHeight="1">
      <c r="A249" s="53" t="n"/>
      <c r="B249" s="54" t="n"/>
      <c r="C249" s="54" t="n"/>
      <c r="D249" s="54" t="n"/>
      <c r="E249" s="15" t="n"/>
      <c r="F249" s="17" t="n"/>
      <c r="G249" s="54" t="n"/>
      <c r="H249" s="54" t="n"/>
      <c r="I249" s="15" t="n"/>
      <c r="J249" s="56" t="n"/>
    </row>
    <row r="250" ht="33" customHeight="1">
      <c r="A250" s="53" t="n"/>
      <c r="B250" s="54" t="n"/>
      <c r="C250" s="54" t="n"/>
      <c r="D250" s="54" t="n"/>
      <c r="E250" s="15" t="n"/>
      <c r="F250" s="17" t="n"/>
      <c r="G250" s="54" t="n"/>
      <c r="H250" s="54" t="n"/>
      <c r="I250" s="15" t="n"/>
      <c r="J250" s="56" t="n"/>
    </row>
    <row r="251" ht="33" customHeight="1">
      <c r="A251" s="53" t="n"/>
      <c r="B251" s="54" t="n"/>
      <c r="C251" s="54" t="n"/>
      <c r="D251" s="54" t="n"/>
      <c r="E251" s="15" t="n"/>
      <c r="F251" s="17" t="n"/>
      <c r="G251" s="54" t="n"/>
      <c r="H251" s="54" t="n"/>
      <c r="I251" s="15" t="n"/>
      <c r="J251" s="56" t="n"/>
    </row>
    <row r="252" ht="33" customHeight="1">
      <c r="A252" s="53" t="n"/>
      <c r="B252" s="54" t="n"/>
      <c r="C252" s="54" t="n"/>
      <c r="D252" s="54" t="n"/>
      <c r="E252" s="15" t="n"/>
      <c r="F252" s="17" t="n"/>
      <c r="G252" s="54" t="n"/>
      <c r="H252" s="54" t="n"/>
      <c r="I252" s="15" t="n"/>
      <c r="J252" s="56" t="n"/>
    </row>
    <row r="253" ht="33" customHeight="1">
      <c r="A253" s="53" t="n"/>
      <c r="B253" s="54" t="n"/>
      <c r="C253" s="54" t="n"/>
      <c r="D253" s="54" t="n"/>
      <c r="E253" s="15" t="n"/>
      <c r="F253" s="17" t="n"/>
      <c r="G253" s="54" t="n"/>
      <c r="H253" s="54" t="n"/>
      <c r="I253" s="15" t="n"/>
      <c r="J253" s="56" t="n"/>
    </row>
    <row r="254" ht="33" customHeight="1">
      <c r="A254" s="53" t="n"/>
      <c r="B254" s="54" t="n"/>
      <c r="C254" s="54" t="n"/>
      <c r="D254" s="54" t="n"/>
      <c r="E254" s="15" t="n"/>
      <c r="F254" s="17" t="n"/>
      <c r="G254" s="54" t="n"/>
      <c r="H254" s="54" t="n"/>
      <c r="I254" s="15" t="n"/>
      <c r="J254" s="56" t="n"/>
    </row>
    <row r="255" ht="33" customHeight="1">
      <c r="A255" s="53" t="n"/>
      <c r="B255" s="54" t="n"/>
      <c r="C255" s="54" t="n"/>
      <c r="D255" s="54" t="n"/>
      <c r="E255" s="15" t="n"/>
      <c r="F255" s="17" t="n"/>
      <c r="G255" s="54" t="n"/>
      <c r="H255" s="54" t="n"/>
      <c r="I255" s="15" t="n"/>
      <c r="J255" s="56" t="n"/>
    </row>
    <row r="256" ht="33" customHeight="1">
      <c r="A256" s="53" t="n"/>
      <c r="B256" s="54" t="n"/>
      <c r="C256" s="54" t="n"/>
      <c r="D256" s="54" t="n"/>
      <c r="E256" s="15" t="n"/>
      <c r="F256" s="17" t="n"/>
      <c r="G256" s="54" t="n"/>
      <c r="H256" s="54" t="n"/>
      <c r="I256" s="15" t="n"/>
      <c r="J256" s="56" t="n"/>
    </row>
    <row r="257" ht="33" customHeight="1">
      <c r="A257" s="53" t="n"/>
      <c r="B257" s="54" t="n"/>
      <c r="C257" s="54" t="n"/>
      <c r="D257" s="54" t="n"/>
      <c r="E257" s="15" t="n"/>
      <c r="F257" s="17" t="n"/>
      <c r="G257" s="54" t="n"/>
      <c r="H257" s="54" t="n"/>
      <c r="I257" s="15" t="n"/>
      <c r="J257" s="56" t="n"/>
    </row>
    <row r="258" ht="33" customHeight="1">
      <c r="A258" s="53" t="n"/>
      <c r="B258" s="54" t="n"/>
      <c r="C258" s="54" t="n"/>
      <c r="D258" s="54" t="n"/>
      <c r="E258" s="15" t="n"/>
      <c r="F258" s="17" t="n"/>
      <c r="G258" s="54" t="n"/>
      <c r="H258" s="54" t="n"/>
      <c r="I258" s="15" t="n"/>
      <c r="J258" s="56" t="n"/>
    </row>
    <row r="259" ht="33" customHeight="1">
      <c r="A259" s="53" t="n"/>
      <c r="B259" s="54" t="n"/>
      <c r="C259" s="54" t="n"/>
      <c r="D259" s="54" t="n"/>
      <c r="E259" s="15" t="n"/>
      <c r="F259" s="17" t="n"/>
      <c r="G259" s="54" t="n"/>
      <c r="H259" s="54" t="n"/>
      <c r="I259" s="15" t="n"/>
      <c r="J259" s="56" t="n"/>
    </row>
    <row r="260" ht="33" customHeight="1">
      <c r="A260" s="53" t="n"/>
      <c r="B260" s="54" t="n"/>
      <c r="C260" s="54" t="n"/>
      <c r="D260" s="54" t="n"/>
      <c r="E260" s="15" t="n"/>
      <c r="F260" s="17" t="n"/>
      <c r="G260" s="54" t="n"/>
      <c r="H260" s="54" t="n"/>
      <c r="I260" s="15" t="n"/>
      <c r="J260" s="56" t="n"/>
    </row>
    <row r="261" ht="33" customHeight="1">
      <c r="A261" s="53" t="n"/>
      <c r="B261" s="54" t="n"/>
      <c r="C261" s="54" t="n"/>
      <c r="D261" s="54" t="n"/>
      <c r="E261" s="15" t="n"/>
      <c r="F261" s="17" t="n"/>
      <c r="G261" s="54" t="n"/>
      <c r="H261" s="54" t="n"/>
      <c r="I261" s="15" t="n"/>
      <c r="J261" s="56" t="n"/>
    </row>
    <row r="262" ht="33" customHeight="1">
      <c r="A262" s="53" t="n"/>
      <c r="B262" s="54" t="n"/>
      <c r="C262" s="54" t="n"/>
      <c r="D262" s="54" t="n"/>
      <c r="E262" s="15" t="n"/>
      <c r="F262" s="17" t="n"/>
      <c r="G262" s="54" t="n"/>
      <c r="H262" s="54" t="n"/>
      <c r="I262" s="15" t="n"/>
      <c r="J262" s="56" t="n"/>
    </row>
    <row r="263" ht="33" customHeight="1">
      <c r="A263" s="53" t="n"/>
      <c r="B263" s="54" t="n"/>
      <c r="C263" s="54" t="n"/>
      <c r="D263" s="54" t="n"/>
      <c r="E263" s="15" t="n"/>
      <c r="F263" s="17" t="n"/>
      <c r="G263" s="54" t="n"/>
      <c r="H263" s="54" t="n"/>
      <c r="I263" s="15" t="n"/>
      <c r="J263" s="56" t="n"/>
    </row>
    <row r="264" ht="33" customHeight="1">
      <c r="A264" s="53" t="n"/>
      <c r="B264" s="54" t="n"/>
      <c r="C264" s="54" t="n"/>
      <c r="D264" s="54" t="n"/>
      <c r="E264" s="15" t="n"/>
      <c r="F264" s="17" t="n"/>
      <c r="G264" s="54" t="n"/>
      <c r="H264" s="54" t="n"/>
      <c r="I264" s="15" t="n"/>
      <c r="J264" s="56" t="n"/>
    </row>
    <row r="265" ht="33" customHeight="1">
      <c r="A265" s="53" t="n"/>
      <c r="B265" s="54" t="n"/>
      <c r="C265" s="54" t="n"/>
      <c r="D265" s="54" t="n"/>
      <c r="E265" s="15" t="n"/>
      <c r="F265" s="17" t="n"/>
      <c r="G265" s="54" t="n"/>
      <c r="H265" s="54" t="n"/>
      <c r="I265" s="15" t="n"/>
      <c r="J265" s="56" t="n"/>
    </row>
    <row r="266" ht="33" customHeight="1">
      <c r="A266" s="53" t="n"/>
      <c r="B266" s="54" t="n"/>
      <c r="C266" s="54" t="n"/>
      <c r="D266" s="54" t="n"/>
      <c r="E266" s="15" t="n"/>
      <c r="F266" s="17" t="n"/>
      <c r="G266" s="54" t="n"/>
      <c r="H266" s="54" t="n"/>
      <c r="I266" s="15" t="n"/>
      <c r="J266" s="56" t="n"/>
    </row>
    <row r="267" ht="33" customHeight="1">
      <c r="A267" s="53" t="n"/>
      <c r="B267" s="54" t="n"/>
      <c r="C267" s="54" t="n"/>
      <c r="D267" s="54" t="n"/>
      <c r="E267" s="15" t="n"/>
      <c r="F267" s="17" t="n"/>
      <c r="G267" s="54" t="n"/>
      <c r="H267" s="54" t="n"/>
      <c r="I267" s="15" t="n"/>
      <c r="J267" s="56" t="n"/>
    </row>
    <row r="268" ht="33" customHeight="1">
      <c r="A268" s="53" t="n"/>
      <c r="B268" s="54" t="n"/>
      <c r="C268" s="54" t="n"/>
      <c r="D268" s="54" t="n"/>
      <c r="E268" s="15" t="n"/>
      <c r="F268" s="17" t="n"/>
      <c r="G268" s="54" t="n"/>
      <c r="H268" s="54" t="n"/>
      <c r="I268" s="15" t="n"/>
      <c r="J268" s="56" t="n"/>
    </row>
    <row r="269" ht="33" customHeight="1">
      <c r="A269" s="53" t="n"/>
      <c r="B269" s="54" t="n"/>
      <c r="C269" s="54" t="n"/>
      <c r="D269" s="54" t="n"/>
      <c r="E269" s="15" t="n"/>
      <c r="F269" s="17" t="n"/>
      <c r="G269" s="54" t="n"/>
      <c r="H269" s="54" t="n"/>
      <c r="I269" s="15" t="n"/>
      <c r="J269" s="56" t="n"/>
    </row>
    <row r="270" ht="33" customHeight="1">
      <c r="A270" s="53" t="n"/>
      <c r="B270" s="54" t="n"/>
      <c r="C270" s="54" t="n"/>
      <c r="D270" s="54" t="n"/>
      <c r="E270" s="15" t="n"/>
      <c r="F270" s="17" t="n"/>
      <c r="G270" s="54" t="n"/>
      <c r="H270" s="54" t="n"/>
      <c r="I270" s="15" t="n"/>
      <c r="J270" s="56" t="n"/>
    </row>
    <row r="271" ht="33" customHeight="1">
      <c r="A271" s="53" t="n"/>
      <c r="B271" s="54" t="n"/>
      <c r="C271" s="54" t="n"/>
      <c r="D271" s="54" t="n"/>
      <c r="E271" s="15" t="n"/>
      <c r="F271" s="17" t="n"/>
      <c r="G271" s="54" t="n"/>
      <c r="H271" s="54" t="n"/>
      <c r="I271" s="15" t="n"/>
      <c r="J271" s="56" t="n"/>
    </row>
    <row r="272" ht="33" customHeight="1">
      <c r="A272" s="53" t="n"/>
      <c r="B272" s="54" t="n"/>
      <c r="C272" s="54" t="n"/>
      <c r="D272" s="54" t="n"/>
      <c r="E272" s="15" t="n"/>
      <c r="F272" s="17" t="n"/>
      <c r="G272" s="54" t="n"/>
      <c r="H272" s="54" t="n"/>
      <c r="I272" s="15" t="n"/>
      <c r="J272" s="56" t="n"/>
    </row>
    <row r="273" ht="33" customHeight="1">
      <c r="A273" s="53" t="n"/>
      <c r="B273" s="54" t="n"/>
      <c r="C273" s="54" t="n"/>
      <c r="D273" s="54" t="n"/>
      <c r="E273" s="15" t="n"/>
      <c r="F273" s="17" t="n"/>
      <c r="G273" s="54" t="n"/>
      <c r="H273" s="54" t="n"/>
      <c r="I273" s="15" t="n"/>
      <c r="J273" s="56" t="n"/>
    </row>
    <row r="274" ht="33" customHeight="1">
      <c r="A274" s="53" t="n"/>
      <c r="B274" s="54" t="n"/>
      <c r="C274" s="54" t="n"/>
      <c r="D274" s="54" t="n"/>
      <c r="E274" s="15" t="n"/>
      <c r="F274" s="17" t="n"/>
      <c r="G274" s="54" t="n"/>
      <c r="H274" s="54" t="n"/>
      <c r="I274" s="15" t="n"/>
      <c r="J274" s="56" t="n"/>
    </row>
    <row r="275" ht="33" customHeight="1">
      <c r="A275" s="53" t="n"/>
      <c r="B275" s="54" t="n"/>
      <c r="C275" s="54" t="n"/>
      <c r="D275" s="54" t="n"/>
      <c r="E275" s="15" t="n"/>
      <c r="F275" s="17" t="n"/>
      <c r="G275" s="54" t="n"/>
      <c r="H275" s="54" t="n"/>
      <c r="I275" s="15" t="n"/>
      <c r="J275" s="56" t="n"/>
    </row>
    <row r="276" ht="33" customHeight="1">
      <c r="A276" s="53" t="n"/>
      <c r="B276" s="54" t="n"/>
      <c r="C276" s="54" t="n"/>
      <c r="D276" s="54" t="n"/>
      <c r="E276" s="15" t="n"/>
      <c r="F276" s="17" t="n"/>
      <c r="G276" s="54" t="n"/>
      <c r="H276" s="54" t="n"/>
      <c r="I276" s="15" t="n"/>
      <c r="J276" s="56" t="n"/>
    </row>
    <row r="277" ht="33" customHeight="1">
      <c r="A277" s="53" t="n"/>
      <c r="B277" s="54" t="n"/>
      <c r="C277" s="54" t="n"/>
      <c r="D277" s="54" t="n"/>
      <c r="E277" s="15" t="n"/>
      <c r="F277" s="17" t="n"/>
      <c r="G277" s="54" t="n"/>
      <c r="H277" s="54" t="n"/>
      <c r="I277" s="15" t="n"/>
      <c r="J277" s="56" t="n"/>
    </row>
    <row r="278" ht="33" customHeight="1">
      <c r="A278" s="53" t="n"/>
      <c r="B278" s="54" t="n"/>
      <c r="C278" s="54" t="n"/>
      <c r="D278" s="54" t="n"/>
      <c r="E278" s="15" t="n"/>
      <c r="F278" s="17" t="n"/>
      <c r="G278" s="54" t="n"/>
      <c r="H278" s="54" t="n"/>
      <c r="I278" s="15" t="n"/>
      <c r="J278" s="56" t="n"/>
    </row>
    <row r="279" ht="33" customHeight="1">
      <c r="A279" s="53" t="n"/>
      <c r="B279" s="54" t="n"/>
      <c r="C279" s="54" t="n"/>
      <c r="D279" s="54" t="n"/>
      <c r="E279" s="15" t="n"/>
      <c r="F279" s="17" t="n"/>
      <c r="G279" s="54" t="n"/>
      <c r="H279" s="54" t="n"/>
      <c r="I279" s="15" t="n"/>
      <c r="J279" s="56" t="n"/>
    </row>
    <row r="280" ht="33" customHeight="1">
      <c r="A280" s="53" t="n"/>
      <c r="B280" s="54" t="n"/>
      <c r="C280" s="54" t="n"/>
      <c r="D280" s="54" t="n"/>
      <c r="E280" s="15" t="n"/>
      <c r="F280" s="17" t="n"/>
      <c r="G280" s="54" t="n"/>
      <c r="H280" s="54" t="n"/>
      <c r="I280" s="15" t="n"/>
      <c r="J280" s="56" t="n"/>
    </row>
    <row r="281" ht="33" customHeight="1">
      <c r="A281" s="53" t="n"/>
      <c r="B281" s="54" t="n"/>
      <c r="C281" s="54" t="n"/>
      <c r="D281" s="54" t="n"/>
      <c r="E281" s="15" t="n"/>
      <c r="F281" s="17" t="n"/>
      <c r="G281" s="54" t="n"/>
      <c r="H281" s="54" t="n"/>
      <c r="I281" s="15" t="n"/>
      <c r="J281" s="56" t="n"/>
    </row>
    <row r="282" ht="33" customHeight="1">
      <c r="A282" s="53" t="n"/>
      <c r="B282" s="54" t="n"/>
      <c r="C282" s="54" t="n"/>
      <c r="D282" s="54" t="n"/>
      <c r="E282" s="15" t="n"/>
      <c r="F282" s="17" t="n"/>
      <c r="G282" s="54" t="n"/>
      <c r="H282" s="54" t="n"/>
      <c r="I282" s="15" t="n"/>
      <c r="J282" s="56" t="n"/>
    </row>
    <row r="283" ht="33" customHeight="1">
      <c r="A283" s="53" t="n"/>
      <c r="B283" s="54" t="n"/>
      <c r="C283" s="54" t="n"/>
      <c r="D283" s="54" t="n"/>
      <c r="E283" s="15" t="n"/>
      <c r="F283" s="17" t="n"/>
      <c r="G283" s="54" t="n"/>
      <c r="H283" s="54" t="n"/>
      <c r="I283" s="15" t="n"/>
      <c r="J283" s="56" t="n"/>
    </row>
    <row r="284" ht="33" customHeight="1">
      <c r="A284" s="53" t="n"/>
      <c r="B284" s="54" t="n"/>
      <c r="C284" s="54" t="n"/>
      <c r="D284" s="54" t="n"/>
      <c r="E284" s="15" t="n"/>
      <c r="F284" s="17" t="n"/>
      <c r="G284" s="54" t="n"/>
      <c r="H284" s="54" t="n"/>
      <c r="I284" s="15" t="n"/>
      <c r="J284" s="56" t="n"/>
    </row>
    <row r="285" ht="33" customHeight="1">
      <c r="A285" s="53" t="n"/>
      <c r="B285" s="54" t="n"/>
      <c r="C285" s="54" t="n"/>
      <c r="D285" s="54" t="n"/>
      <c r="E285" s="15" t="n"/>
      <c r="F285" s="17" t="n"/>
      <c r="G285" s="54" t="n"/>
      <c r="H285" s="54" t="n"/>
      <c r="I285" s="15" t="n"/>
      <c r="J285" s="56" t="n"/>
    </row>
    <row r="286" ht="33" customHeight="1">
      <c r="A286" s="53" t="n"/>
      <c r="B286" s="54" t="n"/>
      <c r="C286" s="54" t="n"/>
      <c r="D286" s="54" t="n"/>
      <c r="E286" s="15" t="n"/>
      <c r="F286" s="17" t="n"/>
      <c r="G286" s="54" t="n"/>
      <c r="H286" s="54" t="n"/>
      <c r="I286" s="15" t="n"/>
      <c r="J286" s="56" t="n"/>
    </row>
    <row r="287" ht="33" customHeight="1">
      <c r="A287" s="53" t="n"/>
      <c r="B287" s="54" t="n"/>
      <c r="C287" s="54" t="n"/>
      <c r="D287" s="54" t="n"/>
      <c r="E287" s="15" t="n"/>
      <c r="F287" s="17" t="n"/>
      <c r="G287" s="54" t="n"/>
      <c r="H287" s="54" t="n"/>
      <c r="I287" s="15" t="n"/>
      <c r="J287" s="56" t="n"/>
    </row>
    <row r="288" ht="33" customHeight="1">
      <c r="A288" s="53" t="n"/>
      <c r="B288" s="54" t="n"/>
      <c r="C288" s="54" t="n"/>
      <c r="D288" s="54" t="n"/>
      <c r="E288" s="15" t="n"/>
      <c r="F288" s="17" t="n"/>
      <c r="G288" s="54" t="n"/>
      <c r="H288" s="54" t="n"/>
      <c r="I288" s="15" t="n"/>
      <c r="J288" s="56" t="n"/>
    </row>
    <row r="289" ht="33" customHeight="1">
      <c r="A289" s="53" t="n"/>
      <c r="B289" s="54" t="n"/>
      <c r="C289" s="54" t="n"/>
      <c r="D289" s="54" t="n"/>
      <c r="E289" s="15" t="n"/>
      <c r="F289" s="17" t="n"/>
      <c r="G289" s="54" t="n"/>
      <c r="H289" s="54" t="n"/>
      <c r="I289" s="15" t="n"/>
      <c r="J289" s="56" t="n"/>
    </row>
    <row r="290" ht="33" customHeight="1">
      <c r="A290" s="53" t="n"/>
      <c r="B290" s="54" t="n"/>
      <c r="C290" s="54" t="n"/>
      <c r="D290" s="54" t="n"/>
      <c r="E290" s="15" t="n"/>
      <c r="F290" s="17" t="n"/>
      <c r="G290" s="54" t="n"/>
      <c r="H290" s="54" t="n"/>
      <c r="I290" s="15" t="n"/>
      <c r="J290" s="56" t="n"/>
    </row>
    <row r="291" ht="33" customHeight="1">
      <c r="A291" s="53" t="n"/>
      <c r="B291" s="54" t="n"/>
      <c r="C291" s="54" t="n"/>
      <c r="D291" s="54" t="n"/>
      <c r="E291" s="15" t="n"/>
      <c r="F291" s="17" t="n"/>
      <c r="G291" s="54" t="n"/>
      <c r="H291" s="54" t="n"/>
      <c r="I291" s="15" t="n"/>
      <c r="J291" s="56" t="n"/>
    </row>
    <row r="292" ht="33" customHeight="1">
      <c r="A292" s="53" t="n"/>
      <c r="B292" s="54" t="n"/>
      <c r="C292" s="54" t="n"/>
      <c r="D292" s="54" t="n"/>
      <c r="E292" s="15" t="n"/>
      <c r="F292" s="17" t="n"/>
      <c r="G292" s="54" t="n"/>
      <c r="H292" s="54" t="n"/>
      <c r="I292" s="15" t="n"/>
      <c r="J292" s="56" t="n"/>
    </row>
    <row r="293" ht="33" customHeight="1">
      <c r="A293" s="53" t="n"/>
      <c r="B293" s="54" t="n"/>
      <c r="C293" s="54" t="n"/>
      <c r="D293" s="54" t="n"/>
      <c r="E293" s="15" t="n"/>
      <c r="F293" s="17" t="n"/>
      <c r="G293" s="54" t="n"/>
      <c r="H293" s="54" t="n"/>
      <c r="I293" s="15" t="n"/>
      <c r="J293" s="56" t="n"/>
    </row>
    <row r="294" ht="33" customHeight="1">
      <c r="A294" s="53" t="n"/>
      <c r="B294" s="54" t="n"/>
      <c r="C294" s="54" t="n"/>
      <c r="D294" s="54" t="n"/>
      <c r="E294" s="15" t="n"/>
      <c r="F294" s="17" t="n"/>
      <c r="G294" s="54" t="n"/>
      <c r="H294" s="54" t="n"/>
      <c r="I294" s="15" t="n"/>
      <c r="J294" s="56" t="n"/>
    </row>
    <row r="295" ht="33" customHeight="1">
      <c r="A295" s="53" t="n"/>
      <c r="B295" s="54" t="n"/>
      <c r="C295" s="54" t="n"/>
      <c r="D295" s="54" t="n"/>
      <c r="E295" s="15" t="n"/>
      <c r="F295" s="17" t="n"/>
      <c r="G295" s="54" t="n"/>
      <c r="H295" s="54" t="n"/>
      <c r="I295" s="15" t="n"/>
      <c r="J295" s="56" t="n"/>
    </row>
    <row r="296" ht="33" customHeight="1">
      <c r="A296" s="53" t="n"/>
      <c r="B296" s="54" t="n"/>
      <c r="C296" s="54" t="n"/>
      <c r="D296" s="54" t="n"/>
      <c r="E296" s="15" t="n"/>
      <c r="F296" s="17" t="n"/>
      <c r="G296" s="54" t="n"/>
      <c r="H296" s="54" t="n"/>
      <c r="I296" s="15" t="n"/>
      <c r="J296" s="56" t="n"/>
    </row>
    <row r="297" ht="33" customHeight="1">
      <c r="A297" s="53" t="n"/>
      <c r="B297" s="54" t="n"/>
      <c r="C297" s="54" t="n"/>
      <c r="D297" s="54" t="n"/>
      <c r="E297" s="15" t="n"/>
      <c r="F297" s="17" t="n"/>
      <c r="G297" s="54" t="n"/>
      <c r="H297" s="54" t="n"/>
      <c r="I297" s="15" t="n"/>
      <c r="J297" s="56" t="n"/>
    </row>
    <row r="298" ht="33" customHeight="1">
      <c r="A298" s="53" t="n"/>
      <c r="B298" s="54" t="n"/>
      <c r="C298" s="54" t="n"/>
      <c r="D298" s="54" t="n"/>
      <c r="E298" s="15" t="n"/>
      <c r="F298" s="17" t="n"/>
      <c r="G298" s="54" t="n"/>
      <c r="H298" s="54" t="n"/>
      <c r="I298" s="15" t="n"/>
      <c r="J298" s="56" t="n"/>
    </row>
    <row r="299" ht="33" customHeight="1">
      <c r="A299" s="53" t="n"/>
      <c r="B299" s="54" t="n"/>
      <c r="C299" s="54" t="n"/>
      <c r="D299" s="54" t="n"/>
      <c r="E299" s="15" t="n"/>
      <c r="F299" s="17" t="n"/>
      <c r="G299" s="54" t="n"/>
      <c r="H299" s="54" t="n"/>
      <c r="I299" s="15" t="n"/>
      <c r="J299" s="56" t="n"/>
    </row>
    <row r="300" ht="33" customHeight="1">
      <c r="A300" s="53" t="n"/>
      <c r="B300" s="54" t="n"/>
      <c r="C300" s="54" t="n"/>
      <c r="D300" s="54" t="n"/>
      <c r="E300" s="15" t="n"/>
      <c r="F300" s="17" t="n"/>
      <c r="G300" s="54" t="n"/>
      <c r="H300" s="54" t="n"/>
      <c r="I300" s="15" t="n"/>
      <c r="J300" s="56" t="n"/>
    </row>
    <row r="301" ht="33" customHeight="1">
      <c r="A301" s="53" t="n"/>
      <c r="B301" s="54" t="n"/>
      <c r="C301" s="54" t="n"/>
      <c r="D301" s="54" t="n"/>
      <c r="E301" s="15" t="n"/>
      <c r="F301" s="17" t="n"/>
      <c r="G301" s="54" t="n"/>
      <c r="H301" s="54" t="n"/>
      <c r="I301" s="15" t="n"/>
      <c r="J301" s="56" t="n"/>
    </row>
    <row r="302" ht="33" customHeight="1">
      <c r="A302" s="53" t="n"/>
      <c r="B302" s="54" t="n"/>
      <c r="C302" s="54" t="n"/>
      <c r="D302" s="54" t="n"/>
      <c r="E302" s="15" t="n"/>
      <c r="F302" s="17" t="n"/>
      <c r="G302" s="54" t="n"/>
      <c r="H302" s="54" t="n"/>
      <c r="I302" s="15" t="n"/>
      <c r="J302" s="56" t="n"/>
    </row>
    <row r="303" ht="33" customHeight="1">
      <c r="A303" s="53" t="n"/>
      <c r="B303" s="54" t="n"/>
      <c r="C303" s="54" t="n"/>
      <c r="D303" s="54" t="n"/>
      <c r="E303" s="15" t="n"/>
      <c r="F303" s="17" t="n"/>
      <c r="G303" s="54" t="n"/>
      <c r="H303" s="54" t="n"/>
      <c r="I303" s="15" t="n"/>
      <c r="J303" s="56" t="n"/>
    </row>
    <row r="304" ht="33" customHeight="1">
      <c r="A304" s="53" t="n"/>
      <c r="B304" s="54" t="n"/>
      <c r="C304" s="54" t="n"/>
      <c r="D304" s="54" t="n"/>
      <c r="E304" s="15" t="n"/>
      <c r="F304" s="17" t="n"/>
      <c r="G304" s="54" t="n"/>
      <c r="H304" s="54" t="n"/>
      <c r="I304" s="15" t="n"/>
      <c r="J304" s="56" t="n"/>
    </row>
    <row r="305" ht="33" customHeight="1">
      <c r="A305" s="53" t="n"/>
      <c r="B305" s="54" t="n"/>
      <c r="C305" s="54" t="n"/>
      <c r="D305" s="54" t="n"/>
      <c r="E305" s="15" t="n"/>
      <c r="F305" s="17" t="n"/>
      <c r="G305" s="54" t="n"/>
      <c r="H305" s="54" t="n"/>
      <c r="I305" s="15" t="n"/>
      <c r="J305" s="56" t="n"/>
    </row>
    <row r="306" ht="33" customHeight="1">
      <c r="A306" s="53" t="n"/>
      <c r="B306" s="54" t="n"/>
      <c r="C306" s="54" t="n"/>
      <c r="D306" s="54" t="n"/>
      <c r="E306" s="15" t="n"/>
      <c r="F306" s="17" t="n"/>
      <c r="G306" s="54" t="n"/>
      <c r="H306" s="54" t="n"/>
      <c r="I306" s="15" t="n"/>
      <c r="J306" s="56" t="n"/>
    </row>
    <row r="307" ht="33" customHeight="1">
      <c r="A307" s="53" t="n"/>
      <c r="B307" s="54" t="n"/>
      <c r="C307" s="54" t="n"/>
      <c r="D307" s="54" t="n"/>
      <c r="E307" s="15" t="n"/>
      <c r="F307" s="17" t="n"/>
      <c r="G307" s="54" t="n"/>
      <c r="H307" s="54" t="n"/>
      <c r="I307" s="15" t="n"/>
      <c r="J307" s="56" t="n"/>
    </row>
    <row r="308" ht="33" customHeight="1">
      <c r="A308" s="53" t="n"/>
      <c r="B308" s="54" t="n"/>
      <c r="C308" s="54" t="n"/>
      <c r="D308" s="54" t="n"/>
      <c r="E308" s="15" t="n"/>
      <c r="F308" s="17" t="n"/>
      <c r="G308" s="54" t="n"/>
      <c r="H308" s="54" t="n"/>
      <c r="I308" s="15" t="n"/>
      <c r="J308" s="56" t="n"/>
    </row>
    <row r="309" ht="33" customHeight="1">
      <c r="A309" s="53" t="n"/>
      <c r="B309" s="54" t="n"/>
      <c r="C309" s="54" t="n"/>
      <c r="D309" s="54" t="n"/>
      <c r="E309" s="15" t="n"/>
      <c r="F309" s="17" t="n"/>
      <c r="G309" s="54" t="n"/>
      <c r="H309" s="54" t="n"/>
      <c r="I309" s="15" t="n"/>
      <c r="J309" s="56" t="n"/>
    </row>
    <row r="310" ht="33" customHeight="1">
      <c r="A310" s="53" t="n"/>
      <c r="B310" s="54" t="n"/>
      <c r="C310" s="54" t="n"/>
      <c r="D310" s="54" t="n"/>
      <c r="E310" s="15" t="n"/>
      <c r="F310" s="17" t="n"/>
      <c r="G310" s="54" t="n"/>
      <c r="H310" s="54" t="n"/>
      <c r="I310" s="15" t="n"/>
      <c r="J310" s="56" t="n"/>
    </row>
    <row r="311" ht="33" customHeight="1">
      <c r="A311" s="53" t="n"/>
      <c r="B311" s="54" t="n"/>
      <c r="C311" s="54" t="n"/>
      <c r="D311" s="54" t="n"/>
      <c r="E311" s="15" t="n"/>
      <c r="F311" s="17" t="n"/>
      <c r="G311" s="54" t="n"/>
      <c r="H311" s="54" t="n"/>
      <c r="I311" s="15" t="n"/>
      <c r="J311" s="56" t="n"/>
    </row>
    <row r="312" ht="33" customHeight="1">
      <c r="A312" s="53" t="n"/>
      <c r="B312" s="54" t="n"/>
      <c r="C312" s="54" t="n"/>
      <c r="D312" s="54" t="n"/>
      <c r="E312" s="15" t="n"/>
      <c r="F312" s="17" t="n"/>
      <c r="G312" s="54" t="n"/>
      <c r="H312" s="54" t="n"/>
      <c r="I312" s="15" t="n"/>
      <c r="J312" s="56" t="n"/>
    </row>
    <row r="313" ht="33" customHeight="1">
      <c r="A313" s="53" t="n"/>
      <c r="B313" s="54" t="n"/>
      <c r="C313" s="54" t="n"/>
      <c r="D313" s="54" t="n"/>
      <c r="E313" s="15" t="n"/>
      <c r="F313" s="17" t="n"/>
      <c r="G313" s="54" t="n"/>
      <c r="H313" s="54" t="n"/>
      <c r="I313" s="15" t="n"/>
      <c r="J313" s="56" t="n"/>
    </row>
    <row r="314" ht="33" customHeight="1">
      <c r="A314" s="53" t="n"/>
      <c r="B314" s="54" t="n"/>
      <c r="C314" s="54" t="n"/>
      <c r="D314" s="54" t="n"/>
      <c r="E314" s="15" t="n"/>
      <c r="F314" s="17" t="n"/>
      <c r="G314" s="54" t="n"/>
      <c r="H314" s="54" t="n"/>
      <c r="I314" s="15" t="n"/>
      <c r="J314" s="56" t="n"/>
    </row>
    <row r="315" ht="33" customHeight="1">
      <c r="A315" s="53" t="n"/>
      <c r="B315" s="54" t="n"/>
      <c r="C315" s="54" t="n"/>
      <c r="D315" s="54" t="n"/>
      <c r="E315" s="15" t="n"/>
      <c r="F315" s="17" t="n"/>
      <c r="G315" s="54" t="n"/>
      <c r="H315" s="54" t="n"/>
      <c r="I315" s="15" t="n"/>
      <c r="J315" s="56" t="n"/>
    </row>
    <row r="316" ht="33" customHeight="1">
      <c r="A316" s="53" t="n"/>
      <c r="B316" s="54" t="n"/>
      <c r="C316" s="54" t="n"/>
      <c r="D316" s="54" t="n"/>
      <c r="E316" s="15" t="n"/>
      <c r="F316" s="17" t="n"/>
      <c r="G316" s="54" t="n"/>
      <c r="H316" s="54" t="n"/>
      <c r="I316" s="15" t="n"/>
      <c r="J316" s="56" t="n"/>
    </row>
    <row r="317" ht="33" customHeight="1">
      <c r="A317" s="53" t="n"/>
      <c r="B317" s="54" t="n"/>
      <c r="C317" s="54" t="n"/>
      <c r="D317" s="54" t="n"/>
      <c r="E317" s="15" t="n"/>
      <c r="F317" s="17" t="n"/>
      <c r="G317" s="54" t="n"/>
      <c r="H317" s="54" t="n"/>
      <c r="I317" s="15" t="n"/>
      <c r="J317" s="56" t="n"/>
    </row>
    <row r="318" ht="33" customHeight="1">
      <c r="A318" s="53" t="n"/>
      <c r="B318" s="54" t="n"/>
      <c r="C318" s="54" t="n"/>
      <c r="D318" s="54" t="n"/>
      <c r="E318" s="15" t="n"/>
      <c r="F318" s="17" t="n"/>
      <c r="G318" s="54" t="n"/>
      <c r="H318" s="54" t="n"/>
      <c r="I318" s="15" t="n"/>
      <c r="J318" s="56" t="n"/>
    </row>
    <row r="319" ht="33" customHeight="1">
      <c r="A319" s="53" t="n"/>
      <c r="B319" s="54" t="n"/>
      <c r="C319" s="54" t="n"/>
      <c r="D319" s="54" t="n"/>
      <c r="E319" s="15" t="n"/>
      <c r="F319" s="17" t="n"/>
      <c r="G319" s="54" t="n"/>
      <c r="H319" s="54" t="n"/>
      <c r="I319" s="15" t="n"/>
      <c r="J319" s="56" t="n"/>
    </row>
    <row r="320" ht="33" customHeight="1">
      <c r="A320" s="53" t="n"/>
      <c r="B320" s="54" t="n"/>
      <c r="C320" s="54" t="n"/>
      <c r="D320" s="54" t="n"/>
      <c r="E320" s="15" t="n"/>
      <c r="F320" s="17" t="n"/>
      <c r="G320" s="54" t="n"/>
      <c r="H320" s="54" t="n"/>
      <c r="I320" s="15" t="n"/>
      <c r="J320" s="56" t="n"/>
    </row>
    <row r="321" ht="33" customHeight="1">
      <c r="A321" s="53" t="n"/>
      <c r="B321" s="54" t="n"/>
      <c r="C321" s="54" t="n"/>
      <c r="D321" s="54" t="n"/>
      <c r="E321" s="15" t="n"/>
      <c r="F321" s="17" t="n"/>
      <c r="G321" s="54" t="n"/>
      <c r="H321" s="54" t="n"/>
      <c r="I321" s="15" t="n"/>
      <c r="J321" s="56" t="n"/>
    </row>
    <row r="322" ht="33" customHeight="1">
      <c r="A322" s="53" t="n"/>
      <c r="B322" s="54" t="n"/>
      <c r="C322" s="54" t="n"/>
      <c r="D322" s="54" t="n"/>
      <c r="E322" s="15" t="n"/>
      <c r="F322" s="17" t="n"/>
      <c r="G322" s="54" t="n"/>
      <c r="H322" s="54" t="n"/>
      <c r="I322" s="15" t="n"/>
      <c r="J322" s="56" t="n"/>
    </row>
    <row r="323" ht="33" customHeight="1">
      <c r="A323" s="53" t="n"/>
      <c r="B323" s="54" t="n"/>
      <c r="C323" s="54" t="n"/>
      <c r="D323" s="54" t="n"/>
      <c r="E323" s="15" t="n"/>
      <c r="F323" s="17" t="n"/>
      <c r="G323" s="54" t="n"/>
      <c r="H323" s="54" t="n"/>
      <c r="I323" s="15" t="n"/>
      <c r="J323" s="56" t="n"/>
    </row>
    <row r="324" ht="33" customHeight="1">
      <c r="A324" s="53" t="n"/>
      <c r="B324" s="54" t="n"/>
      <c r="C324" s="54" t="n"/>
      <c r="D324" s="54" t="n"/>
      <c r="E324" s="15" t="n"/>
      <c r="F324" s="17" t="n"/>
      <c r="G324" s="54" t="n"/>
      <c r="H324" s="54" t="n"/>
      <c r="I324" s="15" t="n"/>
      <c r="J324" s="56" t="n"/>
    </row>
    <row r="325" ht="33" customHeight="1">
      <c r="A325" s="53" t="n"/>
      <c r="B325" s="54" t="n"/>
      <c r="C325" s="54" t="n"/>
      <c r="D325" s="54" t="n"/>
      <c r="E325" s="15" t="n"/>
      <c r="F325" s="17" t="n"/>
      <c r="G325" s="54" t="n"/>
      <c r="H325" s="54" t="n"/>
      <c r="I325" s="15" t="n"/>
      <c r="J325" s="56" t="n"/>
    </row>
    <row r="326" ht="33" customHeight="1">
      <c r="A326" s="53" t="n"/>
      <c r="B326" s="54" t="n"/>
      <c r="C326" s="54" t="n"/>
      <c r="D326" s="54" t="n"/>
      <c r="E326" s="15" t="n"/>
      <c r="F326" s="17" t="n"/>
      <c r="G326" s="54" t="n"/>
      <c r="H326" s="54" t="n"/>
      <c r="I326" s="15" t="n"/>
      <c r="J326" s="56" t="n"/>
    </row>
    <row r="327" ht="33" customHeight="1">
      <c r="A327" s="53" t="n"/>
      <c r="B327" s="54" t="n"/>
      <c r="C327" s="54" t="n"/>
      <c r="D327" s="54" t="n"/>
      <c r="E327" s="15" t="n"/>
      <c r="F327" s="17" t="n"/>
      <c r="G327" s="54" t="n"/>
      <c r="H327" s="54" t="n"/>
      <c r="I327" s="15" t="n"/>
      <c r="J327" s="56" t="n"/>
    </row>
    <row r="328" ht="33" customHeight="1">
      <c r="A328" s="53" t="n"/>
      <c r="B328" s="54" t="n"/>
      <c r="C328" s="54" t="n"/>
      <c r="D328" s="54" t="n"/>
      <c r="E328" s="15" t="n"/>
      <c r="F328" s="17" t="n"/>
      <c r="G328" s="54" t="n"/>
      <c r="H328" s="54" t="n"/>
      <c r="I328" s="15" t="n"/>
      <c r="J328" s="56" t="n"/>
    </row>
    <row r="329" ht="33" customHeight="1">
      <c r="A329" s="53" t="n"/>
      <c r="B329" s="54" t="n"/>
      <c r="C329" s="54" t="n"/>
      <c r="D329" s="54" t="n"/>
      <c r="E329" s="15" t="n"/>
      <c r="F329" s="17" t="n"/>
      <c r="G329" s="54" t="n"/>
      <c r="H329" s="54" t="n"/>
      <c r="I329" s="15" t="n"/>
      <c r="J329" s="56" t="n"/>
    </row>
    <row r="330" ht="33" customHeight="1">
      <c r="A330" s="53" t="n"/>
      <c r="B330" s="54" t="n"/>
      <c r="C330" s="54" t="n"/>
      <c r="D330" s="54" t="n"/>
      <c r="E330" s="15" t="n"/>
      <c r="F330" s="17" t="n"/>
      <c r="G330" s="54" t="n"/>
      <c r="H330" s="54" t="n"/>
      <c r="I330" s="15" t="n"/>
      <c r="J330" s="56" t="n"/>
    </row>
    <row r="331" ht="33" customHeight="1">
      <c r="A331" s="53" t="n"/>
      <c r="B331" s="54" t="n"/>
      <c r="C331" s="54" t="n"/>
      <c r="D331" s="54" t="n"/>
      <c r="E331" s="15" t="n"/>
      <c r="F331" s="17" t="n"/>
      <c r="G331" s="54" t="n"/>
      <c r="H331" s="54" t="n"/>
      <c r="I331" s="15" t="n"/>
      <c r="J331" s="56" t="n"/>
    </row>
    <row r="332" ht="33" customHeight="1">
      <c r="A332" s="53" t="n"/>
      <c r="B332" s="54" t="n"/>
      <c r="C332" s="54" t="n"/>
      <c r="D332" s="54" t="n"/>
      <c r="E332" s="15" t="n"/>
      <c r="F332" s="17" t="n"/>
      <c r="G332" s="54" t="n"/>
      <c r="H332" s="54" t="n"/>
      <c r="I332" s="15" t="n"/>
      <c r="J332" s="56" t="n"/>
    </row>
    <row r="333" ht="33" customHeight="1">
      <c r="A333" s="53" t="n"/>
      <c r="B333" s="54" t="n"/>
      <c r="C333" s="54" t="n"/>
      <c r="D333" s="54" t="n"/>
      <c r="E333" s="15" t="n"/>
      <c r="F333" s="17" t="n"/>
      <c r="G333" s="54" t="n"/>
      <c r="H333" s="54" t="n"/>
      <c r="I333" s="15" t="n"/>
      <c r="J333" s="56" t="n"/>
    </row>
    <row r="334" ht="33" customHeight="1">
      <c r="A334" s="53" t="n"/>
      <c r="B334" s="54" t="n"/>
      <c r="C334" s="54" t="n"/>
      <c r="D334" s="54" t="n"/>
      <c r="E334" s="15" t="n"/>
      <c r="F334" s="17" t="n"/>
      <c r="G334" s="54" t="n"/>
      <c r="H334" s="54" t="n"/>
      <c r="I334" s="15" t="n"/>
      <c r="J334" s="56" t="n"/>
    </row>
    <row r="335" ht="33" customHeight="1">
      <c r="A335" s="53" t="n"/>
      <c r="B335" s="54" t="n"/>
      <c r="C335" s="54" t="n"/>
      <c r="D335" s="54" t="n"/>
      <c r="E335" s="15" t="n"/>
      <c r="F335" s="17" t="n"/>
      <c r="G335" s="54" t="n"/>
      <c r="H335" s="54" t="n"/>
      <c r="I335" s="15" t="n"/>
      <c r="J335" s="56" t="n"/>
    </row>
    <row r="336" ht="33" customHeight="1">
      <c r="A336" s="53" t="n"/>
      <c r="B336" s="54" t="n"/>
      <c r="C336" s="54" t="n"/>
      <c r="D336" s="54" t="n"/>
      <c r="E336" s="15" t="n"/>
      <c r="F336" s="17" t="n"/>
      <c r="G336" s="54" t="n"/>
      <c r="H336" s="54" t="n"/>
      <c r="I336" s="15" t="n"/>
      <c r="J336" s="56" t="n"/>
    </row>
    <row r="337" ht="33" customHeight="1">
      <c r="A337" s="53" t="n"/>
      <c r="B337" s="54" t="n"/>
      <c r="C337" s="54" t="n"/>
      <c r="D337" s="54" t="n"/>
      <c r="E337" s="15" t="n"/>
      <c r="F337" s="17" t="n"/>
      <c r="G337" s="54" t="n"/>
      <c r="H337" s="54" t="n"/>
      <c r="I337" s="15" t="n"/>
      <c r="J337" s="56" t="n"/>
    </row>
    <row r="338" ht="33" customHeight="1">
      <c r="A338" s="53" t="n"/>
      <c r="B338" s="54" t="n"/>
      <c r="C338" s="54" t="n"/>
      <c r="D338" s="54" t="n"/>
      <c r="E338" s="15" t="n"/>
      <c r="F338" s="17" t="n"/>
      <c r="G338" s="54" t="n"/>
      <c r="H338" s="54" t="n"/>
      <c r="I338" s="15" t="n"/>
      <c r="J338" s="56" t="n"/>
    </row>
    <row r="339" ht="33" customHeight="1">
      <c r="A339" s="53" t="n"/>
      <c r="B339" s="54" t="n"/>
      <c r="C339" s="54" t="n"/>
      <c r="D339" s="54" t="n"/>
      <c r="E339" s="15" t="n"/>
      <c r="F339" s="17" t="n"/>
      <c r="G339" s="54" t="n"/>
      <c r="H339" s="54" t="n"/>
      <c r="I339" s="15" t="n"/>
      <c r="J339" s="56" t="n"/>
    </row>
    <row r="340" ht="33" customHeight="1">
      <c r="A340" s="53" t="n"/>
      <c r="B340" s="54" t="n"/>
      <c r="C340" s="54" t="n"/>
      <c r="D340" s="54" t="n"/>
      <c r="E340" s="15" t="n"/>
      <c r="F340" s="17" t="n"/>
      <c r="G340" s="54" t="n"/>
      <c r="H340" s="54" t="n"/>
      <c r="I340" s="15" t="n"/>
      <c r="J340" s="56" t="n"/>
    </row>
    <row r="341" ht="33" customHeight="1">
      <c r="A341" s="53" t="n"/>
      <c r="B341" s="54" t="n"/>
      <c r="C341" s="54" t="n"/>
      <c r="D341" s="54" t="n"/>
      <c r="E341" s="15" t="n"/>
      <c r="F341" s="17" t="n"/>
      <c r="G341" s="54" t="n"/>
      <c r="H341" s="54" t="n"/>
      <c r="I341" s="15" t="n"/>
      <c r="J341" s="56" t="n"/>
    </row>
    <row r="342" ht="33" customHeight="1">
      <c r="A342" s="53" t="n"/>
      <c r="B342" s="54" t="n"/>
      <c r="C342" s="54" t="n"/>
      <c r="D342" s="54" t="n"/>
      <c r="E342" s="15" t="n"/>
      <c r="F342" s="17" t="n"/>
      <c r="G342" s="54" t="n"/>
      <c r="H342" s="54" t="n"/>
      <c r="I342" s="15" t="n"/>
      <c r="J342" s="56" t="n"/>
    </row>
    <row r="343" ht="33" customHeight="1">
      <c r="A343" s="53" t="n"/>
      <c r="B343" s="54" t="n"/>
      <c r="C343" s="54" t="n"/>
      <c r="D343" s="54" t="n"/>
      <c r="E343" s="15" t="n"/>
      <c r="F343" s="17" t="n"/>
      <c r="G343" s="54" t="n"/>
      <c r="H343" s="54" t="n"/>
      <c r="I343" s="15" t="n"/>
      <c r="J343" s="56" t="n"/>
    </row>
    <row r="344" ht="33" customHeight="1">
      <c r="A344" s="53" t="n"/>
      <c r="B344" s="54" t="n"/>
      <c r="C344" s="54" t="n"/>
      <c r="D344" s="54" t="n"/>
      <c r="E344" s="15" t="n"/>
      <c r="F344" s="17" t="n"/>
      <c r="G344" s="54" t="n"/>
      <c r="H344" s="54" t="n"/>
      <c r="I344" s="15" t="n"/>
      <c r="J344" s="56" t="n"/>
    </row>
    <row r="345" ht="33" customHeight="1">
      <c r="A345" s="53" t="n"/>
      <c r="B345" s="54" t="n"/>
      <c r="C345" s="54" t="n"/>
      <c r="D345" s="54" t="n"/>
      <c r="E345" s="15" t="n"/>
      <c r="F345" s="17" t="n"/>
      <c r="G345" s="54" t="n"/>
      <c r="H345" s="54" t="n"/>
      <c r="I345" s="15" t="n"/>
      <c r="J345" s="56" t="n"/>
    </row>
    <row r="346" ht="33" customHeight="1">
      <c r="A346" s="53" t="n"/>
      <c r="B346" s="54" t="n"/>
      <c r="C346" s="54" t="n"/>
      <c r="D346" s="54" t="n"/>
      <c r="E346" s="15" t="n"/>
      <c r="F346" s="17" t="n"/>
      <c r="G346" s="54" t="n"/>
      <c r="H346" s="54" t="n"/>
      <c r="I346" s="15" t="n"/>
      <c r="J346" s="56" t="n"/>
    </row>
    <row r="347" ht="33" customHeight="1">
      <c r="A347" s="53" t="n"/>
      <c r="B347" s="54" t="n"/>
      <c r="C347" s="54" t="n"/>
      <c r="D347" s="54" t="n"/>
      <c r="E347" s="15" t="n"/>
      <c r="F347" s="17" t="n"/>
      <c r="G347" s="54" t="n"/>
      <c r="H347" s="54" t="n"/>
      <c r="I347" s="15" t="n"/>
      <c r="J347" s="56" t="n"/>
    </row>
    <row r="348" ht="33" customHeight="1">
      <c r="A348" s="53" t="n"/>
      <c r="B348" s="54" t="n"/>
      <c r="C348" s="54" t="n"/>
      <c r="D348" s="54" t="n"/>
      <c r="E348" s="15" t="n"/>
      <c r="F348" s="17" t="n"/>
      <c r="G348" s="54" t="n"/>
      <c r="H348" s="54" t="n"/>
      <c r="I348" s="15" t="n"/>
      <c r="J348" s="56" t="n"/>
    </row>
    <row r="349" ht="33" customHeight="1">
      <c r="A349" s="53" t="n"/>
      <c r="B349" s="54" t="n"/>
      <c r="C349" s="54" t="n"/>
      <c r="D349" s="54" t="n"/>
      <c r="E349" s="15" t="n"/>
      <c r="F349" s="17" t="n"/>
      <c r="G349" s="54" t="n"/>
      <c r="H349" s="54" t="n"/>
      <c r="I349" s="15" t="n"/>
      <c r="J349" s="56" t="n"/>
    </row>
    <row r="350" ht="33" customHeight="1">
      <c r="A350" s="53" t="n"/>
      <c r="B350" s="54" t="n"/>
      <c r="C350" s="54" t="n"/>
      <c r="D350" s="54" t="n"/>
      <c r="E350" s="15" t="n"/>
      <c r="F350" s="17" t="n"/>
      <c r="G350" s="54" t="n"/>
      <c r="H350" s="54" t="n"/>
      <c r="I350" s="15" t="n"/>
      <c r="J350" s="56" t="n"/>
    </row>
    <row r="351" ht="33" customHeight="1">
      <c r="A351" s="53" t="n"/>
      <c r="B351" s="54" t="n"/>
      <c r="C351" s="54" t="n"/>
      <c r="D351" s="54" t="n"/>
      <c r="E351" s="15" t="n"/>
      <c r="F351" s="17" t="n"/>
      <c r="G351" s="54" t="n"/>
      <c r="H351" s="54" t="n"/>
      <c r="I351" s="15" t="n"/>
      <c r="J351" s="56" t="n"/>
    </row>
    <row r="352" ht="33" customHeight="1">
      <c r="A352" s="53" t="n"/>
      <c r="B352" s="54" t="n"/>
      <c r="C352" s="54" t="n"/>
      <c r="D352" s="54" t="n"/>
      <c r="E352" s="15" t="n"/>
      <c r="F352" s="17" t="n"/>
      <c r="G352" s="54" t="n"/>
      <c r="H352" s="54" t="n"/>
      <c r="I352" s="15" t="n"/>
      <c r="J352" s="56" t="n"/>
    </row>
    <row r="353" ht="33" customHeight="1">
      <c r="A353" s="53" t="n"/>
      <c r="B353" s="54" t="n"/>
      <c r="C353" s="54" t="n"/>
      <c r="D353" s="54" t="n"/>
      <c r="E353" s="15" t="n"/>
      <c r="F353" s="17" t="n"/>
      <c r="G353" s="54" t="n"/>
      <c r="H353" s="54" t="n"/>
      <c r="I353" s="15" t="n"/>
      <c r="J353" s="56" t="n"/>
    </row>
    <row r="354" ht="33" customHeight="1">
      <c r="A354" s="53" t="n"/>
      <c r="B354" s="54" t="n"/>
      <c r="C354" s="54" t="n"/>
      <c r="D354" s="54" t="n"/>
      <c r="E354" s="15" t="n"/>
      <c r="F354" s="17" t="n"/>
      <c r="G354" s="54" t="n"/>
      <c r="H354" s="54" t="n"/>
      <c r="I354" s="15" t="n"/>
      <c r="J354" s="56" t="n"/>
    </row>
    <row r="355" ht="33" customHeight="1">
      <c r="A355" s="53" t="n"/>
      <c r="B355" s="54" t="n"/>
      <c r="C355" s="54" t="n"/>
      <c r="D355" s="54" t="n"/>
      <c r="E355" s="15" t="n"/>
      <c r="F355" s="17" t="n"/>
      <c r="G355" s="54" t="n"/>
      <c r="H355" s="54" t="n"/>
      <c r="I355" s="15" t="n"/>
      <c r="J355" s="56" t="n"/>
    </row>
    <row r="356" ht="33" customHeight="1">
      <c r="A356" s="53" t="n"/>
      <c r="B356" s="54" t="n"/>
      <c r="C356" s="54" t="n"/>
      <c r="D356" s="54" t="n"/>
      <c r="E356" s="15" t="n"/>
      <c r="F356" s="17" t="n"/>
      <c r="G356" s="54" t="n"/>
      <c r="H356" s="54" t="n"/>
      <c r="I356" s="15" t="n"/>
      <c r="J356" s="56" t="n"/>
    </row>
    <row r="357" ht="33" customHeight="1">
      <c r="A357" s="53" t="n"/>
      <c r="B357" s="54" t="n"/>
      <c r="C357" s="54" t="n"/>
      <c r="D357" s="54" t="n"/>
      <c r="E357" s="15" t="n"/>
      <c r="F357" s="17" t="n"/>
      <c r="G357" s="54" t="n"/>
      <c r="H357" s="54" t="n"/>
      <c r="I357" s="15" t="n"/>
      <c r="J357" s="56" t="n"/>
    </row>
    <row r="358" ht="33" customHeight="1">
      <c r="A358" s="53" t="n"/>
      <c r="B358" s="54" t="n"/>
      <c r="C358" s="54" t="n"/>
      <c r="D358" s="54" t="n"/>
      <c r="E358" s="15" t="n"/>
      <c r="F358" s="17" t="n"/>
      <c r="G358" s="54" t="n"/>
      <c r="H358" s="54" t="n"/>
      <c r="I358" s="15" t="n"/>
      <c r="J358" s="56" t="n"/>
    </row>
    <row r="359" ht="33" customHeight="1">
      <c r="A359" s="53" t="n"/>
      <c r="B359" s="54" t="n"/>
      <c r="C359" s="54" t="n"/>
      <c r="D359" s="54" t="n"/>
      <c r="E359" s="15" t="n"/>
      <c r="F359" s="17" t="n"/>
      <c r="G359" s="54" t="n"/>
      <c r="H359" s="54" t="n"/>
      <c r="I359" s="15" t="n"/>
      <c r="J359" s="56" t="n"/>
    </row>
    <row r="360" ht="33" customHeight="1">
      <c r="A360" s="53" t="n"/>
      <c r="B360" s="54" t="n"/>
      <c r="C360" s="54" t="n"/>
      <c r="D360" s="54" t="n"/>
      <c r="E360" s="15" t="n"/>
      <c r="F360" s="17" t="n"/>
      <c r="G360" s="54" t="n"/>
      <c r="H360" s="54" t="n"/>
      <c r="I360" s="15" t="n"/>
      <c r="J360" s="56" t="n"/>
    </row>
    <row r="361" ht="33" customHeight="1">
      <c r="A361" s="53" t="n"/>
      <c r="B361" s="54" t="n"/>
      <c r="C361" s="54" t="n"/>
      <c r="D361" s="54" t="n"/>
      <c r="E361" s="15" t="n"/>
      <c r="F361" s="17" t="n"/>
      <c r="G361" s="54" t="n"/>
      <c r="H361" s="54" t="n"/>
      <c r="I361" s="15" t="n"/>
      <c r="J361" s="56" t="n"/>
    </row>
    <row r="362" ht="33" customHeight="1">
      <c r="A362" s="53" t="n"/>
      <c r="B362" s="54" t="n"/>
      <c r="C362" s="54" t="n"/>
      <c r="D362" s="54" t="n"/>
      <c r="E362" s="15" t="n"/>
      <c r="F362" s="17" t="n"/>
      <c r="G362" s="54" t="n"/>
      <c r="H362" s="54" t="n"/>
      <c r="I362" s="15" t="n"/>
      <c r="J362" s="56" t="n"/>
    </row>
    <row r="363" ht="33" customHeight="1">
      <c r="A363" s="53" t="n"/>
      <c r="B363" s="54" t="n"/>
      <c r="C363" s="54" t="n"/>
      <c r="D363" s="54" t="n"/>
      <c r="E363" s="15" t="n"/>
      <c r="F363" s="17" t="n"/>
      <c r="G363" s="54" t="n"/>
      <c r="H363" s="54" t="n"/>
      <c r="I363" s="15" t="n"/>
      <c r="J363" s="56" t="n"/>
    </row>
    <row r="364" ht="33" customHeight="1">
      <c r="A364" s="53" t="n"/>
      <c r="B364" s="54" t="n"/>
      <c r="C364" s="54" t="n"/>
      <c r="D364" s="54" t="n"/>
      <c r="E364" s="15" t="n"/>
      <c r="F364" s="17" t="n"/>
      <c r="G364" s="54" t="n"/>
      <c r="H364" s="54" t="n"/>
      <c r="I364" s="15" t="n"/>
      <c r="J364" s="56" t="n"/>
    </row>
    <row r="365" ht="33" customHeight="1">
      <c r="A365" s="53" t="n"/>
      <c r="B365" s="54" t="n"/>
      <c r="C365" s="54" t="n"/>
      <c r="D365" s="54" t="n"/>
      <c r="E365" s="15" t="n"/>
      <c r="F365" s="17" t="n"/>
      <c r="G365" s="54" t="n"/>
      <c r="H365" s="54" t="n"/>
      <c r="I365" s="15" t="n"/>
      <c r="J365" s="56" t="n"/>
    </row>
    <row r="366" ht="33" customHeight="1">
      <c r="A366" s="53" t="n"/>
      <c r="B366" s="54" t="n"/>
      <c r="C366" s="54" t="n"/>
      <c r="D366" s="54" t="n"/>
      <c r="E366" s="15" t="n"/>
      <c r="F366" s="17" t="n"/>
      <c r="G366" s="54" t="n"/>
      <c r="H366" s="54" t="n"/>
      <c r="I366" s="15" t="n"/>
      <c r="J366" s="56" t="n"/>
    </row>
    <row r="367" ht="33" customHeight="1">
      <c r="A367" s="53" t="n"/>
      <c r="B367" s="54" t="n"/>
      <c r="C367" s="54" t="n"/>
      <c r="D367" s="54" t="n"/>
      <c r="E367" s="15" t="n"/>
      <c r="F367" s="17" t="n"/>
      <c r="G367" s="54" t="n"/>
      <c r="H367" s="54" t="n"/>
      <c r="I367" s="15" t="n"/>
      <c r="J367" s="56" t="n"/>
    </row>
    <row r="368" ht="33" customHeight="1">
      <c r="A368" s="53" t="n"/>
      <c r="B368" s="54" t="n"/>
      <c r="C368" s="54" t="n"/>
      <c r="D368" s="54" t="n"/>
      <c r="E368" s="15" t="n"/>
      <c r="F368" s="17" t="n"/>
      <c r="G368" s="54" t="n"/>
      <c r="H368" s="54" t="n"/>
      <c r="I368" s="15" t="n"/>
      <c r="J368" s="56" t="n"/>
    </row>
    <row r="369" ht="33" customHeight="1">
      <c r="A369" s="53" t="n"/>
      <c r="B369" s="54" t="n"/>
      <c r="C369" s="54" t="n"/>
      <c r="D369" s="54" t="n"/>
      <c r="E369" s="15" t="n"/>
      <c r="F369" s="17" t="n"/>
      <c r="G369" s="54" t="n"/>
      <c r="H369" s="54" t="n"/>
      <c r="I369" s="15" t="n"/>
      <c r="J369" s="56" t="n"/>
    </row>
    <row r="370" ht="33" customHeight="1">
      <c r="A370" s="53" t="n"/>
      <c r="B370" s="54" t="n"/>
      <c r="C370" s="54" t="n"/>
      <c r="D370" s="54" t="n"/>
      <c r="E370" s="15" t="n"/>
      <c r="F370" s="17" t="n"/>
      <c r="G370" s="54" t="n"/>
      <c r="H370" s="54" t="n"/>
      <c r="I370" s="15" t="n"/>
      <c r="J370" s="56" t="n"/>
    </row>
    <row r="371" ht="33" customHeight="1">
      <c r="A371" s="53" t="n"/>
      <c r="B371" s="54" t="n"/>
      <c r="C371" s="54" t="n"/>
      <c r="D371" s="54" t="n"/>
      <c r="E371" s="15" t="n"/>
      <c r="F371" s="17" t="n"/>
      <c r="G371" s="54" t="n"/>
      <c r="H371" s="54" t="n"/>
      <c r="I371" s="15" t="n"/>
      <c r="J371" s="56" t="n"/>
    </row>
    <row r="372" ht="33" customHeight="1">
      <c r="A372" s="53" t="n"/>
      <c r="B372" s="54" t="n"/>
      <c r="C372" s="54" t="n"/>
      <c r="D372" s="54" t="n"/>
      <c r="E372" s="15" t="n"/>
      <c r="F372" s="17" t="n"/>
      <c r="G372" s="54" t="n"/>
      <c r="H372" s="54" t="n"/>
      <c r="I372" s="15" t="n"/>
      <c r="J372" s="56" t="n"/>
    </row>
    <row r="373" ht="33" customHeight="1">
      <c r="A373" s="53" t="n"/>
      <c r="B373" s="54" t="n"/>
      <c r="C373" s="54" t="n"/>
      <c r="D373" s="54" t="n"/>
      <c r="E373" s="15" t="n"/>
      <c r="F373" s="17" t="n"/>
      <c r="G373" s="54" t="n"/>
      <c r="H373" s="54" t="n"/>
      <c r="I373" s="15" t="n"/>
      <c r="J373" s="56" t="n"/>
    </row>
    <row r="374" ht="33" customHeight="1">
      <c r="A374" s="53" t="n"/>
      <c r="B374" s="54" t="n"/>
      <c r="C374" s="54" t="n"/>
      <c r="D374" s="54" t="n"/>
      <c r="E374" s="15" t="n"/>
      <c r="F374" s="17" t="n"/>
      <c r="G374" s="54" t="n"/>
      <c r="H374" s="54" t="n"/>
      <c r="I374" s="15" t="n"/>
      <c r="J374" s="56" t="n"/>
    </row>
    <row r="375" ht="33" customHeight="1">
      <c r="A375" s="53" t="n"/>
      <c r="B375" s="54" t="n"/>
      <c r="C375" s="54" t="n"/>
      <c r="D375" s="54" t="n"/>
      <c r="E375" s="15" t="n"/>
      <c r="F375" s="17" t="n"/>
      <c r="G375" s="54" t="n"/>
      <c r="H375" s="54" t="n"/>
      <c r="I375" s="15" t="n"/>
      <c r="J375" s="56" t="n"/>
    </row>
    <row r="376" ht="33" customHeight="1">
      <c r="A376" s="53" t="n"/>
      <c r="B376" s="54" t="n"/>
      <c r="C376" s="54" t="n"/>
      <c r="D376" s="54" t="n"/>
      <c r="E376" s="15" t="n"/>
      <c r="F376" s="17" t="n"/>
      <c r="G376" s="54" t="n"/>
      <c r="H376" s="54" t="n"/>
      <c r="I376" s="15" t="n"/>
      <c r="J376" s="56" t="n"/>
    </row>
    <row r="377" ht="33" customHeight="1">
      <c r="A377" s="53" t="n"/>
      <c r="B377" s="54" t="n"/>
      <c r="C377" s="54" t="n"/>
      <c r="D377" s="54" t="n"/>
      <c r="E377" s="15" t="n"/>
      <c r="F377" s="17" t="n"/>
      <c r="G377" s="54" t="n"/>
      <c r="H377" s="54" t="n"/>
      <c r="I377" s="15" t="n"/>
      <c r="J377" s="56" t="n"/>
    </row>
    <row r="378" ht="33" customHeight="1">
      <c r="A378" s="53" t="n"/>
      <c r="B378" s="54" t="n"/>
      <c r="C378" s="54" t="n"/>
      <c r="D378" s="54" t="n"/>
      <c r="E378" s="15" t="n"/>
      <c r="F378" s="17" t="n"/>
      <c r="G378" s="54" t="n"/>
      <c r="H378" s="54" t="n"/>
      <c r="I378" s="15" t="n"/>
      <c r="J378" s="56" t="n"/>
    </row>
    <row r="379" ht="33" customHeight="1">
      <c r="A379" s="53" t="n"/>
      <c r="B379" s="54" t="n"/>
      <c r="C379" s="54" t="n"/>
      <c r="D379" s="54" t="n"/>
      <c r="E379" s="15" t="n"/>
      <c r="F379" s="17" t="n"/>
      <c r="G379" s="54" t="n"/>
      <c r="H379" s="54" t="n"/>
      <c r="I379" s="15" t="n"/>
      <c r="J379" s="56" t="n"/>
    </row>
    <row r="380" ht="33" customHeight="1">
      <c r="A380" s="53" t="n"/>
      <c r="B380" s="54" t="n"/>
      <c r="C380" s="54" t="n"/>
      <c r="D380" s="54" t="n"/>
      <c r="E380" s="15" t="n"/>
      <c r="F380" s="17" t="n"/>
      <c r="G380" s="54" t="n"/>
      <c r="H380" s="54" t="n"/>
      <c r="I380" s="15" t="n"/>
      <c r="J380" s="56" t="n"/>
    </row>
    <row r="381" ht="33" customHeight="1">
      <c r="A381" s="53" t="n"/>
      <c r="B381" s="54" t="n"/>
      <c r="C381" s="54" t="n"/>
      <c r="D381" s="54" t="n"/>
      <c r="E381" s="15" t="n"/>
      <c r="F381" s="17" t="n"/>
      <c r="G381" s="54" t="n"/>
      <c r="H381" s="54" t="n"/>
      <c r="I381" s="15" t="n"/>
      <c r="J381" s="56" t="n"/>
    </row>
    <row r="382" ht="33" customHeight="1">
      <c r="A382" s="53" t="n"/>
      <c r="B382" s="54" t="n"/>
      <c r="C382" s="54" t="n"/>
      <c r="D382" s="54" t="n"/>
      <c r="E382" s="15" t="n"/>
      <c r="F382" s="17" t="n"/>
      <c r="G382" s="54" t="n"/>
      <c r="H382" s="54" t="n"/>
      <c r="I382" s="15" t="n"/>
      <c r="J382" s="56" t="n"/>
    </row>
    <row r="383" ht="33" customHeight="1">
      <c r="A383" s="53" t="n"/>
      <c r="B383" s="54" t="n"/>
      <c r="C383" s="54" t="n"/>
      <c r="D383" s="54" t="n"/>
      <c r="E383" s="15" t="n"/>
      <c r="F383" s="17" t="n"/>
      <c r="G383" s="54" t="n"/>
      <c r="H383" s="54" t="n"/>
      <c r="I383" s="15" t="n"/>
      <c r="J383" s="56" t="n"/>
    </row>
    <row r="384" ht="33" customHeight="1">
      <c r="A384" s="53" t="n"/>
      <c r="B384" s="54" t="n"/>
      <c r="C384" s="54" t="n"/>
      <c r="D384" s="54" t="n"/>
      <c r="E384" s="15" t="n"/>
      <c r="F384" s="17" t="n"/>
      <c r="G384" s="54" t="n"/>
      <c r="H384" s="54" t="n"/>
      <c r="I384" s="15" t="n"/>
      <c r="J384" s="56" t="n"/>
    </row>
    <row r="385" ht="33" customHeight="1">
      <c r="A385" s="53" t="n"/>
      <c r="B385" s="54" t="n"/>
      <c r="C385" s="54" t="n"/>
      <c r="D385" s="54" t="n"/>
      <c r="E385" s="15" t="n"/>
      <c r="F385" s="17" t="n"/>
      <c r="G385" s="54" t="n"/>
      <c r="H385" s="54" t="n"/>
      <c r="I385" s="15" t="n"/>
      <c r="J385" s="56" t="n"/>
    </row>
    <row r="386" ht="33" customHeight="1">
      <c r="A386" s="53" t="n"/>
      <c r="B386" s="54" t="n"/>
      <c r="C386" s="54" t="n"/>
      <c r="D386" s="54" t="n"/>
      <c r="E386" s="15" t="n"/>
      <c r="F386" s="17" t="n"/>
      <c r="G386" s="54" t="n"/>
      <c r="H386" s="54" t="n"/>
      <c r="I386" s="15" t="n"/>
      <c r="J386" s="56" t="n"/>
    </row>
    <row r="387" ht="33" customHeight="1">
      <c r="A387" s="53" t="n"/>
      <c r="B387" s="54" t="n"/>
      <c r="C387" s="54" t="n"/>
      <c r="D387" s="54" t="n"/>
      <c r="E387" s="15" t="n"/>
      <c r="F387" s="17" t="n"/>
      <c r="G387" s="54" t="n"/>
      <c r="H387" s="54" t="n"/>
      <c r="I387" s="15" t="n"/>
      <c r="J387" s="56" t="n"/>
    </row>
    <row r="388" ht="33" customHeight="1">
      <c r="A388" s="53" t="n"/>
      <c r="B388" s="54" t="n"/>
      <c r="C388" s="54" t="n"/>
      <c r="D388" s="54" t="n"/>
      <c r="E388" s="15" t="n"/>
      <c r="F388" s="17" t="n"/>
      <c r="G388" s="54" t="n"/>
      <c r="H388" s="54" t="n"/>
      <c r="I388" s="15" t="n"/>
      <c r="J388" s="56" t="n"/>
    </row>
    <row r="389" ht="33" customHeight="1">
      <c r="A389" s="53" t="n"/>
      <c r="B389" s="54" t="n"/>
      <c r="C389" s="54" t="n"/>
      <c r="D389" s="54" t="n"/>
      <c r="E389" s="15" t="n"/>
      <c r="F389" s="17" t="n"/>
      <c r="G389" s="54" t="n"/>
      <c r="H389" s="54" t="n"/>
      <c r="I389" s="15" t="n"/>
      <c r="J389" s="56" t="n"/>
    </row>
    <row r="390" ht="33" customHeight="1">
      <c r="A390" s="53" t="n"/>
      <c r="B390" s="54" t="n"/>
      <c r="C390" s="54" t="n"/>
      <c r="D390" s="54" t="n"/>
      <c r="E390" s="15" t="n"/>
      <c r="F390" s="17" t="n"/>
      <c r="G390" s="54" t="n"/>
      <c r="H390" s="54" t="n"/>
      <c r="I390" s="15" t="n"/>
      <c r="J390" s="56" t="n"/>
    </row>
    <row r="391" ht="33" customHeight="1">
      <c r="A391" s="53" t="n"/>
      <c r="B391" s="54" t="n"/>
      <c r="C391" s="54" t="n"/>
      <c r="D391" s="54" t="n"/>
      <c r="E391" s="15" t="n"/>
      <c r="F391" s="17" t="n"/>
      <c r="G391" s="54" t="n"/>
      <c r="H391" s="54" t="n"/>
      <c r="I391" s="15" t="n"/>
      <c r="J391" s="56" t="n"/>
    </row>
    <row r="392" ht="33" customHeight="1">
      <c r="A392" s="53" t="n"/>
      <c r="B392" s="54" t="n"/>
      <c r="C392" s="54" t="n"/>
      <c r="D392" s="54" t="n"/>
      <c r="E392" s="15" t="n"/>
      <c r="F392" s="17" t="n"/>
      <c r="G392" s="54" t="n"/>
      <c r="H392" s="54" t="n"/>
      <c r="I392" s="15" t="n"/>
      <c r="J392" s="56" t="n"/>
    </row>
    <row r="393" ht="33" customHeight="1">
      <c r="A393" s="53" t="n"/>
      <c r="B393" s="54" t="n"/>
      <c r="C393" s="54" t="n"/>
      <c r="D393" s="54" t="n"/>
      <c r="E393" s="15" t="n"/>
      <c r="F393" s="17" t="n"/>
      <c r="G393" s="54" t="n"/>
      <c r="H393" s="54" t="n"/>
      <c r="I393" s="15" t="n"/>
      <c r="J393" s="56" t="n"/>
    </row>
    <row r="394" ht="33" customHeight="1">
      <c r="A394" s="53" t="n"/>
      <c r="B394" s="54" t="n"/>
      <c r="C394" s="54" t="n"/>
      <c r="D394" s="54" t="n"/>
      <c r="E394" s="15" t="n"/>
      <c r="F394" s="17" t="n"/>
      <c r="G394" s="54" t="n"/>
      <c r="H394" s="54" t="n"/>
      <c r="I394" s="15" t="n"/>
      <c r="J394" s="56" t="n"/>
    </row>
    <row r="395" ht="33" customHeight="1">
      <c r="A395" s="53" t="n"/>
      <c r="B395" s="54" t="n"/>
      <c r="C395" s="54" t="n"/>
      <c r="D395" s="54" t="n"/>
      <c r="E395" s="15" t="n"/>
      <c r="F395" s="17" t="n"/>
      <c r="G395" s="54" t="n"/>
      <c r="H395" s="54" t="n"/>
      <c r="I395" s="15" t="n"/>
      <c r="J395" s="56" t="n"/>
    </row>
    <row r="396" ht="33" customHeight="1">
      <c r="A396" s="53" t="n"/>
      <c r="B396" s="54" t="n"/>
      <c r="C396" s="54" t="n"/>
      <c r="D396" s="54" t="n"/>
      <c r="E396" s="15" t="n"/>
      <c r="F396" s="17" t="n"/>
      <c r="G396" s="54" t="n"/>
      <c r="H396" s="54" t="n"/>
      <c r="I396" s="15" t="n"/>
      <c r="J396" s="56" t="n"/>
    </row>
    <row r="397" ht="33" customHeight="1">
      <c r="A397" s="53" t="n"/>
      <c r="B397" s="54" t="n"/>
      <c r="C397" s="54" t="n"/>
      <c r="D397" s="54" t="n"/>
      <c r="E397" s="15" t="n"/>
      <c r="F397" s="17" t="n"/>
      <c r="G397" s="54" t="n"/>
      <c r="H397" s="54" t="n"/>
      <c r="I397" s="15" t="n"/>
      <c r="J397" s="56" t="n"/>
    </row>
    <row r="398" ht="33" customHeight="1">
      <c r="A398" s="53" t="n"/>
      <c r="B398" s="54" t="n"/>
      <c r="C398" s="54" t="n"/>
      <c r="D398" s="54" t="n"/>
      <c r="E398" s="15" t="n"/>
      <c r="F398" s="17" t="n"/>
      <c r="G398" s="54" t="n"/>
      <c r="H398" s="54" t="n"/>
      <c r="I398" s="15" t="n"/>
      <c r="J398" s="56" t="n"/>
    </row>
    <row r="399" ht="33" customHeight="1">
      <c r="A399" s="53" t="n"/>
      <c r="B399" s="54" t="n"/>
      <c r="C399" s="54" t="n"/>
      <c r="D399" s="54" t="n"/>
      <c r="E399" s="15" t="n"/>
      <c r="F399" s="17" t="n"/>
      <c r="G399" s="54" t="n"/>
      <c r="H399" s="54" t="n"/>
      <c r="I399" s="15" t="n"/>
      <c r="J399" s="56" t="n"/>
    </row>
    <row r="400" ht="33" customHeight="1">
      <c r="A400" s="53" t="n"/>
      <c r="B400" s="54" t="n"/>
      <c r="C400" s="54" t="n"/>
      <c r="D400" s="54" t="n"/>
      <c r="E400" s="15" t="n"/>
      <c r="F400" s="17" t="n"/>
      <c r="G400" s="54" t="n"/>
      <c r="H400" s="54" t="n"/>
      <c r="I400" s="15" t="n"/>
      <c r="J400" s="56" t="n"/>
    </row>
    <row r="401" ht="33" customHeight="1">
      <c r="A401" s="53" t="n"/>
      <c r="B401" s="54" t="n"/>
      <c r="C401" s="54" t="n"/>
      <c r="D401" s="54" t="n"/>
      <c r="E401" s="15" t="n"/>
      <c r="F401" s="17" t="n"/>
      <c r="G401" s="54" t="n"/>
      <c r="H401" s="54" t="n"/>
      <c r="I401" s="15" t="n"/>
      <c r="J401" s="56" t="n"/>
    </row>
    <row r="402" ht="33" customHeight="1">
      <c r="A402" s="53" t="n"/>
      <c r="B402" s="54" t="n"/>
      <c r="C402" s="54" t="n"/>
      <c r="D402" s="54" t="n"/>
      <c r="E402" s="15" t="n"/>
      <c r="F402" s="17" t="n"/>
      <c r="G402" s="54" t="n"/>
      <c r="H402" s="54" t="n"/>
      <c r="I402" s="15" t="n"/>
      <c r="J402" s="56" t="n"/>
    </row>
    <row r="403" ht="33" customHeight="1">
      <c r="A403" s="53" t="n"/>
      <c r="B403" s="54" t="n"/>
      <c r="C403" s="54" t="n"/>
      <c r="D403" s="54" t="n"/>
      <c r="E403" s="15" t="n"/>
      <c r="F403" s="17" t="n"/>
      <c r="G403" s="54" t="n"/>
      <c r="H403" s="54" t="n"/>
      <c r="I403" s="15" t="n"/>
      <c r="J403" s="56" t="n"/>
    </row>
    <row r="404" ht="33" customHeight="1">
      <c r="A404" s="53" t="n"/>
      <c r="B404" s="54" t="n"/>
      <c r="C404" s="54" t="n"/>
      <c r="D404" s="54" t="n"/>
      <c r="E404" s="15" t="n"/>
      <c r="F404" s="17" t="n"/>
      <c r="G404" s="54" t="n"/>
      <c r="H404" s="54" t="n"/>
      <c r="I404" s="15" t="n"/>
      <c r="J404" s="56" t="n"/>
    </row>
    <row r="405" ht="33" customHeight="1">
      <c r="A405" s="53" t="n"/>
      <c r="B405" s="54" t="n"/>
      <c r="C405" s="54" t="n"/>
      <c r="D405" s="54" t="n"/>
      <c r="E405" s="15" t="n"/>
      <c r="F405" s="17" t="n"/>
      <c r="G405" s="54" t="n"/>
      <c r="H405" s="54" t="n"/>
      <c r="I405" s="15" t="n"/>
      <c r="J405" s="56" t="n"/>
    </row>
    <row r="406" ht="33" customHeight="1">
      <c r="A406" s="53" t="n"/>
      <c r="B406" s="54" t="n"/>
      <c r="C406" s="54" t="n"/>
      <c r="D406" s="54" t="n"/>
      <c r="E406" s="15" t="n"/>
      <c r="F406" s="17" t="n"/>
      <c r="G406" s="54" t="n"/>
      <c r="H406" s="54" t="n"/>
      <c r="I406" s="15" t="n"/>
      <c r="J406" s="56" t="n"/>
    </row>
    <row r="407" ht="33" customHeight="1">
      <c r="A407" s="53" t="n"/>
      <c r="B407" s="54" t="n"/>
      <c r="C407" s="54" t="n"/>
      <c r="D407" s="54" t="n"/>
      <c r="E407" s="15" t="n"/>
      <c r="F407" s="17" t="n"/>
      <c r="G407" s="54" t="n"/>
      <c r="H407" s="54" t="n"/>
      <c r="I407" s="15" t="n"/>
      <c r="J407" s="56" t="n"/>
    </row>
    <row r="408" ht="33" customHeight="1">
      <c r="A408" s="53" t="n"/>
      <c r="B408" s="54" t="n"/>
      <c r="C408" s="54" t="n"/>
      <c r="D408" s="54" t="n"/>
      <c r="E408" s="15" t="n"/>
      <c r="F408" s="17" t="n"/>
      <c r="G408" s="54" t="n"/>
      <c r="H408" s="54" t="n"/>
      <c r="I408" s="15" t="n"/>
      <c r="J408" s="56" t="n"/>
    </row>
    <row r="409" ht="33" customHeight="1">
      <c r="A409" s="53" t="n"/>
      <c r="B409" s="54" t="n"/>
      <c r="C409" s="54" t="n"/>
      <c r="D409" s="54" t="n"/>
      <c r="E409" s="15" t="n"/>
      <c r="F409" s="17" t="n"/>
      <c r="G409" s="54" t="n"/>
      <c r="H409" s="54" t="n"/>
      <c r="I409" s="15" t="n"/>
      <c r="J409" s="56" t="n"/>
    </row>
    <row r="410" ht="33" customHeight="1">
      <c r="A410" s="53" t="n"/>
      <c r="B410" s="54" t="n"/>
      <c r="C410" s="54" t="n"/>
      <c r="D410" s="54" t="n"/>
      <c r="E410" s="15" t="n"/>
      <c r="F410" s="17" t="n"/>
      <c r="G410" s="54" t="n"/>
      <c r="H410" s="54" t="n"/>
      <c r="I410" s="15" t="n"/>
      <c r="J410" s="56" t="n"/>
    </row>
    <row r="411" ht="33" customHeight="1">
      <c r="A411" s="53" t="n"/>
      <c r="B411" s="54" t="n"/>
      <c r="C411" s="54" t="n"/>
      <c r="D411" s="54" t="n"/>
      <c r="E411" s="15" t="n"/>
      <c r="F411" s="17" t="n"/>
      <c r="G411" s="54" t="n"/>
      <c r="H411" s="54" t="n"/>
      <c r="I411" s="15" t="n"/>
      <c r="J411" s="56" t="n"/>
    </row>
    <row r="412" ht="33" customHeight="1">
      <c r="A412" s="53" t="n"/>
      <c r="B412" s="54" t="n"/>
      <c r="C412" s="54" t="n"/>
      <c r="D412" s="54" t="n"/>
      <c r="E412" s="15" t="n"/>
      <c r="F412" s="17" t="n"/>
      <c r="G412" s="54" t="n"/>
      <c r="H412" s="54" t="n"/>
      <c r="I412" s="15" t="n"/>
      <c r="J412" s="56" t="n"/>
    </row>
    <row r="413" ht="33" customHeight="1">
      <c r="A413" s="53" t="n"/>
      <c r="B413" s="54" t="n"/>
      <c r="C413" s="54" t="n"/>
      <c r="D413" s="54" t="n"/>
      <c r="E413" s="15" t="n"/>
      <c r="F413" s="17" t="n"/>
      <c r="G413" s="54" t="n"/>
      <c r="H413" s="54" t="n"/>
      <c r="I413" s="15" t="n"/>
      <c r="J413" s="56" t="n"/>
    </row>
    <row r="414" ht="33" customHeight="1">
      <c r="A414" s="53" t="n"/>
      <c r="B414" s="54" t="n"/>
      <c r="C414" s="54" t="n"/>
      <c r="D414" s="54" t="n"/>
      <c r="E414" s="15" t="n"/>
      <c r="F414" s="17" t="n"/>
      <c r="G414" s="54" t="n"/>
      <c r="H414" s="54" t="n"/>
      <c r="I414" s="15" t="n"/>
      <c r="J414" s="56" t="n"/>
    </row>
    <row r="415" ht="33" customHeight="1">
      <c r="A415" s="53" t="n"/>
      <c r="B415" s="54" t="n"/>
      <c r="C415" s="54" t="n"/>
      <c r="D415" s="54" t="n"/>
      <c r="E415" s="15" t="n"/>
      <c r="F415" s="17" t="n"/>
      <c r="G415" s="54" t="n"/>
      <c r="H415" s="54" t="n"/>
      <c r="I415" s="15" t="n"/>
      <c r="J415" s="56" t="n"/>
    </row>
    <row r="416" ht="33" customHeight="1">
      <c r="A416" s="53" t="n"/>
      <c r="B416" s="54" t="n"/>
      <c r="C416" s="54" t="n"/>
      <c r="D416" s="54" t="n"/>
      <c r="E416" s="15" t="n"/>
      <c r="F416" s="17" t="n"/>
      <c r="G416" s="54" t="n"/>
      <c r="H416" s="54" t="n"/>
      <c r="I416" s="15" t="n"/>
      <c r="J416" s="56" t="n"/>
    </row>
    <row r="417" ht="33" customHeight="1">
      <c r="A417" s="53" t="n"/>
      <c r="B417" s="54" t="n"/>
      <c r="C417" s="54" t="n"/>
      <c r="D417" s="54" t="n"/>
      <c r="E417" s="15" t="n"/>
      <c r="F417" s="17" t="n"/>
      <c r="G417" s="54" t="n"/>
      <c r="H417" s="54" t="n"/>
      <c r="I417" s="15" t="n"/>
      <c r="J417" s="56" t="n"/>
    </row>
    <row r="418" ht="33" customHeight="1">
      <c r="A418" s="53" t="n"/>
      <c r="B418" s="54" t="n"/>
      <c r="C418" s="54" t="n"/>
      <c r="D418" s="54" t="n"/>
      <c r="E418" s="15" t="n"/>
      <c r="F418" s="17" t="n"/>
      <c r="G418" s="54" t="n"/>
      <c r="H418" s="54" t="n"/>
      <c r="I418" s="15" t="n"/>
      <c r="J418" s="56" t="n"/>
    </row>
    <row r="419" ht="33" customHeight="1">
      <c r="A419" s="53" t="n"/>
      <c r="B419" s="54" t="n"/>
      <c r="C419" s="54" t="n"/>
      <c r="D419" s="54" t="n"/>
      <c r="E419" s="15" t="n"/>
      <c r="F419" s="17" t="n"/>
      <c r="G419" s="54" t="n"/>
      <c r="H419" s="54" t="n"/>
      <c r="I419" s="15" t="n"/>
      <c r="J419" s="56" t="n"/>
    </row>
    <row r="420" ht="33" customHeight="1">
      <c r="A420" s="53" t="n"/>
      <c r="B420" s="54" t="n"/>
      <c r="C420" s="54" t="n"/>
      <c r="D420" s="54" t="n"/>
      <c r="E420" s="15" t="n"/>
      <c r="F420" s="17" t="n"/>
      <c r="G420" s="54" t="n"/>
      <c r="H420" s="54" t="n"/>
      <c r="I420" s="15" t="n"/>
      <c r="J420" s="56" t="n"/>
    </row>
    <row r="421" ht="33" customHeight="1">
      <c r="A421" s="53" t="n"/>
      <c r="B421" s="54" t="n"/>
      <c r="C421" s="54" t="n"/>
      <c r="D421" s="54" t="n"/>
      <c r="E421" s="15" t="n"/>
      <c r="F421" s="17" t="n"/>
      <c r="G421" s="54" t="n"/>
      <c r="H421" s="54" t="n"/>
      <c r="I421" s="15" t="n"/>
      <c r="J421" s="56" t="n"/>
    </row>
    <row r="422" ht="33" customHeight="1">
      <c r="A422" s="53" t="n"/>
      <c r="B422" s="54" t="n"/>
      <c r="C422" s="54" t="n"/>
      <c r="D422" s="54" t="n"/>
      <c r="E422" s="15" t="n"/>
      <c r="F422" s="17" t="n"/>
      <c r="G422" s="54" t="n"/>
      <c r="H422" s="54" t="n"/>
      <c r="I422" s="15" t="n"/>
      <c r="J422" s="56" t="n"/>
    </row>
    <row r="423" ht="33" customHeight="1">
      <c r="A423" s="53" t="n"/>
      <c r="B423" s="54" t="n"/>
      <c r="C423" s="54" t="n"/>
      <c r="D423" s="54" t="n"/>
      <c r="E423" s="15" t="n"/>
      <c r="F423" s="17" t="n"/>
      <c r="G423" s="54" t="n"/>
      <c r="H423" s="54" t="n"/>
      <c r="I423" s="15" t="n"/>
      <c r="J423" s="56" t="n"/>
    </row>
    <row r="424" ht="33" customHeight="1">
      <c r="A424" s="53" t="n"/>
      <c r="B424" s="54" t="n"/>
      <c r="C424" s="54" t="n"/>
      <c r="D424" s="54" t="n"/>
      <c r="E424" s="15" t="n"/>
      <c r="F424" s="17" t="n"/>
      <c r="G424" s="54" t="n"/>
      <c r="H424" s="54" t="n"/>
      <c r="I424" s="15" t="n"/>
      <c r="J424" s="56" t="n"/>
    </row>
    <row r="425" ht="33" customHeight="1">
      <c r="A425" s="53" t="n"/>
      <c r="B425" s="54" t="n"/>
      <c r="C425" s="54" t="n"/>
      <c r="D425" s="54" t="n"/>
      <c r="E425" s="15" t="n"/>
      <c r="F425" s="17" t="n"/>
      <c r="G425" s="54" t="n"/>
      <c r="H425" s="54" t="n"/>
      <c r="I425" s="15" t="n"/>
      <c r="J425" s="56" t="n"/>
    </row>
    <row r="426" ht="33" customHeight="1">
      <c r="A426" s="53" t="n"/>
      <c r="B426" s="54" t="n"/>
      <c r="C426" s="54" t="n"/>
      <c r="D426" s="54" t="n"/>
      <c r="E426" s="15" t="n"/>
      <c r="F426" s="17" t="n"/>
      <c r="G426" s="54" t="n"/>
      <c r="H426" s="54" t="n"/>
      <c r="I426" s="15" t="n"/>
      <c r="J426" s="56" t="n"/>
    </row>
    <row r="427" ht="33" customHeight="1">
      <c r="A427" s="53" t="n"/>
      <c r="B427" s="54" t="n"/>
      <c r="C427" s="54" t="n"/>
      <c r="D427" s="54" t="n"/>
      <c r="E427" s="15" t="n"/>
      <c r="F427" s="17" t="n"/>
      <c r="G427" s="54" t="n"/>
      <c r="H427" s="54" t="n"/>
      <c r="I427" s="15" t="n"/>
      <c r="J427" s="56" t="n"/>
    </row>
    <row r="428" ht="33" customHeight="1">
      <c r="A428" s="53" t="n"/>
      <c r="B428" s="54" t="n"/>
      <c r="C428" s="54" t="n"/>
      <c r="D428" s="54" t="n"/>
      <c r="E428" s="15" t="n"/>
      <c r="F428" s="17" t="n"/>
      <c r="G428" s="54" t="n"/>
      <c r="H428" s="54" t="n"/>
      <c r="I428" s="15" t="n"/>
      <c r="J428" s="56" t="n"/>
    </row>
    <row r="429" ht="33" customHeight="1">
      <c r="A429" s="53" t="n"/>
      <c r="B429" s="54" t="n"/>
      <c r="C429" s="54" t="n"/>
      <c r="D429" s="54" t="n"/>
      <c r="E429" s="15" t="n"/>
      <c r="F429" s="17" t="n"/>
      <c r="G429" s="54" t="n"/>
      <c r="H429" s="54" t="n"/>
      <c r="I429" s="15" t="n"/>
      <c r="J429" s="56" t="n"/>
    </row>
    <row r="430" ht="33" customHeight="1">
      <c r="A430" s="53" t="n"/>
      <c r="B430" s="54" t="n"/>
      <c r="C430" s="54" t="n"/>
      <c r="D430" s="54" t="n"/>
      <c r="E430" s="15" t="n"/>
      <c r="F430" s="17" t="n"/>
      <c r="G430" s="54" t="n"/>
      <c r="H430" s="54" t="n"/>
      <c r="I430" s="15" t="n"/>
      <c r="J430" s="56" t="n"/>
    </row>
    <row r="431" ht="33" customHeight="1">
      <c r="A431" s="53" t="n"/>
      <c r="B431" s="54" t="n"/>
      <c r="C431" s="54" t="n"/>
      <c r="D431" s="54" t="n"/>
      <c r="E431" s="15" t="n"/>
      <c r="F431" s="17" t="n"/>
      <c r="G431" s="54" t="n"/>
      <c r="H431" s="54" t="n"/>
      <c r="I431" s="15" t="n"/>
      <c r="J431" s="56" t="n"/>
    </row>
    <row r="432" ht="33" customHeight="1">
      <c r="A432" s="53" t="n"/>
      <c r="B432" s="54" t="n"/>
      <c r="C432" s="54" t="n"/>
      <c r="D432" s="54" t="n"/>
      <c r="E432" s="15" t="n"/>
      <c r="F432" s="17" t="n"/>
      <c r="G432" s="54" t="n"/>
      <c r="H432" s="54" t="n"/>
      <c r="I432" s="15" t="n"/>
      <c r="J432" s="56" t="n"/>
    </row>
    <row r="433" ht="33" customHeight="1">
      <c r="A433" s="53" t="n"/>
      <c r="B433" s="54" t="n"/>
      <c r="C433" s="54" t="n"/>
      <c r="D433" s="54" t="n"/>
      <c r="E433" s="15" t="n"/>
      <c r="F433" s="17" t="n"/>
      <c r="G433" s="54" t="n"/>
      <c r="H433" s="54" t="n"/>
      <c r="I433" s="15" t="n"/>
      <c r="J433" s="56" t="n"/>
    </row>
    <row r="434" ht="33" customHeight="1">
      <c r="A434" s="53" t="n"/>
      <c r="B434" s="54" t="n"/>
      <c r="C434" s="54" t="n"/>
      <c r="D434" s="54" t="n"/>
      <c r="E434" s="15" t="n"/>
      <c r="F434" s="17" t="n"/>
      <c r="G434" s="54" t="n"/>
      <c r="H434" s="54" t="n"/>
      <c r="I434" s="15" t="n"/>
      <c r="J434" s="56" t="n"/>
    </row>
    <row r="435" ht="33" customHeight="1">
      <c r="A435" s="53" t="n"/>
      <c r="B435" s="54" t="n"/>
      <c r="C435" s="54" t="n"/>
      <c r="D435" s="54" t="n"/>
      <c r="E435" s="15" t="n"/>
      <c r="F435" s="17" t="n"/>
      <c r="G435" s="54" t="n"/>
      <c r="H435" s="54" t="n"/>
      <c r="I435" s="15" t="n"/>
      <c r="J435" s="56" t="n"/>
    </row>
    <row r="436" ht="33" customHeight="1">
      <c r="A436" s="53" t="n"/>
      <c r="B436" s="54" t="n"/>
      <c r="C436" s="54" t="n"/>
      <c r="D436" s="54" t="n"/>
      <c r="E436" s="15" t="n"/>
      <c r="F436" s="17" t="n"/>
      <c r="G436" s="54" t="n"/>
      <c r="H436" s="54" t="n"/>
      <c r="I436" s="15" t="n"/>
      <c r="J436" s="56" t="n"/>
    </row>
    <row r="437" ht="33" customHeight="1">
      <c r="A437" s="53" t="n"/>
      <c r="B437" s="54" t="n"/>
      <c r="C437" s="54" t="n"/>
      <c r="D437" s="54" t="n"/>
      <c r="E437" s="15" t="n"/>
      <c r="F437" s="17" t="n"/>
      <c r="G437" s="54" t="n"/>
      <c r="H437" s="54" t="n"/>
      <c r="I437" s="15" t="n"/>
      <c r="J437" s="56" t="n"/>
    </row>
    <row r="438" ht="33" customHeight="1">
      <c r="A438" s="53" t="n"/>
      <c r="B438" s="54" t="n"/>
      <c r="C438" s="54" t="n"/>
      <c r="D438" s="54" t="n"/>
      <c r="E438" s="15" t="n"/>
      <c r="F438" s="17" t="n"/>
      <c r="G438" s="54" t="n"/>
      <c r="H438" s="54" t="n"/>
      <c r="I438" s="15" t="n"/>
      <c r="J438" s="56" t="n"/>
    </row>
    <row r="439" ht="33" customHeight="1">
      <c r="A439" s="53" t="n"/>
      <c r="B439" s="54" t="n"/>
      <c r="C439" s="54" t="n"/>
      <c r="D439" s="54" t="n"/>
      <c r="E439" s="15" t="n"/>
      <c r="F439" s="17" t="n"/>
      <c r="G439" s="54" t="n"/>
      <c r="H439" s="54" t="n"/>
      <c r="I439" s="15" t="n"/>
      <c r="J439" s="56" t="n"/>
    </row>
    <row r="440" ht="33" customHeight="1">
      <c r="A440" s="53" t="n"/>
      <c r="B440" s="54" t="n"/>
      <c r="C440" s="54" t="n"/>
      <c r="D440" s="54" t="n"/>
      <c r="E440" s="15" t="n"/>
      <c r="F440" s="17" t="n"/>
      <c r="G440" s="54" t="n"/>
      <c r="H440" s="54" t="n"/>
      <c r="I440" s="15" t="n"/>
      <c r="J440" s="56" t="n"/>
    </row>
    <row r="441" ht="33" customHeight="1">
      <c r="A441" s="53" t="n"/>
      <c r="B441" s="54" t="n"/>
      <c r="C441" s="54" t="n"/>
      <c r="D441" s="54" t="n"/>
      <c r="E441" s="15" t="n"/>
      <c r="F441" s="17" t="n"/>
      <c r="G441" s="54" t="n"/>
      <c r="H441" s="54" t="n"/>
      <c r="I441" s="15" t="n"/>
      <c r="J441" s="56" t="n"/>
    </row>
    <row r="442" ht="33" customHeight="1">
      <c r="A442" s="53" t="n"/>
      <c r="B442" s="54" t="n"/>
      <c r="C442" s="54" t="n"/>
      <c r="D442" s="54" t="n"/>
      <c r="E442" s="15" t="n"/>
      <c r="F442" s="17" t="n"/>
      <c r="G442" s="54" t="n"/>
      <c r="H442" s="54" t="n"/>
      <c r="I442" s="15" t="n"/>
      <c r="J442" s="56" t="n"/>
    </row>
    <row r="443" ht="33" customHeight="1">
      <c r="A443" s="53" t="n"/>
      <c r="B443" s="54" t="n"/>
      <c r="C443" s="54" t="n"/>
      <c r="D443" s="54" t="n"/>
      <c r="E443" s="15" t="n"/>
      <c r="F443" s="17" t="n"/>
      <c r="G443" s="54" t="n"/>
      <c r="H443" s="54" t="n"/>
      <c r="I443" s="15" t="n"/>
      <c r="J443" s="56" t="n"/>
    </row>
    <row r="444" ht="33" customHeight="1">
      <c r="A444" s="53" t="n"/>
      <c r="B444" s="54" t="n"/>
      <c r="C444" s="54" t="n"/>
      <c r="D444" s="54" t="n"/>
      <c r="E444" s="15" t="n"/>
      <c r="F444" s="17" t="n"/>
      <c r="G444" s="54" t="n"/>
      <c r="H444" s="54" t="n"/>
      <c r="I444" s="15" t="n"/>
      <c r="J444" s="56" t="n"/>
    </row>
    <row r="445" ht="33" customHeight="1">
      <c r="A445" s="53" t="n"/>
      <c r="B445" s="54" t="n"/>
      <c r="C445" s="54" t="n"/>
      <c r="D445" s="54" t="n"/>
      <c r="E445" s="15" t="n"/>
      <c r="F445" s="17" t="n"/>
      <c r="G445" s="54" t="n"/>
      <c r="H445" s="54" t="n"/>
      <c r="I445" s="15" t="n"/>
      <c r="J445" s="56" t="n"/>
    </row>
    <row r="446" ht="33" customHeight="1">
      <c r="A446" s="53" t="n"/>
      <c r="B446" s="54" t="n"/>
      <c r="C446" s="54" t="n"/>
      <c r="D446" s="54" t="n"/>
      <c r="E446" s="15" t="n"/>
      <c r="F446" s="17" t="n"/>
      <c r="G446" s="54" t="n"/>
      <c r="H446" s="54" t="n"/>
      <c r="I446" s="15" t="n"/>
      <c r="J446" s="56" t="n"/>
    </row>
    <row r="447" ht="33" customHeight="1">
      <c r="A447" s="53" t="n"/>
      <c r="B447" s="54" t="n"/>
      <c r="C447" s="54" t="n"/>
      <c r="D447" s="54" t="n"/>
      <c r="E447" s="15" t="n"/>
      <c r="F447" s="17" t="n"/>
      <c r="G447" s="54" t="n"/>
      <c r="H447" s="54" t="n"/>
      <c r="I447" s="15" t="n"/>
      <c r="J447" s="56" t="n"/>
    </row>
    <row r="448" ht="33" customHeight="1">
      <c r="A448" s="53" t="n"/>
      <c r="B448" s="54" t="n"/>
      <c r="C448" s="54" t="n"/>
      <c r="D448" s="54" t="n"/>
      <c r="E448" s="15" t="n"/>
      <c r="F448" s="17" t="n"/>
      <c r="G448" s="54" t="n"/>
      <c r="H448" s="54" t="n"/>
      <c r="I448" s="15" t="n"/>
      <c r="J448" s="56" t="n"/>
    </row>
    <row r="449" ht="33" customHeight="1">
      <c r="A449" s="53" t="n"/>
      <c r="B449" s="54" t="n"/>
      <c r="C449" s="54" t="n"/>
      <c r="D449" s="54" t="n"/>
      <c r="E449" s="15" t="n"/>
      <c r="F449" s="17" t="n"/>
      <c r="G449" s="54" t="n"/>
      <c r="H449" s="54" t="n"/>
      <c r="I449" s="15" t="n"/>
      <c r="J449" s="56" t="n"/>
    </row>
    <row r="450" ht="33" customHeight="1">
      <c r="A450" s="53" t="n"/>
      <c r="B450" s="54" t="n"/>
      <c r="C450" s="54" t="n"/>
      <c r="D450" s="54" t="n"/>
      <c r="E450" s="15" t="n"/>
      <c r="F450" s="17" t="n"/>
      <c r="G450" s="54" t="n"/>
      <c r="H450" s="54" t="n"/>
      <c r="I450" s="15" t="n"/>
      <c r="J450" s="56" t="n"/>
    </row>
    <row r="451" ht="33" customHeight="1">
      <c r="A451" s="53" t="n"/>
      <c r="B451" s="54" t="n"/>
      <c r="C451" s="54" t="n"/>
      <c r="D451" s="54" t="n"/>
      <c r="E451" s="15" t="n"/>
      <c r="F451" s="17" t="n"/>
      <c r="G451" s="54" t="n"/>
      <c r="H451" s="54" t="n"/>
      <c r="I451" s="15" t="n"/>
      <c r="J451" s="56" t="n"/>
    </row>
    <row r="452" ht="33" customHeight="1">
      <c r="A452" s="53" t="n"/>
      <c r="B452" s="54" t="n"/>
      <c r="C452" s="54" t="n"/>
      <c r="D452" s="54" t="n"/>
      <c r="E452" s="15" t="n"/>
      <c r="F452" s="17" t="n"/>
      <c r="G452" s="54" t="n"/>
      <c r="H452" s="54" t="n"/>
      <c r="I452" s="15" t="n"/>
      <c r="J452" s="56" t="n"/>
    </row>
    <row r="453" ht="33" customHeight="1">
      <c r="A453" s="53" t="n"/>
      <c r="B453" s="54" t="n"/>
      <c r="C453" s="54" t="n"/>
      <c r="D453" s="54" t="n"/>
      <c r="E453" s="15" t="n"/>
      <c r="F453" s="17" t="n"/>
      <c r="G453" s="54" t="n"/>
      <c r="H453" s="54" t="n"/>
      <c r="I453" s="15" t="n"/>
      <c r="J453" s="56" t="n"/>
    </row>
    <row r="454" ht="33" customHeight="1">
      <c r="A454" s="53" t="n"/>
      <c r="B454" s="54" t="n"/>
      <c r="C454" s="54" t="n"/>
      <c r="D454" s="54" t="n"/>
      <c r="E454" s="15" t="n"/>
      <c r="F454" s="17" t="n"/>
      <c r="G454" s="54" t="n"/>
      <c r="H454" s="54" t="n"/>
      <c r="I454" s="15" t="n"/>
      <c r="J454" s="56" t="n"/>
    </row>
    <row r="455" ht="33" customHeight="1">
      <c r="A455" s="53" t="n"/>
      <c r="B455" s="54" t="n"/>
      <c r="C455" s="54" t="n"/>
      <c r="D455" s="54" t="n"/>
      <c r="E455" s="15" t="n"/>
      <c r="F455" s="17" t="n"/>
      <c r="G455" s="54" t="n"/>
      <c r="H455" s="54" t="n"/>
      <c r="I455" s="15" t="n"/>
      <c r="J455" s="56" t="n"/>
    </row>
    <row r="456" ht="33" customHeight="1">
      <c r="A456" s="53" t="n"/>
      <c r="B456" s="54" t="n"/>
      <c r="C456" s="54" t="n"/>
      <c r="D456" s="54" t="n"/>
      <c r="E456" s="15" t="n"/>
      <c r="F456" s="17" t="n"/>
      <c r="G456" s="54" t="n"/>
      <c r="H456" s="54" t="n"/>
      <c r="I456" s="15" t="n"/>
      <c r="J456" s="56" t="n"/>
    </row>
    <row r="457" ht="33" customHeight="1">
      <c r="A457" s="53" t="n"/>
      <c r="B457" s="54" t="n"/>
      <c r="C457" s="54" t="n"/>
      <c r="D457" s="54" t="n"/>
      <c r="E457" s="15" t="n"/>
      <c r="F457" s="17" t="n"/>
      <c r="G457" s="54" t="n"/>
      <c r="H457" s="54" t="n"/>
      <c r="I457" s="15" t="n"/>
      <c r="J457" s="56" t="n"/>
    </row>
    <row r="458" ht="33" customHeight="1">
      <c r="A458" s="53" t="n"/>
      <c r="B458" s="54" t="n"/>
      <c r="C458" s="54" t="n"/>
      <c r="D458" s="54" t="n"/>
      <c r="E458" s="15" t="n"/>
      <c r="F458" s="17" t="n"/>
      <c r="G458" s="54" t="n"/>
      <c r="H458" s="54" t="n"/>
      <c r="I458" s="15" t="n"/>
      <c r="J458" s="56" t="n"/>
    </row>
    <row r="459" ht="33" customHeight="1">
      <c r="A459" s="53" t="n"/>
      <c r="B459" s="54" t="n"/>
      <c r="C459" s="54" t="n"/>
      <c r="D459" s="54" t="n"/>
      <c r="E459" s="15" t="n"/>
      <c r="F459" s="17" t="n"/>
      <c r="G459" s="54" t="n"/>
      <c r="H459" s="54" t="n"/>
      <c r="I459" s="15" t="n"/>
      <c r="J459" s="56" t="n"/>
    </row>
    <row r="460" ht="33" customHeight="1">
      <c r="A460" s="53" t="n"/>
      <c r="B460" s="54" t="n"/>
      <c r="C460" s="54" t="n"/>
      <c r="D460" s="54" t="n"/>
      <c r="E460" s="15" t="n"/>
      <c r="F460" s="17" t="n"/>
      <c r="G460" s="54" t="n"/>
      <c r="H460" s="54" t="n"/>
      <c r="I460" s="15" t="n"/>
      <c r="J460" s="56" t="n"/>
    </row>
    <row r="461" ht="33" customHeight="1">
      <c r="A461" s="53" t="n"/>
      <c r="B461" s="54" t="n"/>
      <c r="C461" s="54" t="n"/>
      <c r="D461" s="54" t="n"/>
      <c r="E461" s="15" t="n"/>
      <c r="F461" s="17" t="n"/>
      <c r="G461" s="54" t="n"/>
      <c r="H461" s="54" t="n"/>
      <c r="I461" s="15" t="n"/>
      <c r="J461" s="56" t="n"/>
    </row>
    <row r="462" ht="33" customHeight="1">
      <c r="A462" s="53" t="n"/>
      <c r="B462" s="54" t="n"/>
      <c r="C462" s="54" t="n"/>
      <c r="D462" s="54" t="n"/>
      <c r="E462" s="15" t="n"/>
      <c r="F462" s="17" t="n"/>
      <c r="G462" s="54" t="n"/>
      <c r="H462" s="54" t="n"/>
      <c r="I462" s="15" t="n"/>
      <c r="J462" s="56" t="n"/>
    </row>
    <row r="463" ht="33" customHeight="1">
      <c r="A463" s="53" t="n"/>
      <c r="B463" s="54" t="n"/>
      <c r="C463" s="54" t="n"/>
      <c r="D463" s="54" t="n"/>
      <c r="E463" s="15" t="n"/>
      <c r="F463" s="17" t="n"/>
      <c r="G463" s="54" t="n"/>
      <c r="H463" s="54" t="n"/>
      <c r="I463" s="15" t="n"/>
      <c r="J463" s="56" t="n"/>
    </row>
    <row r="464" ht="33" customHeight="1">
      <c r="A464" s="53" t="n"/>
      <c r="B464" s="54" t="n"/>
      <c r="C464" s="54" t="n"/>
      <c r="D464" s="54" t="n"/>
      <c r="E464" s="15" t="n"/>
      <c r="F464" s="17" t="n"/>
      <c r="G464" s="54" t="n"/>
      <c r="H464" s="54" t="n"/>
      <c r="I464" s="15" t="n"/>
      <c r="J464" s="56" t="n"/>
    </row>
    <row r="465" ht="33" customHeight="1">
      <c r="A465" s="53" t="n"/>
      <c r="B465" s="54" t="n"/>
      <c r="C465" s="54" t="n"/>
      <c r="D465" s="54" t="n"/>
      <c r="E465" s="15" t="n"/>
      <c r="F465" s="17" t="n"/>
      <c r="G465" s="54" t="n"/>
      <c r="H465" s="54" t="n"/>
      <c r="I465" s="15" t="n"/>
      <c r="J465" s="56" t="n"/>
    </row>
    <row r="466" ht="33" customHeight="1">
      <c r="A466" s="53" t="n"/>
      <c r="B466" s="54" t="n"/>
      <c r="C466" s="54" t="n"/>
      <c r="D466" s="54" t="n"/>
      <c r="E466" s="15" t="n"/>
      <c r="F466" s="17" t="n"/>
      <c r="G466" s="54" t="n"/>
      <c r="H466" s="54" t="n"/>
      <c r="I466" s="15" t="n"/>
      <c r="J466" s="56" t="n"/>
    </row>
    <row r="467" ht="33" customHeight="1">
      <c r="A467" s="53" t="n"/>
      <c r="B467" s="54" t="n"/>
      <c r="C467" s="54" t="n"/>
      <c r="D467" s="54" t="n"/>
      <c r="E467" s="15" t="n"/>
      <c r="F467" s="17" t="n"/>
      <c r="G467" s="54" t="n"/>
      <c r="H467" s="54" t="n"/>
      <c r="I467" s="15" t="n"/>
      <c r="J467" s="56" t="n"/>
    </row>
    <row r="468" ht="33" customHeight="1">
      <c r="A468" s="53" t="n"/>
      <c r="B468" s="54" t="n"/>
      <c r="C468" s="54" t="n"/>
      <c r="D468" s="54" t="n"/>
      <c r="E468" s="15" t="n"/>
      <c r="F468" s="17" t="n"/>
      <c r="G468" s="54" t="n"/>
      <c r="H468" s="54" t="n"/>
      <c r="I468" s="15" t="n"/>
      <c r="J468" s="56" t="n"/>
    </row>
    <row r="469" ht="33" customHeight="1">
      <c r="A469" s="53" t="n"/>
      <c r="B469" s="54" t="n"/>
      <c r="C469" s="54" t="n"/>
      <c r="D469" s="54" t="n"/>
      <c r="E469" s="15" t="n"/>
      <c r="F469" s="17" t="n"/>
      <c r="G469" s="54" t="n"/>
      <c r="H469" s="54" t="n"/>
      <c r="I469" s="15" t="n"/>
      <c r="J469" s="56" t="n"/>
    </row>
    <row r="470" ht="33" customHeight="1">
      <c r="A470" s="53" t="n"/>
      <c r="B470" s="54" t="n"/>
      <c r="C470" s="54" t="n"/>
      <c r="D470" s="54" t="n"/>
      <c r="E470" s="15" t="n"/>
      <c r="F470" s="17" t="n"/>
      <c r="G470" s="54" t="n"/>
      <c r="H470" s="54" t="n"/>
      <c r="I470" s="15" t="n"/>
      <c r="J470" s="56" t="n"/>
    </row>
    <row r="471" ht="33" customHeight="1">
      <c r="A471" s="53" t="n"/>
      <c r="B471" s="54" t="n"/>
      <c r="C471" s="54" t="n"/>
      <c r="D471" s="54" t="n"/>
      <c r="E471" s="15" t="n"/>
      <c r="F471" s="17" t="n"/>
      <c r="G471" s="54" t="n"/>
      <c r="H471" s="54" t="n"/>
      <c r="I471" s="15" t="n"/>
      <c r="J471" s="56" t="n"/>
    </row>
    <row r="472" ht="33" customHeight="1">
      <c r="A472" s="53" t="n"/>
      <c r="B472" s="54" t="n"/>
      <c r="C472" s="54" t="n"/>
      <c r="D472" s="54" t="n"/>
      <c r="E472" s="15" t="n"/>
      <c r="F472" s="17" t="n"/>
      <c r="G472" s="54" t="n"/>
      <c r="H472" s="54" t="n"/>
      <c r="I472" s="15" t="n"/>
      <c r="J472" s="56" t="n"/>
    </row>
    <row r="473" ht="33" customHeight="1">
      <c r="A473" s="53" t="n"/>
      <c r="B473" s="54" t="n"/>
      <c r="C473" s="54" t="n"/>
      <c r="D473" s="54" t="n"/>
      <c r="E473" s="15" t="n"/>
      <c r="F473" s="17" t="n"/>
      <c r="G473" s="54" t="n"/>
      <c r="H473" s="54" t="n"/>
      <c r="I473" s="15" t="n"/>
      <c r="J473" s="56" t="n"/>
    </row>
    <row r="474" ht="33" customHeight="1">
      <c r="A474" s="53" t="n"/>
      <c r="B474" s="54" t="n"/>
      <c r="C474" s="54" t="n"/>
      <c r="D474" s="54" t="n"/>
      <c r="E474" s="15" t="n"/>
      <c r="F474" s="17" t="n"/>
      <c r="G474" s="54" t="n"/>
      <c r="H474" s="54" t="n"/>
      <c r="I474" s="15" t="n"/>
      <c r="J474" s="56" t="n"/>
    </row>
    <row r="475" ht="33" customHeight="1">
      <c r="A475" s="53" t="n"/>
      <c r="B475" s="54" t="n"/>
      <c r="C475" s="54" t="n"/>
      <c r="D475" s="54" t="n"/>
      <c r="E475" s="15" t="n"/>
      <c r="F475" s="17" t="n"/>
      <c r="G475" s="54" t="n"/>
      <c r="H475" s="54" t="n"/>
      <c r="I475" s="15" t="n"/>
      <c r="J475" s="56" t="n"/>
    </row>
    <row r="476" ht="33" customHeight="1">
      <c r="A476" s="53" t="n"/>
      <c r="B476" s="54" t="n"/>
      <c r="C476" s="54" t="n"/>
      <c r="D476" s="54" t="n"/>
      <c r="E476" s="15" t="n"/>
      <c r="F476" s="17" t="n"/>
      <c r="G476" s="54" t="n"/>
      <c r="H476" s="54" t="n"/>
      <c r="I476" s="15" t="n"/>
      <c r="J476" s="56" t="n"/>
    </row>
    <row r="477" ht="33" customHeight="1">
      <c r="A477" s="53" t="n"/>
      <c r="B477" s="54" t="n"/>
      <c r="C477" s="54" t="n"/>
      <c r="D477" s="54" t="n"/>
      <c r="E477" s="15" t="n"/>
      <c r="F477" s="17" t="n"/>
      <c r="G477" s="54" t="n"/>
      <c r="H477" s="54" t="n"/>
      <c r="I477" s="15" t="n"/>
      <c r="J477" s="56" t="n"/>
    </row>
    <row r="478" ht="33" customHeight="1">
      <c r="A478" s="53" t="n"/>
      <c r="B478" s="54" t="n"/>
      <c r="C478" s="54" t="n"/>
      <c r="D478" s="54" t="n"/>
      <c r="E478" s="15" t="n"/>
      <c r="F478" s="17" t="n"/>
      <c r="G478" s="54" t="n"/>
      <c r="H478" s="54" t="n"/>
      <c r="I478" s="15" t="n"/>
      <c r="J478" s="56" t="n"/>
    </row>
    <row r="479" ht="33" customHeight="1">
      <c r="A479" s="53" t="n"/>
      <c r="B479" s="54" t="n"/>
      <c r="C479" s="54" t="n"/>
      <c r="D479" s="54" t="n"/>
      <c r="E479" s="15" t="n"/>
      <c r="F479" s="17" t="n"/>
      <c r="G479" s="54" t="n"/>
      <c r="H479" s="54" t="n"/>
      <c r="I479" s="15" t="n"/>
      <c r="J479" s="56" t="n"/>
    </row>
    <row r="480" ht="33" customHeight="1">
      <c r="A480" s="53" t="n"/>
      <c r="B480" s="54" t="n"/>
      <c r="C480" s="54" t="n"/>
      <c r="D480" s="54" t="n"/>
      <c r="E480" s="15" t="n"/>
      <c r="F480" s="17" t="n"/>
      <c r="G480" s="54" t="n"/>
      <c r="H480" s="54" t="n"/>
      <c r="I480" s="15" t="n"/>
      <c r="J480" s="56" t="n"/>
    </row>
    <row r="481" ht="33" customHeight="1">
      <c r="A481" s="53" t="n"/>
      <c r="B481" s="54" t="n"/>
      <c r="C481" s="54" t="n"/>
      <c r="D481" s="54" t="n"/>
      <c r="E481" s="15" t="n"/>
      <c r="F481" s="17" t="n"/>
      <c r="G481" s="54" t="n"/>
      <c r="H481" s="54" t="n"/>
      <c r="I481" s="15" t="n"/>
      <c r="J481" s="56" t="n"/>
    </row>
    <row r="482" ht="33" customHeight="1">
      <c r="A482" s="53" t="n"/>
      <c r="B482" s="54" t="n"/>
      <c r="C482" s="54" t="n"/>
      <c r="D482" s="54" t="n"/>
      <c r="E482" s="15" t="n"/>
      <c r="F482" s="17" t="n"/>
      <c r="G482" s="54" t="n"/>
      <c r="H482" s="54" t="n"/>
      <c r="I482" s="15" t="n"/>
      <c r="J482" s="56" t="n"/>
    </row>
    <row r="483" ht="33" customHeight="1">
      <c r="A483" s="53" t="n"/>
      <c r="B483" s="54" t="n"/>
      <c r="C483" s="54" t="n"/>
      <c r="D483" s="54" t="n"/>
      <c r="E483" s="15" t="n"/>
      <c r="F483" s="17" t="n"/>
      <c r="G483" s="54" t="n"/>
      <c r="H483" s="54" t="n"/>
      <c r="I483" s="15" t="n"/>
      <c r="J483" s="56" t="n"/>
    </row>
    <row r="484" ht="33" customHeight="1">
      <c r="A484" s="53" t="n"/>
      <c r="B484" s="54" t="n"/>
      <c r="C484" s="54" t="n"/>
      <c r="D484" s="54" t="n"/>
      <c r="E484" s="15" t="n"/>
      <c r="F484" s="17" t="n"/>
      <c r="G484" s="54" t="n"/>
      <c r="H484" s="54" t="n"/>
      <c r="I484" s="15" t="n"/>
      <c r="J484" s="56" t="n"/>
    </row>
    <row r="485" ht="33" customHeight="1">
      <c r="A485" s="53" t="n"/>
      <c r="B485" s="54" t="n"/>
      <c r="C485" s="54" t="n"/>
      <c r="D485" s="54" t="n"/>
      <c r="E485" s="15" t="n"/>
      <c r="F485" s="17" t="n"/>
      <c r="G485" s="54" t="n"/>
      <c r="H485" s="54" t="n"/>
      <c r="I485" s="15" t="n"/>
      <c r="J485" s="56" t="n"/>
    </row>
    <row r="486" ht="33" customHeight="1">
      <c r="A486" s="53" t="n"/>
      <c r="B486" s="54" t="n"/>
      <c r="C486" s="54" t="n"/>
      <c r="D486" s="54" t="n"/>
      <c r="E486" s="15" t="n"/>
      <c r="F486" s="17" t="n"/>
      <c r="G486" s="54" t="n"/>
      <c r="H486" s="54" t="n"/>
      <c r="I486" s="15" t="n"/>
      <c r="J486" s="56" t="n"/>
    </row>
    <row r="487" ht="33" customHeight="1">
      <c r="A487" s="53" t="n"/>
      <c r="B487" s="54" t="n"/>
      <c r="C487" s="54" t="n"/>
      <c r="D487" s="54" t="n"/>
      <c r="E487" s="15" t="n"/>
      <c r="F487" s="17" t="n"/>
      <c r="G487" s="54" t="n"/>
      <c r="H487" s="54" t="n"/>
      <c r="I487" s="15" t="n"/>
      <c r="J487" s="56" t="n"/>
    </row>
    <row r="488" ht="33" customHeight="1">
      <c r="A488" s="53" t="n"/>
      <c r="B488" s="54" t="n"/>
      <c r="C488" s="54" t="n"/>
      <c r="D488" s="54" t="n"/>
      <c r="E488" s="15" t="n"/>
      <c r="F488" s="17" t="n"/>
      <c r="G488" s="54" t="n"/>
      <c r="H488" s="54" t="n"/>
      <c r="I488" s="15" t="n"/>
      <c r="J488" s="56" t="n"/>
    </row>
    <row r="489" ht="33" customHeight="1">
      <c r="A489" s="53" t="n"/>
      <c r="B489" s="54" t="n"/>
      <c r="C489" s="54" t="n"/>
      <c r="D489" s="54" t="n"/>
      <c r="E489" s="15" t="n"/>
      <c r="F489" s="17" t="n"/>
      <c r="G489" s="54" t="n"/>
      <c r="H489" s="54" t="n"/>
      <c r="I489" s="15" t="n"/>
      <c r="J489" s="56" t="n"/>
    </row>
    <row r="490" ht="33" customHeight="1">
      <c r="A490" s="53" t="n"/>
      <c r="B490" s="54" t="n"/>
      <c r="C490" s="54" t="n"/>
      <c r="D490" s="54" t="n"/>
      <c r="E490" s="15" t="n"/>
      <c r="F490" s="17" t="n"/>
      <c r="G490" s="54" t="n"/>
      <c r="H490" s="54" t="n"/>
      <c r="I490" s="15" t="n"/>
      <c r="J490" s="56" t="n"/>
    </row>
    <row r="491" ht="33" customHeight="1">
      <c r="A491" s="53" t="n"/>
      <c r="B491" s="54" t="n"/>
      <c r="C491" s="54" t="n"/>
      <c r="D491" s="54" t="n"/>
      <c r="E491" s="15" t="n"/>
      <c r="F491" s="17" t="n"/>
      <c r="G491" s="54" t="n"/>
      <c r="H491" s="54" t="n"/>
      <c r="I491" s="15" t="n"/>
      <c r="J491" s="56" t="n"/>
    </row>
    <row r="492" ht="33" customHeight="1">
      <c r="A492" s="53" t="n"/>
      <c r="B492" s="54" t="n"/>
      <c r="C492" s="54" t="n"/>
      <c r="D492" s="54" t="n"/>
      <c r="E492" s="15" t="n"/>
      <c r="F492" s="17" t="n"/>
      <c r="G492" s="54" t="n"/>
      <c r="H492" s="54" t="n"/>
      <c r="I492" s="15" t="n"/>
      <c r="J492" s="56" t="n"/>
    </row>
    <row r="493" ht="33" customHeight="1">
      <c r="A493" s="53" t="n"/>
      <c r="B493" s="54" t="n"/>
      <c r="C493" s="54" t="n"/>
      <c r="D493" s="54" t="n"/>
      <c r="E493" s="15" t="n"/>
      <c r="F493" s="17" t="n"/>
      <c r="G493" s="54" t="n"/>
      <c r="H493" s="54" t="n"/>
      <c r="I493" s="15" t="n"/>
      <c r="J493" s="56" t="n"/>
    </row>
    <row r="494" ht="33" customHeight="1">
      <c r="A494" s="53" t="n"/>
      <c r="B494" s="54" t="n"/>
      <c r="C494" s="54" t="n"/>
      <c r="D494" s="54" t="n"/>
      <c r="E494" s="15" t="n"/>
      <c r="F494" s="17" t="n"/>
      <c r="G494" s="54" t="n"/>
      <c r="H494" s="54" t="n"/>
      <c r="I494" s="15" t="n"/>
      <c r="J494" s="56" t="n"/>
    </row>
    <row r="495" ht="33" customHeight="1">
      <c r="A495" s="53" t="n"/>
      <c r="B495" s="54" t="n"/>
      <c r="C495" s="54" t="n"/>
      <c r="D495" s="54" t="n"/>
      <c r="E495" s="15" t="n"/>
      <c r="F495" s="17" t="n"/>
      <c r="G495" s="54" t="n"/>
      <c r="H495" s="54" t="n"/>
      <c r="I495" s="15" t="n"/>
      <c r="J495" s="56" t="n"/>
    </row>
    <row r="496" ht="33" customHeight="1">
      <c r="A496" s="53" t="n"/>
      <c r="B496" s="54" t="n"/>
      <c r="C496" s="54" t="n"/>
      <c r="D496" s="54" t="n"/>
      <c r="E496" s="15" t="n"/>
      <c r="F496" s="17" t="n"/>
      <c r="G496" s="54" t="n"/>
      <c r="H496" s="54" t="n"/>
      <c r="I496" s="15" t="n"/>
      <c r="J496" s="56" t="n"/>
    </row>
    <row r="497" ht="33" customHeight="1">
      <c r="A497" s="53" t="n"/>
      <c r="B497" s="54" t="n"/>
      <c r="C497" s="54" t="n"/>
      <c r="D497" s="54" t="n"/>
      <c r="E497" s="15" t="n"/>
      <c r="F497" s="17" t="n"/>
      <c r="G497" s="54" t="n"/>
      <c r="H497" s="54" t="n"/>
      <c r="I497" s="15" t="n"/>
      <c r="J497" s="56" t="n"/>
    </row>
    <row r="498" ht="33" customHeight="1">
      <c r="A498" s="53" t="n"/>
      <c r="B498" s="54" t="n"/>
      <c r="C498" s="54" t="n"/>
      <c r="D498" s="54" t="n"/>
      <c r="E498" s="15" t="n"/>
      <c r="F498" s="17" t="n"/>
      <c r="G498" s="54" t="n"/>
      <c r="H498" s="54" t="n"/>
      <c r="I498" s="15" t="n"/>
      <c r="J498" s="56" t="n"/>
    </row>
    <row r="499" ht="33" customHeight="1">
      <c r="A499" s="53" t="n"/>
      <c r="B499" s="54" t="n"/>
      <c r="C499" s="54" t="n"/>
      <c r="D499" s="54" t="n"/>
      <c r="E499" s="15" t="n"/>
      <c r="F499" s="17" t="n"/>
      <c r="G499" s="54" t="n"/>
      <c r="H499" s="54" t="n"/>
      <c r="I499" s="15" t="n"/>
      <c r="J499" s="56" t="n"/>
    </row>
    <row r="500" ht="33" customHeight="1">
      <c r="A500" s="53" t="n"/>
      <c r="B500" s="54" t="n"/>
      <c r="C500" s="54" t="n"/>
      <c r="D500" s="54" t="n"/>
      <c r="E500" s="15" t="n"/>
      <c r="F500" s="17" t="n"/>
      <c r="G500" s="54" t="n"/>
      <c r="H500" s="54" t="n"/>
      <c r="I500" s="15" t="n"/>
      <c r="J500" s="56" t="n"/>
    </row>
    <row r="501" ht="33" customHeight="1">
      <c r="A501" s="53" t="n"/>
      <c r="B501" s="54" t="n"/>
      <c r="C501" s="54" t="n"/>
      <c r="D501" s="54" t="n"/>
      <c r="E501" s="15" t="n"/>
      <c r="F501" s="17" t="n"/>
      <c r="G501" s="54" t="n"/>
      <c r="H501" s="54" t="n"/>
      <c r="I501" s="15" t="n"/>
      <c r="J501" s="56" t="n"/>
    </row>
    <row r="502" ht="33" customHeight="1">
      <c r="A502" s="53" t="n"/>
      <c r="B502" s="54" t="n"/>
      <c r="C502" s="54" t="n"/>
      <c r="D502" s="54" t="n"/>
      <c r="E502" s="15" t="n"/>
      <c r="F502" s="17" t="n"/>
      <c r="G502" s="54" t="n"/>
      <c r="H502" s="54" t="n"/>
      <c r="I502" s="15" t="n"/>
      <c r="J502" s="56" t="n"/>
    </row>
    <row r="503" ht="33" customHeight="1">
      <c r="A503" s="53" t="n"/>
      <c r="B503" s="54" t="n"/>
      <c r="C503" s="54" t="n"/>
      <c r="D503" s="54" t="n"/>
      <c r="E503" s="15" t="n"/>
      <c r="F503" s="17" t="n"/>
      <c r="G503" s="54" t="n"/>
      <c r="H503" s="54" t="n"/>
      <c r="I503" s="15" t="n"/>
      <c r="J503" s="56" t="n"/>
    </row>
    <row r="504" ht="33" customHeight="1">
      <c r="A504" s="53" t="n"/>
      <c r="B504" s="54" t="n"/>
      <c r="C504" s="54" t="n"/>
      <c r="D504" s="54" t="n"/>
      <c r="E504" s="15" t="n"/>
      <c r="F504" s="17" t="n"/>
      <c r="G504" s="54" t="n"/>
      <c r="H504" s="54" t="n"/>
      <c r="I504" s="15" t="n"/>
      <c r="J504" s="56" t="n"/>
    </row>
    <row r="505" ht="33" customHeight="1">
      <c r="A505" s="53" t="n"/>
      <c r="B505" s="54" t="n"/>
      <c r="C505" s="54" t="n"/>
      <c r="D505" s="54" t="n"/>
      <c r="E505" s="15" t="n"/>
      <c r="F505" s="17" t="n"/>
      <c r="G505" s="54" t="n"/>
      <c r="H505" s="54" t="n"/>
      <c r="I505" s="15" t="n"/>
      <c r="J505" s="56" t="n"/>
    </row>
    <row r="506" ht="33" customHeight="1">
      <c r="A506" s="53" t="n"/>
      <c r="B506" s="54" t="n"/>
      <c r="C506" s="54" t="n"/>
      <c r="D506" s="54" t="n"/>
      <c r="E506" s="15" t="n"/>
      <c r="F506" s="17" t="n"/>
      <c r="G506" s="54" t="n"/>
      <c r="H506" s="54" t="n"/>
      <c r="I506" s="15" t="n"/>
      <c r="J506" s="56" t="n"/>
    </row>
  </sheetData>
  <pageMargins left="0.7" right="0.7" top="0.75" bottom="0.75" header="0.511811023622047" footer="0.511811023622047"/>
  <pageSetup orientation="portrait" horizontalDpi="300" verticalDpi="300"/>
</worksheet>
</file>

<file path=xl/worksheets/sheet4.xml><?xml version="1.0" encoding="utf-8"?>
<worksheet xmlns="http://schemas.openxmlformats.org/spreadsheetml/2006/main">
  <sheetPr>
    <outlinePr summaryBelow="1" summaryRight="1"/>
    <pageSetUpPr/>
  </sheetPr>
  <dimension ref="A1:ZX873"/>
  <sheetViews>
    <sheetView zoomScaleNormal="100" workbookViewId="0">
      <selection activeCell="B8" sqref="B8"/>
    </sheetView>
  </sheetViews>
  <sheetFormatPr baseColWidth="8" defaultColWidth="8.453125" defaultRowHeight="12" customHeight="1"/>
  <cols>
    <col width="21.1796875" customWidth="1" style="53" min="1" max="1"/>
    <col width="17.81640625" customWidth="1" min="2" max="2"/>
    <col width="12.453125" customWidth="1" min="3" max="3"/>
    <col width="63.26953125" customWidth="1" min="4" max="4"/>
    <col width="8.7265625" customWidth="1" style="17" min="6" max="6"/>
    <col width="14.81640625" customWidth="1" min="7" max="7"/>
    <col width="13.26953125" customWidth="1" min="8" max="8"/>
    <col width="8.7265625" customWidth="1" style="56" min="10" max="10"/>
    <col width="14.453125" customWidth="1" style="57" min="11" max="11"/>
  </cols>
  <sheetData>
    <row r="1" ht="20.25" customFormat="1" customHeight="1" s="7">
      <c r="A1" s="7" t="inlineStr">
        <is>
          <t>Advantage Order #</t>
        </is>
      </c>
      <c r="B1" s="7" t="inlineStr">
        <is>
          <t>Mfr. Part No.</t>
        </is>
      </c>
      <c r="C1" s="7" t="inlineStr">
        <is>
          <t>Mfr.</t>
        </is>
      </c>
      <c r="D1" s="7" t="inlineStr">
        <is>
          <t>Description</t>
        </is>
      </c>
      <c r="E1" s="7" t="inlineStr">
        <is>
          <t>Qty</t>
        </is>
      </c>
      <c r="F1" s="7" t="inlineStr">
        <is>
          <t>Per</t>
        </is>
      </c>
      <c r="G1" s="7" t="inlineStr">
        <is>
          <t>Vendor</t>
        </is>
      </c>
      <c r="H1" s="7" t="inlineStr">
        <is>
          <t>Vendor Part No.</t>
        </is>
      </c>
      <c r="I1" s="7" t="inlineStr">
        <is>
          <t>Legacy</t>
        </is>
      </c>
      <c r="J1" s="7" t="inlineStr">
        <is>
          <t>Unit Price</t>
        </is>
      </c>
      <c r="K1" s="7" t="inlineStr">
        <is>
          <t>Updated</t>
        </is>
      </c>
      <c r="ZX1" s="7" t="inlineStr">
        <is>
          <t xml:space="preserve">, , </t>
        </is>
      </c>
    </row>
    <row r="2" ht="33" customFormat="1" customHeight="1" s="1">
      <c r="A2" s="53" t="inlineStr">
        <is>
          <t>N14ANA</t>
        </is>
      </c>
      <c r="B2" s="54" t="inlineStr">
        <is>
          <t>N14ANA</t>
        </is>
      </c>
      <c r="C2" s="54" t="inlineStr">
        <is>
          <t>Advanced Technology Products</t>
        </is>
      </c>
      <c r="D2" s="54" t="inlineStr">
        <is>
          <t>1/4 inch O.D. 100 ft Nylon 12 tubing -  Natural</t>
        </is>
      </c>
      <c r="E2" s="15" t="n"/>
      <c r="F2" s="17" t="n"/>
      <c r="G2" s="54" t="inlineStr">
        <is>
          <t>Advanced Technology Products</t>
        </is>
      </c>
      <c r="H2" s="54" t="inlineStr">
        <is>
          <t>N14ANA</t>
        </is>
      </c>
      <c r="I2" s="15" t="inlineStr">
        <is>
          <t>NO</t>
        </is>
      </c>
      <c r="J2" s="56" t="n">
        <v>46.66</v>
      </c>
      <c r="K2" s="57" t="n">
        <v>45289</v>
      </c>
      <c r="L2" s="94" t="n"/>
      <c r="M2" s="95" t="n"/>
      <c r="N2" s="95" t="n"/>
      <c r="O2" s="95" t="n"/>
      <c r="P2" s="96" t="n"/>
    </row>
    <row r="3" ht="33" customFormat="1" customHeight="1" s="1">
      <c r="A3" s="53" t="inlineStr">
        <is>
          <t>ELECT3</t>
        </is>
      </c>
      <c r="B3" s="54" t="inlineStr">
        <is>
          <t>LT5090</t>
        </is>
      </c>
      <c r="C3" s="54" t="inlineStr">
        <is>
          <t>EATON</t>
        </is>
      </c>
      <c r="D3" s="55" t="inlineStr">
        <is>
          <t>Liquid Tight Conduit 90 Connector, 1/2", EMT</t>
        </is>
      </c>
      <c r="E3" s="15" t="n"/>
      <c r="F3" s="17" t="n"/>
      <c r="G3" s="54" t="inlineStr">
        <is>
          <t>Capital Electric Supply</t>
        </is>
      </c>
      <c r="H3" s="54" t="inlineStr">
        <is>
          <t>LT5090</t>
        </is>
      </c>
      <c r="I3" s="15" t="inlineStr">
        <is>
          <t>NO</t>
        </is>
      </c>
      <c r="J3" s="56" t="n">
        <v>4.24</v>
      </c>
      <c r="K3" s="57" t="n">
        <v>45293</v>
      </c>
      <c r="L3" s="94" t="n"/>
      <c r="M3" s="95" t="n"/>
      <c r="N3" s="95" t="n"/>
      <c r="O3" s="95" t="n"/>
      <c r="P3" s="96" t="n"/>
    </row>
    <row r="4" ht="33" customFormat="1" customHeight="1" s="1">
      <c r="A4" s="53" t="inlineStr">
        <is>
          <t>HBLDS3ACNK</t>
        </is>
      </c>
      <c r="B4" s="54" t="inlineStr">
        <is>
          <t>HBLDS3ACNK</t>
        </is>
      </c>
      <c r="C4" s="54" t="inlineStr">
        <is>
          <t>Hubbell</t>
        </is>
      </c>
      <c r="D4" s="54" t="inlineStr">
        <is>
          <t>208-240V AC, 4.5 AMPS, 3 PHASE, 1 HP, .75W, FRAME SIZE A, FLANGE MOUNTED (No Hole)</t>
        </is>
      </c>
      <c r="E4" s="15" t="n"/>
      <c r="F4" s="17" t="n"/>
      <c r="G4" s="54" t="inlineStr">
        <is>
          <t>Graybar</t>
        </is>
      </c>
      <c r="H4" s="54" t="inlineStr">
        <is>
          <t>HBLDS3ACNK</t>
        </is>
      </c>
      <c r="I4" s="15" t="inlineStr">
        <is>
          <t>NO</t>
        </is>
      </c>
      <c r="J4" s="56" t="n">
        <v>311.49</v>
      </c>
      <c r="K4" s="57" t="n">
        <v>45288</v>
      </c>
      <c r="L4" s="94" t="n"/>
      <c r="M4" s="95" t="n"/>
      <c r="N4" s="95" t="n"/>
      <c r="O4" s="95" t="n"/>
      <c r="P4" s="96" t="n"/>
    </row>
    <row r="5" ht="33" customFormat="1" customHeight="1" s="1">
      <c r="A5" s="14" t="inlineStr">
        <is>
          <t>WA30DRS71S4</t>
        </is>
      </c>
      <c r="B5" s="15" t="inlineStr">
        <is>
          <t>WA30DRS71S4</t>
        </is>
      </c>
      <c r="C5" s="15" t="inlineStr">
        <is>
          <t>SEW-Eurodrive</t>
        </is>
      </c>
      <c r="D5" s="15" t="inlineStr">
        <is>
          <t>SEW-Eurodrive__ HP - __ RPM - __ Ratio - 230/460 VAC Gearmotor - 1-1/4" dia. hollow bore - __ Mount - __ TB Position</t>
        </is>
      </c>
      <c r="E5" s="15" t="n"/>
      <c r="F5" s="17" t="n"/>
      <c r="G5" s="15" t="inlineStr">
        <is>
          <t>SEW-Eurodrive</t>
        </is>
      </c>
      <c r="H5" s="15" t="inlineStr">
        <is>
          <t>WA30DRS71S4</t>
        </is>
      </c>
      <c r="I5" s="15" t="inlineStr">
        <is>
          <t>NO</t>
        </is>
      </c>
      <c r="J5" s="18" t="n">
        <v>0</v>
      </c>
      <c r="K5" s="14" t="n"/>
      <c r="L5" s="94" t="n"/>
      <c r="M5" s="95" t="n"/>
      <c r="N5" s="95" t="n"/>
      <c r="O5" s="95" t="n"/>
      <c r="P5" s="96" t="n"/>
    </row>
    <row r="6" ht="33" customFormat="1" customHeight="1" s="1">
      <c r="A6" s="14" t="inlineStr">
        <is>
          <t>SA47DRN80M4</t>
        </is>
      </c>
      <c r="B6" s="15" t="inlineStr">
        <is>
          <t>SA47DRE80M4</t>
        </is>
      </c>
      <c r="C6" s="15" t="inlineStr">
        <is>
          <t>SEW-Eurodrive</t>
        </is>
      </c>
      <c r="D6" s="15" t="inlineStr">
        <is>
          <t>SEW-Eurodrive 1 HP (Premium Efficiency) - __ RPM - __ Ratio - 230/460 VAC - 1-1/4" dia. hollow bore - M__ Mount - __ TB Position - __ Cable Entry</t>
        </is>
      </c>
      <c r="E6" s="15" t="n"/>
      <c r="F6" s="17" t="n"/>
      <c r="G6" s="15" t="inlineStr">
        <is>
          <t>SEW-Eurodrive</t>
        </is>
      </c>
      <c r="H6" s="15" t="inlineStr">
        <is>
          <t>N/A</t>
        </is>
      </c>
      <c r="I6" s="15" t="inlineStr">
        <is>
          <t>NO</t>
        </is>
      </c>
      <c r="J6" s="18" t="inlineStr">
        <is>
          <t>GET QUOTE FROM PT PILOT</t>
        </is>
      </c>
      <c r="K6" s="14" t="n"/>
      <c r="L6" s="94" t="n"/>
      <c r="M6" s="95" t="n"/>
      <c r="N6" s="95" t="n"/>
      <c r="O6" s="95" t="n"/>
      <c r="P6" s="96" t="n"/>
    </row>
    <row r="7" ht="33" customFormat="1" customHeight="1" s="1">
      <c r="A7" s="53" t="inlineStr">
        <is>
          <t>ACI-MM-SPCR-0750</t>
        </is>
      </c>
      <c r="B7" s="54" t="inlineStr">
        <is>
          <t>ACI-MM-SPCR-0750</t>
        </is>
      </c>
      <c r="C7" s="54" t="inlineStr">
        <is>
          <t>JMC Machine</t>
        </is>
      </c>
      <c r="D7" s="54" t="inlineStr">
        <is>
          <t>3/4" Dia. X 3/4" Long T303 SS Motor Mount Spacer w/ M8 Thru Hole</t>
        </is>
      </c>
      <c r="E7" s="15" t="n"/>
      <c r="F7" s="17" t="n"/>
      <c r="G7" s="54" t="inlineStr">
        <is>
          <t>Advantage Conveyor</t>
        </is>
      </c>
      <c r="H7" s="54" t="inlineStr">
        <is>
          <t>ACI-MM-SPCR-0750</t>
        </is>
      </c>
      <c r="I7" s="15" t="inlineStr">
        <is>
          <t>NO</t>
        </is>
      </c>
      <c r="J7" s="56" t="n">
        <v>7</v>
      </c>
      <c r="K7" s="57" t="n">
        <v>45306</v>
      </c>
      <c r="L7" s="94" t="n"/>
      <c r="M7" s="95" t="n"/>
      <c r="N7" s="95" t="n"/>
      <c r="O7" s="95" t="n"/>
      <c r="P7" s="96" t="n"/>
    </row>
    <row r="8" ht="33" customFormat="1" customHeight="1" s="1">
      <c r="A8" s="53" t="inlineStr">
        <is>
          <t>ACI-MM-SPCR-1000</t>
        </is>
      </c>
      <c r="B8" s="54" t="inlineStr">
        <is>
          <t>ACI-MM-SPCR-1000</t>
        </is>
      </c>
      <c r="C8" s="54" t="inlineStr">
        <is>
          <t>JMC Machine</t>
        </is>
      </c>
      <c r="D8" s="54" t="inlineStr">
        <is>
          <t>3/4" Dia. X 1" Long T303 SS Motor Mount Spacer w/ M8 Thru Hole</t>
        </is>
      </c>
      <c r="E8" s="15" t="n"/>
      <c r="F8" s="17" t="n"/>
      <c r="G8" s="54" t="inlineStr">
        <is>
          <t>Advantage Conveyor</t>
        </is>
      </c>
      <c r="H8" s="54" t="inlineStr">
        <is>
          <t>ACI-MM-SPCR-1000</t>
        </is>
      </c>
      <c r="I8" s="15" t="inlineStr">
        <is>
          <t>NO</t>
        </is>
      </c>
      <c r="J8" s="56" t="n">
        <v>8</v>
      </c>
      <c r="K8" s="57" t="n">
        <v>45306</v>
      </c>
      <c r="L8" s="94" t="n"/>
      <c r="M8" s="95" t="n"/>
      <c r="N8" s="95" t="n"/>
      <c r="O8" s="95" t="n"/>
      <c r="P8" s="96" t="n"/>
    </row>
    <row r="9" ht="33" customFormat="1" customHeight="1" s="1">
      <c r="A9" s="53" t="inlineStr">
        <is>
          <t>HPA-FIX101-58-6</t>
        </is>
      </c>
      <c r="B9" s="54" t="inlineStr">
        <is>
          <t>HPA-FIX101-58-6</t>
        </is>
      </c>
      <c r="C9" s="54" t="inlineStr">
        <is>
          <t>NGI</t>
        </is>
      </c>
      <c r="D9" s="54" t="inlineStr">
        <is>
          <t>7" L x 5/8-11 thread, Adjustable Leveler w/ Adjusting Nut, Stainless Steel Rod, 2 skinned-over lag holes</t>
        </is>
      </c>
      <c r="E9" s="15" t="n"/>
      <c r="F9" s="17" t="n"/>
      <c r="G9" s="54" t="inlineStr">
        <is>
          <t>NGI</t>
        </is>
      </c>
      <c r="H9" s="54" t="inlineStr">
        <is>
          <t>HPA-FIX101-58-6</t>
        </is>
      </c>
      <c r="I9" s="15" t="inlineStr">
        <is>
          <t>NO</t>
        </is>
      </c>
      <c r="J9" s="56" t="n">
        <v>13.08</v>
      </c>
      <c r="K9" s="57" t="n">
        <v>45293</v>
      </c>
      <c r="L9" s="94" t="n"/>
      <c r="M9" s="95" t="n"/>
      <c r="N9" s="95" t="n"/>
      <c r="O9" s="95" t="n"/>
      <c r="P9" s="96" t="n"/>
    </row>
    <row r="10" ht="33" customFormat="1" customHeight="1" s="1">
      <c r="A10" s="53" t="inlineStr">
        <is>
          <t>HPA-FIX101-34-10</t>
        </is>
      </c>
      <c r="B10" s="54" t="inlineStr">
        <is>
          <t>HPA-FIX101-34-10</t>
        </is>
      </c>
      <c r="C10" s="54" t="inlineStr">
        <is>
          <t>NGI</t>
        </is>
      </c>
      <c r="D10" s="54" t="inlineStr">
        <is>
          <t>10" L x 3/4-10 thread, Adjustable Leveler w/ Adjusting Nut, Stainless Steel Rod, 2 skinned-over lag holes</t>
        </is>
      </c>
      <c r="E10" s="15" t="n"/>
      <c r="F10" s="17" t="n"/>
      <c r="G10" s="54" t="inlineStr">
        <is>
          <t>NGI</t>
        </is>
      </c>
      <c r="H10" s="54" t="inlineStr">
        <is>
          <t>HPA-FIX101-34-10</t>
        </is>
      </c>
      <c r="I10" s="15" t="inlineStr">
        <is>
          <t>NO</t>
        </is>
      </c>
      <c r="J10" s="56" t="n">
        <v>16.52</v>
      </c>
      <c r="K10" s="57" t="n">
        <v>45293</v>
      </c>
      <c r="L10" s="94" t="n"/>
      <c r="M10" s="95" t="n"/>
      <c r="N10" s="95" t="n"/>
      <c r="O10" s="95" t="n"/>
      <c r="P10" s="96" t="n"/>
    </row>
    <row r="11" ht="33" customFormat="1" customHeight="1" s="1">
      <c r="A11" s="53" t="inlineStr">
        <is>
          <t>HX-FIX106-58-6</t>
        </is>
      </c>
      <c r="B11" s="54" t="inlineStr">
        <is>
          <t>HX-FIX106-58-6</t>
        </is>
      </c>
      <c r="C11" s="54" t="inlineStr">
        <is>
          <t>NGI</t>
        </is>
      </c>
      <c r="D11" s="54" t="inlineStr">
        <is>
          <t>4" Adjustable Leveler - Stanitary Style - SS Stem &amp; Base - 1x Lag Hole Tab - 6"x5/8-11 Stem</t>
        </is>
      </c>
      <c r="E11" s="15" t="n"/>
      <c r="F11" s="17" t="n"/>
      <c r="G11" s="54" t="inlineStr">
        <is>
          <t>NGI</t>
        </is>
      </c>
      <c r="H11" s="54" t="inlineStr">
        <is>
          <t>HX-FIX106-58-6</t>
        </is>
      </c>
      <c r="I11" s="15" t="inlineStr">
        <is>
          <t>NO</t>
        </is>
      </c>
      <c r="J11" s="56" t="n">
        <v>42.31</v>
      </c>
      <c r="K11" s="57" t="n">
        <v>45293</v>
      </c>
      <c r="L11" s="94" t="n"/>
      <c r="M11" s="95" t="n"/>
      <c r="N11" s="95" t="n"/>
      <c r="O11" s="95" t="n"/>
      <c r="P11" s="96" t="n"/>
    </row>
    <row r="12" ht="33" customFormat="1" customHeight="1" s="1">
      <c r="A12" s="53" t="inlineStr">
        <is>
          <t>HX-FIX106-34-6</t>
        </is>
      </c>
      <c r="B12" s="54" t="inlineStr">
        <is>
          <t>HX-FIX106-34-6</t>
        </is>
      </c>
      <c r="C12" s="54" t="inlineStr">
        <is>
          <t>NGI</t>
        </is>
      </c>
      <c r="D12" s="54" t="inlineStr">
        <is>
          <t>4" Adjustable Leveler - Stanitary Style - SS Stem &amp; Base - 1x Lag Hole Tab - 6"x5/8-11 Stem</t>
        </is>
      </c>
      <c r="E12" s="15" t="n"/>
      <c r="F12" s="17" t="n"/>
      <c r="G12" s="54" t="inlineStr">
        <is>
          <t>NGI</t>
        </is>
      </c>
      <c r="H12" s="54" t="inlineStr">
        <is>
          <t>HX-FIX106-34-6</t>
        </is>
      </c>
      <c r="I12" s="15" t="inlineStr">
        <is>
          <t>NO</t>
        </is>
      </c>
      <c r="J12" s="56" t="n">
        <v>45.95</v>
      </c>
      <c r="K12" s="57" t="n">
        <v>45293</v>
      </c>
      <c r="L12" s="94" t="n"/>
      <c r="M12" s="95" t="n"/>
      <c r="N12" s="95" t="n"/>
      <c r="O12" s="95" t="n"/>
      <c r="P12" s="96" t="n"/>
    </row>
    <row r="13" ht="33" customFormat="1" customHeight="1" s="1">
      <c r="A13" s="53" t="n"/>
      <c r="B13" s="54" t="n"/>
      <c r="C13" s="54" t="n"/>
      <c r="D13" s="55" t="n"/>
      <c r="E13" s="15" t="n"/>
      <c r="F13" s="17" t="n"/>
      <c r="G13" s="54" t="n"/>
      <c r="H13" s="54" t="n"/>
      <c r="I13" s="15" t="n"/>
      <c r="J13" s="56" t="n"/>
      <c r="K13" s="57" t="n"/>
      <c r="L13" s="94" t="n"/>
      <c r="M13" s="95" t="n"/>
      <c r="N13" s="95" t="n"/>
      <c r="O13" s="95" t="n"/>
      <c r="P13" s="96" t="n"/>
    </row>
    <row r="14" ht="33" customFormat="1" customHeight="1" s="1">
      <c r="A14" s="53" t="n"/>
      <c r="B14" s="54" t="n"/>
      <c r="C14" s="54" t="n"/>
      <c r="D14" s="54" t="n"/>
      <c r="E14" s="15" t="n"/>
      <c r="F14" s="17" t="n"/>
      <c r="G14" s="54" t="n"/>
      <c r="H14" s="54" t="n"/>
      <c r="I14" s="15" t="n"/>
      <c r="J14" s="56" t="n"/>
      <c r="K14" s="57" t="n"/>
      <c r="L14" s="94" t="n"/>
      <c r="M14" s="95" t="n"/>
      <c r="N14" s="95" t="n"/>
      <c r="O14" s="95" t="n"/>
      <c r="P14" s="96" t="n"/>
    </row>
    <row r="15" ht="33" customFormat="1" customHeight="1" s="1">
      <c r="A15" s="53" t="n"/>
      <c r="B15" s="54" t="n"/>
      <c r="C15" s="54" t="n"/>
      <c r="D15" s="54" t="n"/>
      <c r="E15" s="15" t="n"/>
      <c r="F15" s="17" t="n"/>
      <c r="G15" s="54" t="n"/>
      <c r="H15" s="54" t="n"/>
      <c r="I15" s="15" t="n"/>
      <c r="J15" s="56" t="n"/>
      <c r="K15" s="57" t="n"/>
      <c r="L15" s="94" t="n"/>
      <c r="M15" s="95" t="n"/>
      <c r="N15" s="95" t="n"/>
      <c r="O15" s="95" t="n"/>
      <c r="P15" s="96" t="n"/>
    </row>
    <row r="16" ht="33" customFormat="1" customHeight="1" s="1">
      <c r="A16" s="53" t="n"/>
      <c r="B16" s="54" t="n"/>
      <c r="C16" s="54" t="n"/>
      <c r="D16" s="54" t="n"/>
      <c r="E16" s="15" t="n"/>
      <c r="F16" s="17" t="n"/>
      <c r="G16" s="54" t="n"/>
      <c r="H16" s="54" t="n"/>
      <c r="I16" s="15" t="n"/>
      <c r="J16" s="56" t="n"/>
      <c r="K16" s="57" t="n"/>
      <c r="L16" s="94" t="n"/>
      <c r="M16" s="95" t="n"/>
      <c r="N16" s="95" t="n"/>
      <c r="O16" s="95" t="n"/>
      <c r="P16" s="96" t="n"/>
    </row>
    <row r="17" ht="33" customFormat="1" customHeight="1" s="1">
      <c r="A17" s="53" t="n"/>
      <c r="B17" s="54" t="n"/>
      <c r="C17" s="54" t="n"/>
      <c r="D17" s="54" t="n"/>
      <c r="E17" s="15" t="n"/>
      <c r="F17" s="17" t="n"/>
      <c r="G17" s="54" t="n"/>
      <c r="H17" s="54" t="n"/>
      <c r="I17" s="15" t="n"/>
      <c r="J17" s="56" t="n"/>
      <c r="K17" s="57" t="n"/>
      <c r="L17" s="94" t="n"/>
      <c r="M17" s="95" t="n"/>
      <c r="N17" s="95" t="n"/>
      <c r="O17" s="95" t="n"/>
      <c r="P17" s="96" t="n"/>
    </row>
    <row r="18" ht="33" customFormat="1" customHeight="1" s="1">
      <c r="A18" s="53" t="n"/>
      <c r="B18" s="54" t="n"/>
      <c r="C18" s="54" t="n"/>
      <c r="D18" s="55" t="n"/>
      <c r="E18" s="15" t="n"/>
      <c r="F18" s="17" t="n"/>
      <c r="G18" s="54" t="n"/>
      <c r="H18" s="54" t="n"/>
      <c r="I18" s="15" t="n"/>
      <c r="J18" s="56" t="n"/>
      <c r="K18" s="57" t="n"/>
      <c r="L18" s="94" t="n"/>
      <c r="M18" s="95" t="n"/>
      <c r="N18" s="95" t="n"/>
      <c r="O18" s="95" t="n"/>
      <c r="P18" s="96" t="n"/>
    </row>
    <row r="19" ht="33" customFormat="1" customHeight="1" s="1">
      <c r="A19" s="53" t="n"/>
      <c r="B19" s="54" t="n"/>
      <c r="C19" s="54" t="n"/>
      <c r="D19" s="55" t="n"/>
      <c r="E19" s="15" t="n"/>
      <c r="F19" s="17" t="n"/>
      <c r="G19" s="54" t="n"/>
      <c r="H19" s="54" t="n"/>
      <c r="I19" s="15" t="n"/>
      <c r="J19" s="56" t="n"/>
      <c r="K19" s="57" t="n"/>
      <c r="L19" s="94" t="n"/>
      <c r="M19" s="95" t="n"/>
      <c r="N19" s="95" t="n"/>
      <c r="O19" s="95" t="n"/>
      <c r="P19" s="96" t="n"/>
    </row>
    <row r="20" ht="33" customFormat="1" customHeight="1" s="1">
      <c r="A20" s="53" t="n"/>
      <c r="B20" s="54" t="n"/>
      <c r="C20" s="54" t="n"/>
      <c r="D20" s="55" t="n"/>
      <c r="E20" s="15" t="n"/>
      <c r="F20" s="17" t="n"/>
      <c r="G20" s="54" t="n"/>
      <c r="H20" s="54" t="n"/>
      <c r="I20" s="15" t="n"/>
      <c r="J20" s="56" t="n"/>
      <c r="K20" s="57" t="n"/>
      <c r="L20" s="94" t="n"/>
      <c r="M20" s="95" t="n"/>
      <c r="N20" s="95" t="n"/>
      <c r="O20" s="95" t="n"/>
      <c r="P20" s="96" t="n"/>
    </row>
    <row r="21" ht="33" customFormat="1" customHeight="1" s="1">
      <c r="A21" s="53" t="n"/>
      <c r="B21" s="54" t="n"/>
      <c r="C21" s="54" t="n"/>
      <c r="D21" s="55" t="n"/>
      <c r="E21" s="15" t="n"/>
      <c r="F21" s="17" t="n"/>
      <c r="G21" s="54" t="n"/>
      <c r="H21" s="54" t="n"/>
      <c r="I21" s="15" t="n"/>
      <c r="J21" s="56" t="n"/>
      <c r="K21" s="57" t="n"/>
      <c r="L21" s="94" t="n"/>
      <c r="M21" s="95" t="n"/>
      <c r="N21" s="95" t="n"/>
      <c r="O21" s="95" t="n"/>
      <c r="P21" s="96" t="n"/>
    </row>
    <row r="22" ht="33" customFormat="1" customHeight="1" s="1">
      <c r="A22" s="53" t="n"/>
      <c r="B22" s="54" t="n"/>
      <c r="C22" s="54" t="n"/>
      <c r="D22" s="55" t="n"/>
      <c r="E22" s="15" t="n"/>
      <c r="F22" s="17" t="n"/>
      <c r="G22" s="54" t="n"/>
      <c r="H22" s="54" t="n"/>
      <c r="I22" s="15" t="n"/>
      <c r="J22" s="56" t="n"/>
      <c r="K22" s="57" t="n"/>
      <c r="L22" s="94" t="n"/>
      <c r="M22" s="95" t="n"/>
      <c r="N22" s="95" t="n"/>
      <c r="O22" s="95" t="n"/>
      <c r="P22" s="96" t="n"/>
    </row>
    <row r="23" ht="33" customFormat="1" customHeight="1" s="1">
      <c r="A23" s="53" t="n"/>
      <c r="B23" s="54" t="n"/>
      <c r="C23" s="54" t="n"/>
      <c r="D23" s="55" t="n"/>
      <c r="E23" s="15" t="n"/>
      <c r="F23" s="17" t="n"/>
      <c r="G23" s="54" t="n"/>
      <c r="H23" s="54" t="n"/>
      <c r="I23" s="15" t="n"/>
      <c r="J23" s="56" t="n"/>
      <c r="K23" s="57" t="n"/>
      <c r="L23" s="94" t="n"/>
      <c r="M23" s="95" t="n"/>
      <c r="N23" s="95" t="n"/>
      <c r="O23" s="95" t="n"/>
      <c r="P23" s="96" t="n"/>
    </row>
    <row r="24" ht="33" customFormat="1" customHeight="1" s="1">
      <c r="A24" s="53" t="n"/>
      <c r="B24" s="54" t="n"/>
      <c r="C24" s="54" t="n"/>
      <c r="D24" s="54" t="n"/>
      <c r="E24" s="15" t="n"/>
      <c r="F24" s="17" t="n"/>
      <c r="G24" s="54" t="n"/>
      <c r="H24" s="54" t="n"/>
      <c r="I24" s="15" t="n"/>
      <c r="J24" s="56" t="n"/>
      <c r="K24" s="57" t="n"/>
      <c r="L24" s="94" t="n"/>
      <c r="M24" s="95" t="n"/>
      <c r="N24" s="95" t="n"/>
      <c r="O24" s="95" t="n"/>
      <c r="P24" s="96" t="n"/>
    </row>
    <row r="25" ht="33" customFormat="1" customHeight="1" s="1">
      <c r="A25" s="53" t="n"/>
      <c r="B25" s="54" t="n"/>
      <c r="C25" s="54" t="n"/>
      <c r="D25" s="55" t="n"/>
      <c r="E25" s="15" t="n"/>
      <c r="F25" s="17" t="n"/>
      <c r="G25" s="54" t="n"/>
      <c r="H25" s="54" t="n"/>
      <c r="I25" s="15" t="n"/>
      <c r="J25" s="56" t="n"/>
      <c r="K25" s="57" t="n"/>
      <c r="L25" s="94" t="n"/>
      <c r="M25" s="95" t="n"/>
      <c r="N25" s="95" t="n"/>
      <c r="O25" s="95" t="n"/>
      <c r="P25" s="96" t="n"/>
    </row>
    <row r="26" ht="33" customFormat="1" customHeight="1" s="1">
      <c r="A26" s="53" t="n"/>
      <c r="B26" s="54" t="n"/>
      <c r="C26" s="54" t="n"/>
      <c r="D26" s="55" t="n"/>
      <c r="E26" s="15" t="n"/>
      <c r="F26" s="17" t="n"/>
      <c r="G26" s="54" t="n"/>
      <c r="H26" s="54" t="n"/>
      <c r="I26" s="15" t="n"/>
      <c r="J26" s="56" t="n"/>
      <c r="K26" s="57" t="n"/>
      <c r="L26" s="94" t="n"/>
      <c r="M26" s="95" t="n"/>
      <c r="N26" s="95" t="n"/>
      <c r="O26" s="95" t="n"/>
      <c r="P26" s="96" t="n"/>
    </row>
    <row r="27" ht="33" customFormat="1" customHeight="1" s="1">
      <c r="A27" s="53" t="n"/>
      <c r="B27" s="54" t="n"/>
      <c r="C27" s="54" t="n"/>
      <c r="D27" s="55" t="n"/>
      <c r="E27" s="15" t="n"/>
      <c r="F27" s="17" t="n"/>
      <c r="G27" s="54" t="n"/>
      <c r="H27" s="54" t="n"/>
      <c r="I27" s="15" t="n"/>
      <c r="J27" s="56" t="n"/>
      <c r="K27" s="57" t="n"/>
      <c r="L27" s="94" t="n"/>
      <c r="M27" s="95" t="n"/>
      <c r="N27" s="95" t="n"/>
      <c r="O27" s="95" t="n"/>
      <c r="P27" s="96" t="n"/>
    </row>
    <row r="28" ht="33" customFormat="1" customHeight="1" s="1">
      <c r="A28" s="53" t="n"/>
      <c r="B28" s="54" t="n"/>
      <c r="C28" s="54" t="n"/>
      <c r="D28" s="54" t="n"/>
      <c r="E28" s="15" t="n"/>
      <c r="F28" s="17" t="n"/>
      <c r="G28" s="54" t="n"/>
      <c r="H28" s="54" t="n"/>
      <c r="I28" s="15" t="n"/>
      <c r="J28" s="56" t="n"/>
      <c r="K28" s="57" t="n"/>
      <c r="L28" s="94" t="n"/>
      <c r="M28" s="95" t="n"/>
      <c r="N28" s="95" t="n"/>
      <c r="O28" s="95" t="n"/>
      <c r="P28" s="96" t="n"/>
    </row>
    <row r="29" ht="33" customFormat="1" customHeight="1" s="1">
      <c r="A29" s="53" t="n"/>
      <c r="B29" s="54" t="n"/>
      <c r="C29" s="54" t="n"/>
      <c r="D29" s="54" t="n"/>
      <c r="E29" s="15" t="n"/>
      <c r="F29" s="17" t="n"/>
      <c r="G29" s="54" t="n"/>
      <c r="H29" s="54" t="n"/>
      <c r="I29" s="15" t="n"/>
      <c r="J29" s="56" t="n"/>
      <c r="K29" s="57" t="n"/>
      <c r="L29" s="94" t="n"/>
      <c r="M29" s="95" t="n"/>
      <c r="N29" s="95" t="n"/>
      <c r="O29" s="95" t="n"/>
      <c r="P29" s="96" t="n"/>
    </row>
    <row r="30" ht="33" customFormat="1" customHeight="1" s="1">
      <c r="A30" s="53" t="n"/>
      <c r="B30" s="54" t="n"/>
      <c r="C30" s="54" t="n"/>
      <c r="D30" s="60" t="n"/>
      <c r="E30" s="15" t="n"/>
      <c r="F30" s="17" t="n"/>
      <c r="G30" s="54" t="n"/>
      <c r="H30" s="54" t="n"/>
      <c r="I30" s="15" t="n"/>
      <c r="J30" s="56" t="n"/>
      <c r="K30" s="57" t="n"/>
      <c r="L30" s="94" t="n"/>
      <c r="M30" s="95" t="n"/>
      <c r="N30" s="95" t="n"/>
      <c r="O30" s="95" t="n"/>
      <c r="P30" s="96" t="n"/>
    </row>
    <row r="31" ht="33" customFormat="1" customHeight="1" s="1">
      <c r="A31" s="53" t="n"/>
      <c r="B31" s="54" t="n"/>
      <c r="C31" s="54" t="n"/>
      <c r="D31" s="54" t="n"/>
      <c r="E31" s="15" t="n"/>
      <c r="F31" s="17" t="n"/>
      <c r="G31" s="54" t="n"/>
      <c r="H31" s="54" t="n"/>
      <c r="I31" s="15" t="n"/>
      <c r="J31" s="56" t="n"/>
      <c r="K31" s="57" t="n"/>
      <c r="L31" s="94" t="n"/>
      <c r="M31" s="95" t="n"/>
      <c r="N31" s="95" t="n"/>
      <c r="O31" s="95" t="n"/>
      <c r="P31" s="96" t="n"/>
    </row>
    <row r="32" ht="33" customFormat="1" customHeight="1" s="1">
      <c r="A32" s="53" t="n"/>
      <c r="B32" s="54" t="n"/>
      <c r="C32" s="54" t="n"/>
      <c r="D32" s="54" t="n"/>
      <c r="E32" s="15" t="n"/>
      <c r="F32" s="17" t="n"/>
      <c r="G32" s="54" t="n"/>
      <c r="H32" s="54" t="n"/>
      <c r="I32" s="15" t="n"/>
      <c r="J32" s="56" t="n"/>
      <c r="K32" s="57" t="n"/>
      <c r="L32" s="94" t="n"/>
      <c r="M32" s="95" t="n"/>
      <c r="N32" s="95" t="n"/>
      <c r="O32" s="95" t="n"/>
      <c r="P32" s="96" t="n"/>
    </row>
    <row r="33" ht="33" customFormat="1" customHeight="1" s="1">
      <c r="A33" s="53" t="n"/>
      <c r="B33" s="54" t="n"/>
      <c r="C33" s="54" t="n"/>
      <c r="D33" s="54" t="n"/>
      <c r="E33" s="15" t="n"/>
      <c r="F33" s="17" t="n"/>
      <c r="G33" s="54" t="n"/>
      <c r="H33" s="54" t="n"/>
      <c r="I33" s="15" t="n"/>
      <c r="J33" s="56" t="n"/>
      <c r="K33" s="57" t="n"/>
      <c r="L33" s="94" t="n"/>
      <c r="M33" s="95" t="n"/>
      <c r="N33" s="95" t="n"/>
      <c r="O33" s="95" t="n"/>
      <c r="P33" s="96" t="n"/>
    </row>
    <row r="34" ht="33" customFormat="1" customHeight="1" s="1">
      <c r="A34" s="53" t="n"/>
      <c r="B34" s="54" t="n"/>
      <c r="C34" s="54" t="n"/>
      <c r="D34" s="55" t="n"/>
      <c r="E34" s="15" t="n"/>
      <c r="F34" s="17" t="n"/>
      <c r="G34" s="54" t="n"/>
      <c r="H34" s="54" t="n"/>
      <c r="I34" s="15" t="n"/>
      <c r="J34" s="56" t="n"/>
      <c r="K34" s="57" t="n"/>
      <c r="L34" s="94" t="n"/>
      <c r="M34" s="95" t="n"/>
      <c r="N34" s="95" t="n"/>
      <c r="O34" s="95" t="n"/>
      <c r="P34" s="96" t="n"/>
    </row>
    <row r="35" ht="33" customFormat="1" customHeight="1" s="1">
      <c r="A35" s="53" t="n"/>
      <c r="B35" s="54" t="n"/>
      <c r="C35" s="54" t="n"/>
      <c r="D35" s="54" t="n"/>
      <c r="E35" s="15" t="n"/>
      <c r="F35" s="17" t="n"/>
      <c r="G35" s="54" t="n"/>
      <c r="H35" s="54" t="n"/>
      <c r="I35" s="15" t="n"/>
      <c r="J35" s="56" t="n"/>
      <c r="K35" s="57" t="n"/>
      <c r="L35" s="94" t="n"/>
      <c r="M35" s="95" t="n"/>
      <c r="N35" s="95" t="n"/>
      <c r="O35" s="95" t="n"/>
      <c r="P35" s="96" t="n"/>
    </row>
    <row r="36" ht="33" customFormat="1" customHeight="1" s="1">
      <c r="A36" s="53" t="n"/>
      <c r="B36" s="54" t="n"/>
      <c r="C36" s="54" t="n"/>
      <c r="D36" s="54" t="n"/>
      <c r="E36" s="15" t="n"/>
      <c r="F36" s="17" t="n"/>
      <c r="G36" s="54" t="n"/>
      <c r="H36" s="54" t="n"/>
      <c r="I36" s="15" t="n"/>
      <c r="J36" s="56" t="n"/>
      <c r="K36" s="57" t="n"/>
      <c r="L36" s="94" t="n"/>
      <c r="M36" s="95" t="n"/>
      <c r="N36" s="95" t="n"/>
      <c r="O36" s="95" t="n"/>
      <c r="P36" s="96" t="n"/>
    </row>
    <row r="37" ht="33" customFormat="1" customHeight="1" s="1">
      <c r="A37" s="53" t="n"/>
      <c r="B37" s="54" t="n"/>
      <c r="C37" s="54" t="n"/>
      <c r="D37" s="54" t="n"/>
      <c r="E37" s="15" t="n"/>
      <c r="F37" s="17" t="n"/>
      <c r="G37" s="54" t="n"/>
      <c r="H37" s="54" t="n"/>
      <c r="I37" s="15" t="n"/>
      <c r="J37" s="56" t="n"/>
      <c r="K37" s="57" t="n"/>
      <c r="L37" s="94" t="n"/>
      <c r="M37" s="95" t="n"/>
      <c r="N37" s="95" t="n"/>
      <c r="O37" s="95" t="n"/>
      <c r="P37" s="96" t="n"/>
    </row>
    <row r="38" ht="33" customFormat="1" customHeight="1" s="1">
      <c r="A38" s="53" t="n"/>
      <c r="B38" s="54" t="n"/>
      <c r="C38" s="54" t="n"/>
      <c r="D38" s="54" t="n"/>
      <c r="E38" s="15" t="n"/>
      <c r="F38" s="17" t="n"/>
      <c r="G38" s="54" t="n"/>
      <c r="H38" s="54" t="n"/>
      <c r="I38" s="15" t="n"/>
      <c r="J38" s="56" t="n"/>
      <c r="K38" s="57" t="n"/>
      <c r="L38" s="94" t="n"/>
      <c r="M38" s="95" t="n"/>
      <c r="N38" s="95" t="n"/>
      <c r="O38" s="95" t="n"/>
      <c r="P38" s="96" t="n"/>
    </row>
    <row r="39" ht="33" customFormat="1" customHeight="1" s="1">
      <c r="A39" s="53" t="n"/>
      <c r="B39" s="54" t="n"/>
      <c r="C39" s="54" t="n"/>
      <c r="D39" s="55" t="n"/>
      <c r="E39" s="15" t="n"/>
      <c r="F39" s="17" t="n"/>
      <c r="G39" s="54" t="n"/>
      <c r="H39" s="54" t="n"/>
      <c r="I39" s="15" t="n"/>
      <c r="J39" s="56" t="n"/>
      <c r="K39" s="57" t="n"/>
      <c r="L39" s="94" t="n"/>
      <c r="M39" s="95" t="n"/>
      <c r="N39" s="95" t="n"/>
      <c r="O39" s="95" t="n"/>
      <c r="P39" s="96" t="n"/>
    </row>
    <row r="40" ht="33" customFormat="1" customHeight="1" s="1">
      <c r="A40" s="53" t="n"/>
      <c r="B40" s="54" t="n"/>
      <c r="C40" s="54" t="n"/>
      <c r="D40" s="55" t="n"/>
      <c r="E40" s="15" t="n"/>
      <c r="F40" s="17" t="n"/>
      <c r="G40" s="54" t="n"/>
      <c r="H40" s="54" t="n"/>
      <c r="I40" s="15" t="n"/>
      <c r="J40" s="56" t="n"/>
      <c r="K40" s="57" t="n"/>
      <c r="L40" s="94" t="n"/>
      <c r="M40" s="95" t="n"/>
      <c r="N40" s="95" t="n"/>
      <c r="O40" s="95" t="n"/>
      <c r="P40" s="96" t="n"/>
    </row>
    <row r="41" ht="33" customFormat="1" customHeight="1" s="1">
      <c r="A41" s="53" t="n"/>
      <c r="B41" s="54" t="n"/>
      <c r="C41" s="54" t="n"/>
      <c r="D41" s="55" t="n"/>
      <c r="E41" s="15" t="n"/>
      <c r="F41" s="17" t="n"/>
      <c r="G41" s="54" t="n"/>
      <c r="H41" s="54" t="n"/>
      <c r="I41" s="15" t="n"/>
      <c r="J41" s="56" t="n"/>
      <c r="K41" s="57" t="n"/>
      <c r="L41" s="94" t="n"/>
      <c r="M41" s="95" t="n"/>
      <c r="N41" s="95" t="n"/>
      <c r="O41" s="95" t="n"/>
      <c r="P41" s="96" t="n"/>
    </row>
    <row r="42" ht="33" customFormat="1" customHeight="1" s="1">
      <c r="A42" s="53" t="n"/>
      <c r="B42" s="54" t="n"/>
      <c r="C42" s="54" t="n"/>
      <c r="D42" s="55" t="n"/>
      <c r="E42" s="15" t="n"/>
      <c r="F42" s="17" t="n"/>
      <c r="G42" s="54" t="n"/>
      <c r="H42" s="54" t="n"/>
      <c r="I42" s="15" t="n"/>
      <c r="J42" s="56" t="n"/>
      <c r="K42" s="57" t="n"/>
      <c r="L42" s="94" t="n"/>
      <c r="M42" s="95" t="n"/>
      <c r="N42" s="95" t="n"/>
      <c r="O42" s="95" t="n"/>
      <c r="P42" s="96" t="n"/>
    </row>
    <row r="43" ht="33" customFormat="1" customHeight="1" s="1">
      <c r="A43" s="53" t="n"/>
      <c r="B43" s="54" t="n"/>
      <c r="C43" s="54" t="n"/>
      <c r="D43" s="55" t="n"/>
      <c r="E43" s="15" t="n"/>
      <c r="F43" s="17" t="n"/>
      <c r="G43" s="54" t="n"/>
      <c r="H43" s="54" t="n"/>
      <c r="I43" s="15" t="n"/>
      <c r="J43" s="56" t="n"/>
      <c r="K43" s="57" t="n"/>
      <c r="L43" s="94" t="n"/>
      <c r="M43" s="95" t="n"/>
      <c r="N43" s="95" t="n"/>
      <c r="O43" s="95" t="n"/>
      <c r="P43" s="96" t="n"/>
    </row>
    <row r="44" ht="33" customFormat="1" customHeight="1" s="1">
      <c r="A44" s="53" t="n"/>
      <c r="B44" s="54" t="n"/>
      <c r="C44" s="54" t="n"/>
      <c r="D44" s="55" t="n"/>
      <c r="E44" s="15" t="n"/>
      <c r="F44" s="17" t="n"/>
      <c r="G44" s="54" t="n"/>
      <c r="H44" s="54" t="n"/>
      <c r="I44" s="15" t="n"/>
      <c r="J44" s="56" t="n"/>
      <c r="K44" s="57" t="n"/>
      <c r="L44" s="94" t="n"/>
      <c r="M44" s="95" t="n"/>
      <c r="N44" s="95" t="n"/>
      <c r="O44" s="95" t="n"/>
      <c r="P44" s="96" t="n"/>
    </row>
    <row r="45" ht="33" customFormat="1" customHeight="1" s="1">
      <c r="A45" s="53" t="n"/>
      <c r="B45" s="54" t="n"/>
      <c r="C45" s="54" t="n"/>
      <c r="D45" s="54" t="n"/>
      <c r="E45" s="15" t="n"/>
      <c r="F45" s="17" t="n"/>
      <c r="G45" s="54" t="n"/>
      <c r="H45" s="54" t="n"/>
      <c r="I45" s="15" t="n"/>
      <c r="J45" s="56" t="n"/>
      <c r="K45" s="57" t="n"/>
      <c r="L45" s="94" t="n"/>
      <c r="M45" s="95" t="n"/>
      <c r="N45" s="95" t="n"/>
      <c r="O45" s="95" t="n"/>
      <c r="P45" s="96" t="n"/>
    </row>
    <row r="46" ht="33" customFormat="1" customHeight="1" s="1">
      <c r="A46" s="53" t="n"/>
      <c r="B46" s="54" t="n"/>
      <c r="C46" s="54" t="n"/>
      <c r="D46" s="55" t="n"/>
      <c r="E46" s="15" t="n"/>
      <c r="F46" s="17" t="n"/>
      <c r="G46" s="54" t="n"/>
      <c r="H46" s="54" t="n"/>
      <c r="I46" s="15" t="n"/>
      <c r="J46" s="56" t="n"/>
      <c r="K46" s="57" t="n"/>
      <c r="L46" s="94" t="n"/>
      <c r="M46" s="95" t="n"/>
      <c r="N46" s="95" t="n"/>
      <c r="O46" s="95" t="n"/>
      <c r="P46" s="96" t="n"/>
    </row>
    <row r="47" ht="33" customFormat="1" customHeight="1" s="1">
      <c r="A47" s="53" t="n"/>
      <c r="B47" s="54" t="n"/>
      <c r="C47" s="54" t="n"/>
      <c r="D47" s="55" t="n"/>
      <c r="E47" s="15" t="n"/>
      <c r="F47" s="17" t="n"/>
      <c r="G47" s="54" t="n"/>
      <c r="H47" s="54" t="n"/>
      <c r="I47" s="15" t="n"/>
      <c r="J47" s="56" t="n"/>
      <c r="K47" s="57" t="n"/>
      <c r="L47" s="94" t="n"/>
      <c r="M47" s="95" t="n"/>
      <c r="N47" s="95" t="n"/>
      <c r="O47" s="95" t="n"/>
      <c r="P47" s="96" t="n"/>
    </row>
    <row r="48" ht="33" customFormat="1" customHeight="1" s="1">
      <c r="A48" s="53" t="n"/>
      <c r="B48" s="97" t="n"/>
      <c r="C48" s="97" t="n"/>
      <c r="D48" s="97" t="n"/>
      <c r="E48" s="95" t="n"/>
      <c r="F48" s="17" t="n"/>
      <c r="G48" s="97" t="n"/>
      <c r="H48" s="97" t="n"/>
      <c r="I48" s="95" t="n"/>
      <c r="J48" s="56" t="n"/>
      <c r="K48" s="57" t="n"/>
      <c r="L48" s="94" t="n"/>
      <c r="M48" s="95" t="n"/>
      <c r="N48" s="95" t="n"/>
      <c r="O48" s="95" t="n"/>
      <c r="P48" s="96" t="n"/>
    </row>
    <row r="49" ht="33" customFormat="1" customHeight="1" s="1">
      <c r="A49" s="53" t="n"/>
      <c r="B49" s="97" t="n"/>
      <c r="C49" s="97" t="n"/>
      <c r="D49" s="97" t="n"/>
      <c r="E49" s="95" t="n"/>
      <c r="F49" s="17" t="n"/>
      <c r="G49" s="97" t="n"/>
      <c r="H49" s="97" t="n"/>
      <c r="I49" s="95" t="n"/>
      <c r="J49" s="56" t="n"/>
      <c r="K49" s="57" t="n"/>
      <c r="L49" s="94" t="n"/>
      <c r="M49" s="95" t="n"/>
      <c r="N49" s="95" t="n"/>
      <c r="O49" s="95" t="n"/>
      <c r="P49" s="96" t="n"/>
    </row>
    <row r="50" ht="33" customFormat="1" customHeight="1" s="1">
      <c r="A50" s="53" t="n"/>
      <c r="B50" s="97" t="n"/>
      <c r="C50" s="97" t="n"/>
      <c r="D50" s="97" t="n"/>
      <c r="E50" s="95" t="n"/>
      <c r="F50" s="17" t="n"/>
      <c r="G50" s="97" t="n"/>
      <c r="H50" s="97" t="n"/>
      <c r="I50" s="95" t="n"/>
      <c r="J50" s="56" t="n"/>
      <c r="K50" s="57" t="n"/>
      <c r="L50" s="94" t="n"/>
      <c r="M50" s="95" t="n"/>
      <c r="N50" s="95" t="n"/>
      <c r="O50" s="95" t="n"/>
      <c r="P50" s="96" t="n"/>
    </row>
    <row r="51" ht="33" customFormat="1" customHeight="1" s="1">
      <c r="A51" s="53" t="n"/>
      <c r="B51" s="97" t="n"/>
      <c r="C51" s="97" t="n"/>
      <c r="D51" s="97" t="n"/>
      <c r="E51" s="95" t="n"/>
      <c r="F51" s="17" t="n"/>
      <c r="G51" s="97" t="n"/>
      <c r="H51" s="97" t="n"/>
      <c r="I51" s="95" t="n"/>
      <c r="J51" s="56" t="n"/>
      <c r="K51" s="57" t="n"/>
      <c r="L51" s="94" t="n"/>
      <c r="M51" s="95" t="n"/>
      <c r="N51" s="95" t="n"/>
      <c r="O51" s="95" t="n"/>
      <c r="P51" s="96" t="n"/>
    </row>
    <row r="52" ht="33" customFormat="1" customHeight="1" s="1">
      <c r="A52" s="53" t="n"/>
      <c r="B52" s="97" t="n"/>
      <c r="C52" s="97" t="n"/>
      <c r="D52" s="97" t="n"/>
      <c r="E52" s="95" t="n"/>
      <c r="F52" s="17" t="n"/>
      <c r="G52" s="97" t="n"/>
      <c r="H52" s="97" t="n"/>
      <c r="I52" s="95" t="n"/>
      <c r="J52" s="56" t="n"/>
      <c r="K52" s="57" t="n"/>
      <c r="L52" s="94" t="n"/>
      <c r="M52" s="95" t="n"/>
      <c r="N52" s="95" t="n"/>
      <c r="O52" s="95" t="n"/>
      <c r="P52" s="96" t="n"/>
    </row>
    <row r="53" ht="33" customFormat="1" customHeight="1" s="1">
      <c r="A53" s="53" t="n"/>
      <c r="B53" s="97" t="n"/>
      <c r="C53" s="97" t="n"/>
      <c r="D53" s="97" t="n"/>
      <c r="E53" s="95" t="n"/>
      <c r="F53" s="17" t="n"/>
      <c r="G53" s="97" t="n"/>
      <c r="H53" s="97" t="n"/>
      <c r="I53" s="95" t="n"/>
      <c r="J53" s="56" t="n"/>
      <c r="K53" s="57" t="n"/>
      <c r="L53" s="94" t="n"/>
      <c r="M53" s="95" t="n"/>
      <c r="N53" s="95" t="n"/>
      <c r="O53" s="95" t="n"/>
      <c r="P53" s="96" t="n"/>
    </row>
    <row r="54" ht="33" customFormat="1" customHeight="1" s="1">
      <c r="A54" s="53" t="n"/>
      <c r="B54" s="97" t="n"/>
      <c r="C54" s="97" t="n"/>
      <c r="D54" s="97" t="n"/>
      <c r="E54" s="95" t="n"/>
      <c r="F54" s="17" t="n"/>
      <c r="G54" s="97" t="n"/>
      <c r="H54" s="97" t="n"/>
      <c r="I54" s="95" t="n"/>
      <c r="J54" s="56" t="n"/>
      <c r="K54" s="57" t="n"/>
      <c r="L54" s="94" t="n"/>
      <c r="M54" s="95" t="n"/>
      <c r="N54" s="95" t="n"/>
      <c r="O54" s="95" t="n"/>
      <c r="P54" s="96" t="n"/>
    </row>
    <row r="55" ht="33" customFormat="1" customHeight="1" s="1">
      <c r="A55" s="53" t="n"/>
      <c r="B55" s="97" t="n"/>
      <c r="C55" s="97" t="n"/>
      <c r="D55" s="97" t="n"/>
      <c r="E55" s="95" t="n"/>
      <c r="F55" s="17" t="n"/>
      <c r="G55" s="97" t="n"/>
      <c r="H55" s="97" t="n"/>
      <c r="I55" s="95" t="n"/>
      <c r="J55" s="56" t="n"/>
      <c r="K55" s="57" t="n"/>
      <c r="L55" s="94" t="n"/>
      <c r="M55" s="95" t="n"/>
      <c r="N55" s="95" t="n"/>
      <c r="O55" s="95" t="n"/>
      <c r="P55" s="96" t="n"/>
    </row>
    <row r="56" ht="33" customFormat="1" customHeight="1" s="1">
      <c r="A56" s="53" t="n"/>
      <c r="B56" s="97" t="n"/>
      <c r="C56" s="97" t="n"/>
      <c r="D56" s="97" t="n"/>
      <c r="E56" s="95" t="n"/>
      <c r="F56" s="17" t="n"/>
      <c r="G56" s="97" t="n"/>
      <c r="H56" s="97" t="n"/>
      <c r="I56" s="95" t="n"/>
      <c r="J56" s="56" t="n"/>
      <c r="K56" s="57" t="n"/>
      <c r="L56" s="94" t="n"/>
      <c r="M56" s="95" t="n"/>
      <c r="N56" s="95" t="n"/>
      <c r="O56" s="95" t="n"/>
      <c r="P56" s="96" t="n"/>
    </row>
    <row r="57" ht="33" customFormat="1" customHeight="1" s="1">
      <c r="A57" s="53" t="n"/>
      <c r="B57" s="97" t="n"/>
      <c r="C57" s="97" t="n"/>
      <c r="D57" s="97" t="n"/>
      <c r="E57" s="95" t="n"/>
      <c r="F57" s="17" t="n"/>
      <c r="G57" s="97" t="n"/>
      <c r="H57" s="97" t="n"/>
      <c r="I57" s="95" t="n"/>
      <c r="J57" s="56" t="n"/>
      <c r="K57" s="57" t="n"/>
      <c r="L57" s="94" t="n"/>
      <c r="M57" s="95" t="n"/>
      <c r="N57" s="95" t="n"/>
      <c r="O57" s="95" t="n"/>
      <c r="P57" s="96" t="n"/>
    </row>
    <row r="58" ht="33" customFormat="1" customHeight="1" s="1">
      <c r="A58" s="53" t="n"/>
      <c r="B58" s="97" t="n"/>
      <c r="C58" s="97" t="n"/>
      <c r="D58" s="97" t="n"/>
      <c r="E58" s="95" t="n"/>
      <c r="F58" s="17" t="n"/>
      <c r="G58" s="97" t="n"/>
      <c r="H58" s="97" t="n"/>
      <c r="I58" s="95" t="n"/>
      <c r="J58" s="56" t="n"/>
      <c r="K58" s="57" t="n"/>
      <c r="L58" s="94" t="n"/>
      <c r="M58" s="95" t="n"/>
      <c r="N58" s="95" t="n"/>
      <c r="O58" s="95" t="n"/>
      <c r="P58" s="96" t="n"/>
    </row>
    <row r="59" ht="33" customFormat="1" customHeight="1" s="1">
      <c r="A59" s="53" t="n"/>
      <c r="B59" s="97" t="n"/>
      <c r="C59" s="97" t="n"/>
      <c r="D59" s="97" t="n"/>
      <c r="E59" s="95" t="n"/>
      <c r="F59" s="17" t="n"/>
      <c r="G59" s="97" t="n"/>
      <c r="H59" s="97" t="n"/>
      <c r="I59" s="95" t="n"/>
      <c r="J59" s="56" t="n"/>
      <c r="K59" s="57" t="n"/>
      <c r="L59" s="94" t="n"/>
      <c r="M59" s="95" t="n"/>
      <c r="N59" s="95" t="n"/>
      <c r="O59" s="95" t="n"/>
      <c r="P59" s="96" t="n"/>
    </row>
    <row r="60" ht="33" customFormat="1" customHeight="1" s="1">
      <c r="A60" s="53" t="n"/>
      <c r="B60" s="97" t="n"/>
      <c r="C60" s="97" t="n"/>
      <c r="D60" s="97" t="n"/>
      <c r="E60" s="95" t="n"/>
      <c r="F60" s="17" t="n"/>
      <c r="G60" s="97" t="n"/>
      <c r="H60" s="97" t="n"/>
      <c r="I60" s="95" t="n"/>
      <c r="J60" s="56" t="n"/>
      <c r="K60" s="57" t="n"/>
      <c r="L60" s="94" t="n"/>
      <c r="M60" s="95" t="n"/>
      <c r="N60" s="95" t="n"/>
      <c r="O60" s="95" t="n"/>
      <c r="P60" s="96" t="n"/>
    </row>
    <row r="61" ht="33" customFormat="1" customHeight="1" s="1">
      <c r="A61" s="53" t="n"/>
      <c r="B61" s="97" t="n"/>
      <c r="C61" s="97" t="n"/>
      <c r="D61" s="97" t="n"/>
      <c r="E61" s="95" t="n"/>
      <c r="F61" s="17" t="n"/>
      <c r="G61" s="97" t="n"/>
      <c r="H61" s="97" t="n"/>
      <c r="I61" s="95" t="n"/>
      <c r="J61" s="56" t="n"/>
      <c r="K61" s="57" t="n"/>
      <c r="L61" s="94" t="n"/>
      <c r="M61" s="95" t="n"/>
      <c r="N61" s="95" t="n"/>
      <c r="O61" s="95" t="n"/>
      <c r="P61" s="96" t="n"/>
    </row>
    <row r="62" ht="33" customFormat="1" customHeight="1" s="1">
      <c r="A62" s="53" t="n"/>
      <c r="B62" s="97" t="n"/>
      <c r="C62" s="97" t="n"/>
      <c r="D62" s="97" t="n"/>
      <c r="E62" s="95" t="n"/>
      <c r="F62" s="17" t="n"/>
      <c r="G62" s="97" t="n"/>
      <c r="H62" s="97" t="n"/>
      <c r="I62" s="95" t="n"/>
      <c r="J62" s="56" t="n"/>
      <c r="K62" s="57" t="n"/>
      <c r="L62" s="94" t="n"/>
      <c r="M62" s="95" t="n"/>
      <c r="N62" s="95" t="n"/>
      <c r="O62" s="95" t="n"/>
      <c r="P62" s="96" t="n"/>
    </row>
    <row r="63" ht="33" customFormat="1" customHeight="1" s="1">
      <c r="A63" s="53" t="n"/>
      <c r="B63" s="97" t="n"/>
      <c r="C63" s="97" t="n"/>
      <c r="D63" s="97" t="n"/>
      <c r="E63" s="95" t="n"/>
      <c r="F63" s="17" t="n"/>
      <c r="G63" s="97" t="n"/>
      <c r="H63" s="97" t="n"/>
      <c r="I63" s="95" t="n"/>
      <c r="J63" s="56" t="n"/>
      <c r="K63" s="57" t="n"/>
      <c r="L63" s="94" t="n"/>
      <c r="M63" s="95" t="n"/>
      <c r="N63" s="95" t="n"/>
      <c r="O63" s="95" t="n"/>
      <c r="P63" s="96" t="n"/>
    </row>
    <row r="64" ht="33" customFormat="1" customHeight="1" s="1">
      <c r="A64" s="53" t="n"/>
      <c r="B64" s="97" t="n"/>
      <c r="C64" s="97" t="n"/>
      <c r="D64" s="97" t="n"/>
      <c r="E64" s="95" t="n"/>
      <c r="F64" s="17" t="n"/>
      <c r="G64" s="97" t="n"/>
      <c r="H64" s="97" t="n"/>
      <c r="I64" s="95" t="n"/>
      <c r="J64" s="56" t="n"/>
      <c r="K64" s="57" t="n"/>
      <c r="L64" s="94" t="n"/>
      <c r="M64" s="95" t="n"/>
      <c r="N64" s="95" t="n"/>
      <c r="O64" s="95" t="n"/>
      <c r="P64" s="96" t="n"/>
    </row>
    <row r="65" ht="33" customFormat="1" customHeight="1" s="1">
      <c r="A65" s="53" t="n"/>
      <c r="B65" s="97" t="n"/>
      <c r="C65" s="97" t="n"/>
      <c r="D65" s="97" t="n"/>
      <c r="E65" s="95" t="n"/>
      <c r="F65" s="17" t="n"/>
      <c r="G65" s="97" t="n"/>
      <c r="H65" s="97" t="n"/>
      <c r="I65" s="95" t="n"/>
      <c r="J65" s="56" t="n"/>
      <c r="K65" s="57" t="n"/>
      <c r="L65" s="94" t="n"/>
      <c r="M65" s="95" t="n"/>
      <c r="N65" s="95" t="n"/>
      <c r="O65" s="95" t="n"/>
      <c r="P65" s="96" t="n"/>
    </row>
    <row r="66" ht="33" customFormat="1" customHeight="1" s="1">
      <c r="A66" s="53" t="n"/>
      <c r="B66" s="97" t="n"/>
      <c r="C66" s="97" t="n"/>
      <c r="D66" s="97" t="n"/>
      <c r="E66" s="95" t="n"/>
      <c r="F66" s="17" t="n"/>
      <c r="G66" s="97" t="n"/>
      <c r="H66" s="97" t="n"/>
      <c r="I66" s="95" t="n"/>
      <c r="J66" s="56" t="n"/>
      <c r="K66" s="57" t="n"/>
      <c r="L66" s="94" t="n"/>
      <c r="M66" s="95" t="n"/>
      <c r="N66" s="95" t="n"/>
      <c r="O66" s="95" t="n"/>
      <c r="P66" s="96" t="n"/>
    </row>
    <row r="67" ht="33" customFormat="1" customHeight="1" s="1">
      <c r="A67" s="53" t="n"/>
      <c r="B67" s="97" t="n"/>
      <c r="C67" s="97" t="n"/>
      <c r="D67" s="97" t="n"/>
      <c r="E67" s="95" t="n"/>
      <c r="F67" s="17" t="n"/>
      <c r="G67" s="97" t="n"/>
      <c r="H67" s="97" t="n"/>
      <c r="I67" s="95" t="n"/>
      <c r="J67" s="56" t="n"/>
      <c r="K67" s="57" t="n"/>
      <c r="L67" s="94" t="n"/>
      <c r="M67" s="95" t="n"/>
      <c r="N67" s="95" t="n"/>
      <c r="O67" s="95" t="n"/>
      <c r="P67" s="96" t="n"/>
    </row>
    <row r="68" ht="33" customFormat="1" customHeight="1" s="1">
      <c r="A68" s="53" t="n"/>
      <c r="B68" s="97" t="n"/>
      <c r="C68" s="97" t="n"/>
      <c r="D68" s="97" t="n"/>
      <c r="E68" s="95" t="n"/>
      <c r="F68" s="17" t="n"/>
      <c r="G68" s="97" t="n"/>
      <c r="H68" s="97" t="n"/>
      <c r="I68" s="95" t="n"/>
      <c r="J68" s="56" t="n"/>
      <c r="K68" s="57" t="n"/>
      <c r="L68" s="94" t="n"/>
      <c r="M68" s="95" t="n"/>
      <c r="N68" s="95" t="n"/>
      <c r="O68" s="95" t="n"/>
      <c r="P68" s="96" t="n"/>
    </row>
    <row r="69" ht="33" customFormat="1" customHeight="1" s="1">
      <c r="A69" s="53" t="n"/>
      <c r="B69" s="97" t="n"/>
      <c r="C69" s="97" t="n"/>
      <c r="D69" s="97" t="n"/>
      <c r="E69" s="95" t="n"/>
      <c r="F69" s="17" t="n"/>
      <c r="G69" s="97" t="n"/>
      <c r="H69" s="97" t="n"/>
      <c r="I69" s="95" t="n"/>
      <c r="J69" s="56" t="n"/>
      <c r="K69" s="57" t="n"/>
      <c r="L69" s="94" t="n"/>
      <c r="M69" s="95" t="n"/>
      <c r="N69" s="95" t="n"/>
      <c r="O69" s="95" t="n"/>
      <c r="P69" s="96" t="n"/>
    </row>
    <row r="70" ht="33" customFormat="1" customHeight="1" s="1">
      <c r="A70" s="53" t="n"/>
      <c r="B70" s="97" t="n"/>
      <c r="C70" s="97" t="n"/>
      <c r="D70" s="97" t="n"/>
      <c r="E70" s="95" t="n"/>
      <c r="F70" s="17" t="n"/>
      <c r="G70" s="97" t="n"/>
      <c r="H70" s="97" t="n"/>
      <c r="I70" s="95" t="n"/>
      <c r="J70" s="56" t="n"/>
      <c r="K70" s="57" t="n"/>
      <c r="L70" s="94" t="n"/>
      <c r="M70" s="95" t="n"/>
      <c r="N70" s="95" t="n"/>
      <c r="O70" s="95" t="n"/>
      <c r="P70" s="96" t="n"/>
    </row>
    <row r="71" ht="33" customFormat="1" customHeight="1" s="1">
      <c r="A71" s="53" t="n"/>
      <c r="B71" s="97" t="n"/>
      <c r="C71" s="97" t="n"/>
      <c r="D71" s="97" t="n"/>
      <c r="E71" s="95" t="n"/>
      <c r="F71" s="17" t="n"/>
      <c r="G71" s="97" t="n"/>
      <c r="H71" s="97" t="n"/>
      <c r="I71" s="95" t="n"/>
      <c r="J71" s="56" t="n"/>
      <c r="K71" s="57" t="n"/>
      <c r="L71" s="94" t="n"/>
      <c r="M71" s="95" t="n"/>
      <c r="N71" s="95" t="n"/>
      <c r="O71" s="95" t="n"/>
      <c r="P71" s="96" t="n"/>
    </row>
    <row r="72" ht="33" customFormat="1" customHeight="1" s="1">
      <c r="A72" s="53" t="n"/>
      <c r="B72" s="97" t="n"/>
      <c r="C72" s="97" t="n"/>
      <c r="D72" s="97" t="n"/>
      <c r="E72" s="95" t="n"/>
      <c r="F72" s="17" t="n"/>
      <c r="G72" s="97" t="n"/>
      <c r="H72" s="97" t="n"/>
      <c r="I72" s="95" t="n"/>
      <c r="J72" s="56" t="n"/>
      <c r="K72" s="57" t="n"/>
      <c r="L72" s="94" t="n"/>
      <c r="M72" s="95" t="n"/>
      <c r="N72" s="95" t="n"/>
      <c r="O72" s="95" t="n"/>
      <c r="P72" s="96" t="n"/>
    </row>
    <row r="73" ht="33" customFormat="1" customHeight="1" s="1">
      <c r="A73" s="53" t="n"/>
      <c r="B73" s="97" t="n"/>
      <c r="C73" s="97" t="n"/>
      <c r="D73" s="97" t="n"/>
      <c r="E73" s="95" t="n"/>
      <c r="F73" s="17" t="n"/>
      <c r="G73" s="97" t="n"/>
      <c r="H73" s="97" t="n"/>
      <c r="I73" s="95" t="n"/>
      <c r="J73" s="56" t="n"/>
      <c r="K73" s="57" t="n"/>
      <c r="L73" s="94" t="n"/>
      <c r="M73" s="95" t="n"/>
      <c r="N73" s="95" t="n"/>
      <c r="O73" s="95" t="n"/>
      <c r="P73" s="96" t="n"/>
    </row>
    <row r="74" ht="33" customFormat="1" customHeight="1" s="1">
      <c r="A74" s="53" t="n"/>
      <c r="B74" s="97" t="n"/>
      <c r="C74" s="97" t="n"/>
      <c r="D74" s="97" t="n"/>
      <c r="E74" s="95" t="n"/>
      <c r="F74" s="17" t="n"/>
      <c r="G74" s="97" t="n"/>
      <c r="H74" s="97" t="n"/>
      <c r="I74" s="95" t="n"/>
      <c r="J74" s="56" t="n"/>
      <c r="K74" s="57" t="n"/>
      <c r="L74" s="94" t="n"/>
      <c r="M74" s="95" t="n"/>
      <c r="N74" s="95" t="n"/>
      <c r="O74" s="95" t="n"/>
      <c r="P74" s="96" t="n"/>
    </row>
    <row r="75" ht="33" customFormat="1" customHeight="1" s="1">
      <c r="A75" s="53" t="n"/>
      <c r="B75" s="97" t="n"/>
      <c r="C75" s="97" t="n"/>
      <c r="D75" s="97" t="n"/>
      <c r="E75" s="95" t="n"/>
      <c r="F75" s="17" t="n"/>
      <c r="G75" s="97" t="n"/>
      <c r="H75" s="97" t="n"/>
      <c r="I75" s="95" t="n"/>
      <c r="J75" s="56" t="n"/>
      <c r="K75" s="57" t="n"/>
      <c r="L75" s="94" t="n"/>
      <c r="M75" s="95" t="n"/>
      <c r="N75" s="95" t="n"/>
      <c r="O75" s="95" t="n"/>
      <c r="P75" s="96" t="n"/>
    </row>
    <row r="76" ht="33" customFormat="1" customHeight="1" s="1">
      <c r="A76" s="53" t="n"/>
      <c r="B76" s="97" t="n"/>
      <c r="C76" s="97" t="n"/>
      <c r="D76" s="97" t="n"/>
      <c r="E76" s="95" t="n"/>
      <c r="F76" s="17" t="n"/>
      <c r="G76" s="97" t="n"/>
      <c r="H76" s="97" t="n"/>
      <c r="I76" s="95" t="n"/>
      <c r="J76" s="56" t="n"/>
      <c r="K76" s="57" t="n"/>
      <c r="L76" s="94" t="n"/>
      <c r="M76" s="95" t="n"/>
      <c r="N76" s="95" t="n"/>
      <c r="O76" s="95" t="n"/>
      <c r="P76" s="96" t="n"/>
    </row>
    <row r="77" ht="33" customFormat="1" customHeight="1" s="1">
      <c r="A77" s="53" t="n"/>
      <c r="B77" s="97" t="n"/>
      <c r="C77" s="97" t="n"/>
      <c r="D77" s="97" t="n"/>
      <c r="E77" s="95" t="n"/>
      <c r="F77" s="17" t="n"/>
      <c r="G77" s="97" t="n"/>
      <c r="H77" s="97" t="n"/>
      <c r="I77" s="95" t="n"/>
      <c r="J77" s="56" t="n"/>
      <c r="K77" s="57" t="n"/>
      <c r="L77" s="94" t="n"/>
      <c r="M77" s="95" t="n"/>
      <c r="N77" s="95" t="n"/>
      <c r="O77" s="95" t="n"/>
      <c r="P77" s="96" t="n"/>
    </row>
    <row r="78" ht="33" customFormat="1" customHeight="1" s="1">
      <c r="A78" s="53" t="n"/>
      <c r="B78" s="97" t="n"/>
      <c r="C78" s="97" t="n"/>
      <c r="D78" s="97" t="n"/>
      <c r="E78" s="95" t="n"/>
      <c r="F78" s="17" t="n"/>
      <c r="G78" s="97" t="n"/>
      <c r="H78" s="97" t="n"/>
      <c r="I78" s="95" t="n"/>
      <c r="J78" s="56" t="n"/>
      <c r="K78" s="57" t="n"/>
      <c r="L78" s="94" t="n"/>
      <c r="M78" s="95" t="n"/>
      <c r="N78" s="95" t="n"/>
      <c r="O78" s="95" t="n"/>
      <c r="P78" s="96" t="n"/>
    </row>
    <row r="79" ht="33" customFormat="1" customHeight="1" s="1">
      <c r="A79" s="53" t="n"/>
      <c r="B79" s="97" t="n"/>
      <c r="C79" s="97" t="n"/>
      <c r="D79" s="97" t="n"/>
      <c r="E79" s="95" t="n"/>
      <c r="F79" s="17" t="n"/>
      <c r="G79" s="97" t="n"/>
      <c r="H79" s="97" t="n"/>
      <c r="I79" s="95" t="n"/>
      <c r="J79" s="56" t="n"/>
      <c r="K79" s="57" t="n"/>
      <c r="L79" s="94" t="n"/>
      <c r="M79" s="95" t="n"/>
      <c r="N79" s="95" t="n"/>
      <c r="O79" s="95" t="n"/>
      <c r="P79" s="96" t="n"/>
    </row>
    <row r="80" ht="33" customFormat="1" customHeight="1" s="1">
      <c r="A80" s="53" t="n"/>
      <c r="B80" s="97" t="n"/>
      <c r="C80" s="97" t="n"/>
      <c r="D80" s="97" t="n"/>
      <c r="E80" s="95" t="n"/>
      <c r="F80" s="17" t="n"/>
      <c r="G80" s="97" t="n"/>
      <c r="H80" s="97" t="n"/>
      <c r="I80" s="95" t="n"/>
      <c r="J80" s="56" t="n"/>
      <c r="K80" s="57" t="n"/>
      <c r="L80" s="94" t="n"/>
      <c r="M80" s="95" t="n"/>
      <c r="N80" s="95" t="n"/>
      <c r="O80" s="95" t="n"/>
      <c r="P80" s="96" t="n"/>
    </row>
    <row r="81" ht="33" customFormat="1" customHeight="1" s="1">
      <c r="A81" s="53" t="n"/>
      <c r="B81" s="97" t="n"/>
      <c r="C81" s="97" t="n"/>
      <c r="D81" s="97" t="n"/>
      <c r="E81" s="95" t="n"/>
      <c r="F81" s="17" t="n"/>
      <c r="G81" s="97" t="n"/>
      <c r="H81" s="97" t="n"/>
      <c r="I81" s="95" t="n"/>
      <c r="J81" s="56" t="n"/>
      <c r="K81" s="57" t="n"/>
      <c r="L81" s="94" t="n"/>
      <c r="M81" s="95" t="n"/>
      <c r="N81" s="95" t="n"/>
      <c r="O81" s="95" t="n"/>
      <c r="P81" s="96" t="n"/>
    </row>
    <row r="82" ht="33" customFormat="1" customHeight="1" s="1">
      <c r="A82" s="53" t="n"/>
      <c r="B82" s="97" t="n"/>
      <c r="C82" s="97" t="n"/>
      <c r="D82" s="97" t="n"/>
      <c r="E82" s="95" t="n"/>
      <c r="F82" s="17" t="n"/>
      <c r="G82" s="97" t="n"/>
      <c r="H82" s="97" t="n"/>
      <c r="I82" s="95" t="n"/>
      <c r="J82" s="56" t="n"/>
      <c r="K82" s="57" t="n"/>
      <c r="L82" s="94" t="n"/>
      <c r="M82" s="95" t="n"/>
      <c r="N82" s="95" t="n"/>
      <c r="O82" s="95" t="n"/>
      <c r="P82" s="96" t="n"/>
    </row>
    <row r="83" ht="33" customFormat="1" customHeight="1" s="1">
      <c r="A83" s="53" t="n"/>
      <c r="B83" s="97" t="n"/>
      <c r="C83" s="97" t="n"/>
      <c r="D83" s="97" t="n"/>
      <c r="E83" s="95" t="n"/>
      <c r="F83" s="17" t="n"/>
      <c r="G83" s="97" t="n"/>
      <c r="H83" s="97" t="n"/>
      <c r="I83" s="95" t="n"/>
      <c r="J83" s="56" t="n"/>
      <c r="K83" s="57" t="n"/>
      <c r="L83" s="94" t="n"/>
      <c r="M83" s="95" t="n"/>
      <c r="N83" s="95" t="n"/>
      <c r="O83" s="95" t="n"/>
      <c r="P83" s="96" t="n"/>
    </row>
    <row r="84" ht="33" customFormat="1" customHeight="1" s="1">
      <c r="A84" s="53" t="n"/>
      <c r="B84" s="97" t="n"/>
      <c r="C84" s="97" t="n"/>
      <c r="D84" s="97" t="n"/>
      <c r="E84" s="95" t="n"/>
      <c r="F84" s="17" t="n"/>
      <c r="G84" s="97" t="n"/>
      <c r="H84" s="97" t="n"/>
      <c r="I84" s="95" t="n"/>
      <c r="J84" s="56" t="n"/>
      <c r="K84" s="57" t="n"/>
      <c r="L84" s="94" t="n"/>
      <c r="M84" s="95" t="n"/>
      <c r="N84" s="95" t="n"/>
      <c r="O84" s="95" t="n"/>
      <c r="P84" s="96" t="n"/>
    </row>
    <row r="85" ht="33" customFormat="1" customHeight="1" s="1">
      <c r="A85" s="53" t="n"/>
      <c r="B85" s="97" t="n"/>
      <c r="C85" s="97" t="n"/>
      <c r="D85" s="97" t="n"/>
      <c r="E85" s="95" t="n"/>
      <c r="F85" s="17" t="n"/>
      <c r="G85" s="97" t="n"/>
      <c r="H85" s="97" t="n"/>
      <c r="I85" s="95" t="n"/>
      <c r="J85" s="56" t="n"/>
      <c r="K85" s="57" t="n"/>
      <c r="L85" s="94" t="n"/>
      <c r="M85" s="95" t="n"/>
      <c r="N85" s="95" t="n"/>
      <c r="O85" s="95" t="n"/>
      <c r="P85" s="96" t="n"/>
    </row>
    <row r="86" ht="33" customFormat="1" customHeight="1" s="1">
      <c r="A86" s="53" t="n"/>
      <c r="B86" s="97" t="n"/>
      <c r="C86" s="97" t="n"/>
      <c r="D86" s="97" t="n"/>
      <c r="E86" s="95" t="n"/>
      <c r="F86" s="17" t="n"/>
      <c r="G86" s="97" t="n"/>
      <c r="H86" s="97" t="n"/>
      <c r="I86" s="95" t="n"/>
      <c r="J86" s="56" t="n"/>
      <c r="K86" s="57" t="n"/>
      <c r="L86" s="94" t="n"/>
      <c r="M86" s="95" t="n"/>
      <c r="N86" s="95" t="n"/>
      <c r="O86" s="95" t="n"/>
      <c r="P86" s="96" t="n"/>
    </row>
    <row r="87" ht="33" customFormat="1" customHeight="1" s="1">
      <c r="A87" s="53" t="n"/>
      <c r="B87" s="97" t="n"/>
      <c r="C87" s="97" t="n"/>
      <c r="D87" s="97" t="n"/>
      <c r="E87" s="95" t="n"/>
      <c r="F87" s="17" t="n"/>
      <c r="G87" s="97" t="n"/>
      <c r="H87" s="97" t="n"/>
      <c r="I87" s="95" t="n"/>
      <c r="J87" s="56" t="n"/>
      <c r="K87" s="57" t="n"/>
      <c r="L87" s="94" t="n"/>
      <c r="M87" s="95" t="n"/>
      <c r="N87" s="95" t="n"/>
      <c r="O87" s="95" t="n"/>
      <c r="P87" s="96" t="n"/>
    </row>
    <row r="88" ht="33" customFormat="1" customHeight="1" s="1">
      <c r="A88" s="53" t="n"/>
      <c r="B88" s="97" t="n"/>
      <c r="C88" s="97" t="n"/>
      <c r="D88" s="97" t="n"/>
      <c r="E88" s="95" t="n"/>
      <c r="F88" s="17" t="n"/>
      <c r="G88" s="97" t="n"/>
      <c r="H88" s="97" t="n"/>
      <c r="I88" s="95" t="n"/>
      <c r="J88" s="56" t="n"/>
      <c r="K88" s="57" t="n"/>
      <c r="L88" s="94" t="n"/>
      <c r="M88" s="95" t="n"/>
      <c r="N88" s="95" t="n"/>
      <c r="O88" s="95" t="n"/>
      <c r="P88" s="96" t="n"/>
    </row>
    <row r="89" ht="33" customFormat="1" customHeight="1" s="1">
      <c r="A89" s="53" t="n"/>
      <c r="B89" s="97" t="n"/>
      <c r="C89" s="97" t="n"/>
      <c r="D89" s="97" t="n"/>
      <c r="E89" s="95" t="n"/>
      <c r="F89" s="17" t="n"/>
      <c r="G89" s="97" t="n"/>
      <c r="H89" s="97" t="n"/>
      <c r="I89" s="95" t="n"/>
      <c r="J89" s="56" t="n"/>
      <c r="K89" s="57" t="n"/>
      <c r="L89" s="94" t="n"/>
      <c r="M89" s="95" t="n"/>
      <c r="N89" s="95" t="n"/>
      <c r="O89" s="95" t="n"/>
      <c r="P89" s="96" t="n"/>
    </row>
    <row r="90" ht="33" customFormat="1" customHeight="1" s="1">
      <c r="A90" s="53" t="n"/>
      <c r="B90" s="97" t="n"/>
      <c r="C90" s="97" t="n"/>
      <c r="D90" s="97" t="n"/>
      <c r="E90" s="95" t="n"/>
      <c r="F90" s="17" t="n"/>
      <c r="G90" s="97" t="n"/>
      <c r="H90" s="97" t="n"/>
      <c r="I90" s="95" t="n"/>
      <c r="J90" s="56" t="n"/>
      <c r="K90" s="57" t="n"/>
      <c r="L90" s="94" t="n"/>
      <c r="M90" s="95" t="n"/>
      <c r="N90" s="95" t="n"/>
      <c r="O90" s="95" t="n"/>
      <c r="P90" s="96" t="n"/>
    </row>
    <row r="91" ht="33" customFormat="1" customHeight="1" s="1">
      <c r="A91" s="53" t="n"/>
      <c r="B91" s="97" t="n"/>
      <c r="C91" s="97" t="n"/>
      <c r="D91" s="97" t="n"/>
      <c r="E91" s="95" t="n"/>
      <c r="F91" s="17" t="n"/>
      <c r="G91" s="97" t="n"/>
      <c r="H91" s="97" t="n"/>
      <c r="I91" s="95" t="n"/>
      <c r="J91" s="56" t="n"/>
      <c r="K91" s="57" t="n"/>
      <c r="L91" s="94" t="n"/>
      <c r="M91" s="95" t="n"/>
      <c r="N91" s="95" t="n"/>
      <c r="O91" s="95" t="n"/>
      <c r="P91" s="96" t="n"/>
    </row>
    <row r="92" ht="33" customFormat="1" customHeight="1" s="1">
      <c r="A92" s="53" t="n"/>
      <c r="B92" s="97" t="n"/>
      <c r="C92" s="97" t="n"/>
      <c r="D92" s="97" t="n"/>
      <c r="E92" s="95" t="n"/>
      <c r="F92" s="17" t="n"/>
      <c r="G92" s="97" t="n"/>
      <c r="H92" s="97" t="n"/>
      <c r="I92" s="95" t="n"/>
      <c r="J92" s="56" t="n"/>
      <c r="K92" s="57" t="n"/>
      <c r="L92" s="94" t="n"/>
      <c r="M92" s="95" t="n"/>
      <c r="N92" s="95" t="n"/>
      <c r="O92" s="95" t="n"/>
      <c r="P92" s="96" t="n"/>
    </row>
    <row r="93" ht="33" customFormat="1" customHeight="1" s="1">
      <c r="A93" s="53" t="n"/>
      <c r="B93" s="97" t="n"/>
      <c r="C93" s="97" t="n"/>
      <c r="D93" s="97" t="n"/>
      <c r="E93" s="95" t="n"/>
      <c r="F93" s="17" t="n"/>
      <c r="G93" s="97" t="n"/>
      <c r="H93" s="97" t="n"/>
      <c r="I93" s="95" t="n"/>
      <c r="J93" s="56" t="n"/>
      <c r="K93" s="57" t="n"/>
      <c r="L93" s="94" t="n"/>
      <c r="M93" s="95" t="n"/>
      <c r="N93" s="95" t="n"/>
      <c r="O93" s="95" t="n"/>
      <c r="P93" s="96" t="n"/>
    </row>
    <row r="94" ht="33" customFormat="1" customHeight="1" s="1">
      <c r="A94" s="53" t="n"/>
      <c r="B94" s="97" t="n"/>
      <c r="C94" s="97" t="n"/>
      <c r="D94" s="97" t="n"/>
      <c r="E94" s="95" t="n"/>
      <c r="F94" s="17" t="n"/>
      <c r="G94" s="97" t="n"/>
      <c r="H94" s="97" t="n"/>
      <c r="I94" s="95" t="n"/>
      <c r="J94" s="56" t="n"/>
      <c r="K94" s="57" t="n"/>
      <c r="L94" s="94" t="n"/>
      <c r="M94" s="95" t="n"/>
      <c r="N94" s="95" t="n"/>
      <c r="O94" s="95" t="n"/>
      <c r="P94" s="96" t="n"/>
    </row>
    <row r="95" ht="33" customFormat="1" customHeight="1" s="1">
      <c r="A95" s="53" t="n"/>
      <c r="B95" s="97" t="n"/>
      <c r="C95" s="97" t="n"/>
      <c r="D95" s="97" t="n"/>
      <c r="E95" s="95" t="n"/>
      <c r="F95" s="17" t="n"/>
      <c r="G95" s="97" t="n"/>
      <c r="H95" s="97" t="n"/>
      <c r="I95" s="95" t="n"/>
      <c r="J95" s="56" t="n"/>
      <c r="K95" s="57" t="n"/>
      <c r="L95" s="94" t="n"/>
      <c r="M95" s="95" t="n"/>
      <c r="N95" s="95" t="n"/>
      <c r="O95" s="95" t="n"/>
      <c r="P95" s="96" t="n"/>
    </row>
    <row r="96" ht="33" customFormat="1" customHeight="1" s="1">
      <c r="A96" s="53" t="n"/>
      <c r="B96" s="97" t="n"/>
      <c r="C96" s="97" t="n"/>
      <c r="D96" s="97" t="n"/>
      <c r="E96" s="95" t="n"/>
      <c r="F96" s="17" t="n"/>
      <c r="G96" s="97" t="n"/>
      <c r="H96" s="97" t="n"/>
      <c r="I96" s="95" t="n"/>
      <c r="J96" s="56" t="n"/>
      <c r="K96" s="57" t="n"/>
      <c r="L96" s="94" t="n"/>
      <c r="M96" s="95" t="n"/>
      <c r="N96" s="95" t="n"/>
      <c r="O96" s="95" t="n"/>
      <c r="P96" s="96" t="n"/>
    </row>
    <row r="97" ht="33" customFormat="1" customHeight="1" s="1">
      <c r="A97" s="53" t="n"/>
      <c r="B97" s="97" t="n"/>
      <c r="C97" s="97" t="n"/>
      <c r="D97" s="97" t="n"/>
      <c r="E97" s="95" t="n"/>
      <c r="F97" s="17" t="n"/>
      <c r="G97" s="97" t="n"/>
      <c r="H97" s="97" t="n"/>
      <c r="I97" s="95" t="n"/>
      <c r="J97" s="56" t="n"/>
      <c r="K97" s="57" t="n"/>
      <c r="L97" s="94" t="n"/>
      <c r="M97" s="95" t="n"/>
      <c r="N97" s="95" t="n"/>
      <c r="O97" s="95" t="n"/>
      <c r="P97" s="96" t="n"/>
    </row>
    <row r="98" ht="33" customFormat="1" customHeight="1" s="1">
      <c r="A98" s="53" t="n"/>
      <c r="B98" s="97" t="n"/>
      <c r="C98" s="97" t="n"/>
      <c r="D98" s="97" t="n"/>
      <c r="E98" s="95" t="n"/>
      <c r="F98" s="17" t="n"/>
      <c r="G98" s="97" t="n"/>
      <c r="H98" s="97" t="n"/>
      <c r="I98" s="95" t="n"/>
      <c r="J98" s="56" t="n"/>
      <c r="K98" s="57" t="n"/>
      <c r="L98" s="94" t="n"/>
      <c r="M98" s="95" t="n"/>
      <c r="N98" s="95" t="n"/>
      <c r="O98" s="95" t="n"/>
      <c r="P98" s="96" t="n"/>
    </row>
    <row r="99" ht="33" customFormat="1" customHeight="1" s="1">
      <c r="A99" s="53" t="n"/>
      <c r="B99" s="97" t="n"/>
      <c r="C99" s="97" t="n"/>
      <c r="D99" s="97" t="n"/>
      <c r="E99" s="95" t="n"/>
      <c r="F99" s="17" t="n"/>
      <c r="G99" s="97" t="n"/>
      <c r="H99" s="97" t="n"/>
      <c r="I99" s="95" t="n"/>
      <c r="J99" s="56" t="n"/>
      <c r="K99" s="57" t="n"/>
      <c r="L99" s="94" t="n"/>
      <c r="M99" s="95" t="n"/>
      <c r="N99" s="95" t="n"/>
      <c r="O99" s="95" t="n"/>
      <c r="P99" s="96" t="n"/>
    </row>
    <row r="100" ht="33" customFormat="1" customHeight="1" s="1">
      <c r="A100" s="53" t="n"/>
      <c r="B100" s="97" t="n"/>
      <c r="C100" s="97" t="n"/>
      <c r="D100" s="97" t="n"/>
      <c r="E100" s="95" t="n"/>
      <c r="F100" s="17" t="n"/>
      <c r="G100" s="97" t="n"/>
      <c r="H100" s="97" t="n"/>
      <c r="I100" s="95" t="n"/>
      <c r="J100" s="56" t="n"/>
      <c r="K100" s="57" t="n"/>
      <c r="L100" s="94" t="n"/>
      <c r="M100" s="95" t="n"/>
      <c r="N100" s="95" t="n"/>
      <c r="O100" s="95" t="n"/>
      <c r="P100" s="96" t="n"/>
    </row>
    <row r="101" ht="33" customFormat="1" customHeight="1" s="1">
      <c r="A101" s="53" t="n"/>
      <c r="B101" s="97" t="n"/>
      <c r="C101" s="97" t="n"/>
      <c r="D101" s="97" t="n"/>
      <c r="E101" s="95" t="n"/>
      <c r="F101" s="17" t="n"/>
      <c r="G101" s="97" t="n"/>
      <c r="H101" s="97" t="n"/>
      <c r="I101" s="95" t="n"/>
      <c r="J101" s="56" t="n"/>
      <c r="K101" s="57" t="n"/>
      <c r="L101" s="94" t="n"/>
      <c r="M101" s="95" t="n"/>
      <c r="N101" s="95" t="n"/>
      <c r="O101" s="95" t="n"/>
      <c r="P101" s="96" t="n"/>
    </row>
    <row r="102" ht="33" customFormat="1" customHeight="1" s="1">
      <c r="A102" s="53" t="n"/>
      <c r="B102" s="97" t="n"/>
      <c r="C102" s="97" t="n"/>
      <c r="D102" s="97" t="n"/>
      <c r="E102" s="95" t="n"/>
      <c r="F102" s="17" t="n"/>
      <c r="G102" s="97" t="n"/>
      <c r="H102" s="97" t="n"/>
      <c r="I102" s="95" t="n"/>
      <c r="J102" s="56" t="n"/>
      <c r="K102" s="57" t="n"/>
      <c r="L102" s="94" t="n"/>
      <c r="M102" s="95" t="n"/>
      <c r="N102" s="95" t="n"/>
      <c r="O102" s="95" t="n"/>
      <c r="P102" s="96" t="n"/>
    </row>
    <row r="103" ht="33" customFormat="1" customHeight="1" s="1">
      <c r="A103" s="53" t="n"/>
      <c r="B103" s="97" t="n"/>
      <c r="C103" s="97" t="n"/>
      <c r="D103" s="97" t="n"/>
      <c r="E103" s="95" t="n"/>
      <c r="F103" s="17" t="n"/>
      <c r="G103" s="97" t="n"/>
      <c r="H103" s="97" t="n"/>
      <c r="I103" s="95" t="n"/>
      <c r="J103" s="56" t="n"/>
      <c r="K103" s="57" t="n"/>
      <c r="L103" s="94" t="n"/>
      <c r="M103" s="95" t="n"/>
      <c r="N103" s="95" t="n"/>
      <c r="O103" s="95" t="n"/>
      <c r="P103" s="96" t="n"/>
    </row>
    <row r="104" ht="33" customFormat="1" customHeight="1" s="1">
      <c r="A104" s="53" t="n"/>
      <c r="B104" s="97" t="n"/>
      <c r="C104" s="97" t="n"/>
      <c r="D104" s="97" t="n"/>
      <c r="E104" s="95" t="n"/>
      <c r="F104" s="17" t="n"/>
      <c r="G104" s="97" t="n"/>
      <c r="H104" s="97" t="n"/>
      <c r="I104" s="95" t="n"/>
      <c r="J104" s="56" t="n"/>
      <c r="K104" s="57" t="n"/>
      <c r="L104" s="94" t="n"/>
      <c r="M104" s="95" t="n"/>
      <c r="N104" s="95" t="n"/>
      <c r="O104" s="95" t="n"/>
      <c r="P104" s="96" t="n"/>
    </row>
    <row r="105" ht="33" customFormat="1" customHeight="1" s="1">
      <c r="A105" s="53" t="n"/>
      <c r="B105" s="97" t="n"/>
      <c r="C105" s="97" t="n"/>
      <c r="D105" s="97" t="n"/>
      <c r="E105" s="95" t="n"/>
      <c r="F105" s="17" t="n"/>
      <c r="G105" s="97" t="n"/>
      <c r="H105" s="97" t="n"/>
      <c r="I105" s="95" t="n"/>
      <c r="J105" s="56" t="n"/>
      <c r="K105" s="57" t="n"/>
      <c r="L105" s="94" t="n"/>
      <c r="M105" s="95" t="n"/>
      <c r="N105" s="95" t="n"/>
      <c r="O105" s="95" t="n"/>
      <c r="P105" s="96" t="n"/>
    </row>
    <row r="106" ht="33" customFormat="1" customHeight="1" s="1">
      <c r="A106" s="53" t="n"/>
      <c r="B106" s="97" t="n"/>
      <c r="C106" s="97" t="n"/>
      <c r="D106" s="97" t="n"/>
      <c r="E106" s="95" t="n"/>
      <c r="F106" s="17" t="n"/>
      <c r="G106" s="97" t="n"/>
      <c r="H106" s="97" t="n"/>
      <c r="I106" s="95" t="n"/>
      <c r="J106" s="56" t="n"/>
      <c r="K106" s="57" t="n"/>
      <c r="L106" s="94" t="n"/>
      <c r="M106" s="95" t="n"/>
      <c r="N106" s="95" t="n"/>
      <c r="O106" s="95" t="n"/>
      <c r="P106" s="96" t="n"/>
    </row>
    <row r="107" ht="33" customFormat="1" customHeight="1" s="1">
      <c r="A107" s="53" t="n"/>
      <c r="B107" s="97" t="n"/>
      <c r="C107" s="97" t="n"/>
      <c r="D107" s="97" t="n"/>
      <c r="E107" s="95" t="n"/>
      <c r="F107" s="17" t="n"/>
      <c r="G107" s="97" t="n"/>
      <c r="H107" s="97" t="n"/>
      <c r="I107" s="95" t="n"/>
      <c r="J107" s="56" t="n"/>
      <c r="K107" s="57" t="n"/>
      <c r="L107" s="94" t="n"/>
      <c r="M107" s="95" t="n"/>
      <c r="N107" s="95" t="n"/>
      <c r="O107" s="95" t="n"/>
      <c r="P107" s="96" t="n"/>
    </row>
    <row r="108" ht="33" customFormat="1" customHeight="1" s="1">
      <c r="A108" s="53" t="n"/>
      <c r="B108" s="97" t="n"/>
      <c r="C108" s="97" t="n"/>
      <c r="D108" s="97" t="n"/>
      <c r="E108" s="95" t="n"/>
      <c r="F108" s="17" t="n"/>
      <c r="G108" s="97" t="n"/>
      <c r="H108" s="97" t="n"/>
      <c r="I108" s="95" t="n"/>
      <c r="J108" s="56" t="n"/>
      <c r="K108" s="57" t="n"/>
      <c r="L108" s="94" t="n"/>
      <c r="M108" s="95" t="n"/>
      <c r="N108" s="95" t="n"/>
      <c r="O108" s="95" t="n"/>
      <c r="P108" s="96" t="n"/>
    </row>
    <row r="109" ht="33" customFormat="1" customHeight="1" s="1">
      <c r="A109" s="53" t="n"/>
      <c r="B109" s="97" t="n"/>
      <c r="C109" s="97" t="n"/>
      <c r="D109" s="97" t="n"/>
      <c r="E109" s="95" t="n"/>
      <c r="F109" s="17" t="n"/>
      <c r="G109" s="97" t="n"/>
      <c r="H109" s="97" t="n"/>
      <c r="I109" s="95" t="n"/>
      <c r="J109" s="56" t="n"/>
      <c r="K109" s="57" t="n"/>
      <c r="L109" s="94" t="n"/>
      <c r="M109" s="95" t="n"/>
      <c r="N109" s="95" t="n"/>
      <c r="O109" s="95" t="n"/>
      <c r="P109" s="96" t="n"/>
    </row>
    <row r="110" ht="33" customFormat="1" customHeight="1" s="1">
      <c r="A110" s="53" t="n"/>
      <c r="B110" s="97" t="n"/>
      <c r="C110" s="97" t="n"/>
      <c r="D110" s="97" t="n"/>
      <c r="E110" s="95" t="n"/>
      <c r="F110" s="17" t="n"/>
      <c r="G110" s="97" t="n"/>
      <c r="H110" s="97" t="n"/>
      <c r="I110" s="95" t="n"/>
      <c r="J110" s="56" t="n"/>
      <c r="K110" s="57" t="n"/>
      <c r="L110" s="94" t="n"/>
      <c r="M110" s="95" t="n"/>
      <c r="N110" s="95" t="n"/>
      <c r="O110" s="95" t="n"/>
      <c r="P110" s="96" t="n"/>
    </row>
    <row r="111" ht="33" customFormat="1" customHeight="1" s="1">
      <c r="A111" s="53" t="n"/>
      <c r="B111" s="97" t="n"/>
      <c r="C111" s="97" t="n"/>
      <c r="D111" s="97" t="n"/>
      <c r="E111" s="95" t="n"/>
      <c r="F111" s="17" t="n"/>
      <c r="G111" s="97" t="n"/>
      <c r="H111" s="97" t="n"/>
      <c r="I111" s="95" t="n"/>
      <c r="J111" s="56" t="n"/>
      <c r="K111" s="57" t="n"/>
      <c r="L111" s="94" t="n"/>
      <c r="M111" s="95" t="n"/>
      <c r="N111" s="95" t="n"/>
      <c r="O111" s="95" t="n"/>
      <c r="P111" s="96" t="n"/>
    </row>
    <row r="112" ht="33" customFormat="1" customHeight="1" s="1">
      <c r="A112" s="53" t="n"/>
      <c r="B112" s="97" t="n"/>
      <c r="C112" s="97" t="n"/>
      <c r="D112" s="97" t="n"/>
      <c r="E112" s="95" t="n"/>
      <c r="F112" s="17" t="n"/>
      <c r="G112" s="97" t="n"/>
      <c r="H112" s="97" t="n"/>
      <c r="I112" s="95" t="n"/>
      <c r="J112" s="56" t="n"/>
      <c r="K112" s="57" t="n"/>
      <c r="L112" s="94" t="n"/>
      <c r="M112" s="95" t="n"/>
      <c r="N112" s="95" t="n"/>
      <c r="O112" s="95" t="n"/>
      <c r="P112" s="96" t="n"/>
    </row>
    <row r="113" ht="33" customFormat="1" customHeight="1" s="1">
      <c r="A113" s="53" t="n"/>
      <c r="B113" s="97" t="n"/>
      <c r="C113" s="97" t="n"/>
      <c r="D113" s="97" t="n"/>
      <c r="E113" s="95" t="n"/>
      <c r="F113" s="17" t="n"/>
      <c r="G113" s="97" t="n"/>
      <c r="H113" s="97" t="n"/>
      <c r="I113" s="95" t="n"/>
      <c r="J113" s="56" t="n"/>
      <c r="K113" s="57" t="n"/>
      <c r="L113" s="94" t="n"/>
      <c r="M113" s="95" t="n"/>
      <c r="N113" s="95" t="n"/>
      <c r="O113" s="95" t="n"/>
      <c r="P113" s="96" t="n"/>
    </row>
    <row r="114" ht="33" customFormat="1" customHeight="1" s="1">
      <c r="A114" s="53" t="n"/>
      <c r="B114" s="97" t="n"/>
      <c r="C114" s="97" t="n"/>
      <c r="D114" s="97" t="n"/>
      <c r="E114" s="95" t="n"/>
      <c r="F114" s="17" t="n"/>
      <c r="G114" s="97" t="n"/>
      <c r="H114" s="97" t="n"/>
      <c r="I114" s="95" t="n"/>
      <c r="J114" s="56" t="n"/>
      <c r="K114" s="57" t="n"/>
      <c r="L114" s="94" t="n"/>
      <c r="M114" s="95" t="n"/>
      <c r="N114" s="95" t="n"/>
      <c r="O114" s="95" t="n"/>
      <c r="P114" s="96" t="n"/>
    </row>
    <row r="115" ht="33" customFormat="1" customHeight="1" s="1">
      <c r="A115" s="53" t="n"/>
      <c r="B115" s="97" t="n"/>
      <c r="C115" s="97" t="n"/>
      <c r="D115" s="97" t="n"/>
      <c r="E115" s="95" t="n"/>
      <c r="F115" s="17" t="n"/>
      <c r="G115" s="97" t="n"/>
      <c r="H115" s="97" t="n"/>
      <c r="I115" s="95" t="n"/>
      <c r="J115" s="56" t="n"/>
      <c r="K115" s="57" t="n"/>
      <c r="L115" s="94" t="n"/>
      <c r="M115" s="95" t="n"/>
      <c r="N115" s="95" t="n"/>
      <c r="O115" s="95" t="n"/>
      <c r="P115" s="96" t="n"/>
    </row>
    <row r="116" ht="33" customFormat="1" customHeight="1" s="1">
      <c r="A116" s="53" t="n"/>
      <c r="B116" s="97" t="n"/>
      <c r="C116" s="97" t="n"/>
      <c r="D116" s="97" t="n"/>
      <c r="E116" s="95" t="n"/>
      <c r="F116" s="17" t="n"/>
      <c r="G116" s="97" t="n"/>
      <c r="H116" s="97" t="n"/>
      <c r="I116" s="95" t="n"/>
      <c r="J116" s="56" t="n"/>
      <c r="K116" s="57" t="n"/>
      <c r="L116" s="94" t="n"/>
      <c r="M116" s="95" t="n"/>
      <c r="N116" s="95" t="n"/>
      <c r="O116" s="95" t="n"/>
      <c r="P116" s="96" t="n"/>
    </row>
    <row r="117" ht="33" customFormat="1" customHeight="1" s="1">
      <c r="A117" s="53" t="n"/>
      <c r="B117" s="97" t="n"/>
      <c r="C117" s="97" t="n"/>
      <c r="D117" s="97" t="n"/>
      <c r="E117" s="95" t="n"/>
      <c r="F117" s="17" t="n"/>
      <c r="G117" s="97" t="n"/>
      <c r="H117" s="97" t="n"/>
      <c r="I117" s="95" t="n"/>
      <c r="J117" s="56" t="n"/>
      <c r="K117" s="57" t="n"/>
      <c r="L117" s="94" t="n"/>
      <c r="M117" s="95" t="n"/>
      <c r="N117" s="95" t="n"/>
      <c r="O117" s="95" t="n"/>
      <c r="P117" s="96" t="n"/>
    </row>
    <row r="118" ht="33" customFormat="1" customHeight="1" s="1">
      <c r="A118" s="53" t="n"/>
      <c r="B118" s="97" t="n"/>
      <c r="C118" s="97" t="n"/>
      <c r="D118" s="97" t="n"/>
      <c r="E118" s="95" t="n"/>
      <c r="F118" s="17" t="n"/>
      <c r="G118" s="97" t="n"/>
      <c r="H118" s="97" t="n"/>
      <c r="I118" s="95" t="n"/>
      <c r="J118" s="56" t="n"/>
      <c r="K118" s="57" t="n"/>
      <c r="L118" s="94" t="n"/>
      <c r="M118" s="95" t="n"/>
      <c r="N118" s="95" t="n"/>
      <c r="O118" s="95" t="n"/>
      <c r="P118" s="96" t="n"/>
    </row>
    <row r="119" ht="33" customFormat="1" customHeight="1" s="1">
      <c r="A119" s="53" t="n"/>
      <c r="B119" s="97" t="n"/>
      <c r="C119" s="97" t="n"/>
      <c r="D119" s="97" t="n"/>
      <c r="E119" s="95" t="n"/>
      <c r="F119" s="17" t="n"/>
      <c r="G119" s="97" t="n"/>
      <c r="H119" s="97" t="n"/>
      <c r="I119" s="95" t="n"/>
      <c r="J119" s="56" t="n"/>
      <c r="K119" s="57" t="n"/>
      <c r="L119" s="94" t="n"/>
      <c r="M119" s="95" t="n"/>
      <c r="N119" s="95" t="n"/>
      <c r="O119" s="95" t="n"/>
      <c r="P119" s="96" t="n"/>
    </row>
    <row r="120" ht="33" customFormat="1" customHeight="1" s="1">
      <c r="A120" s="53" t="n"/>
      <c r="B120" s="97" t="n"/>
      <c r="C120" s="97" t="n"/>
      <c r="D120" s="97" t="n"/>
      <c r="E120" s="95" t="n"/>
      <c r="F120" s="17" t="n"/>
      <c r="G120" s="97" t="n"/>
      <c r="H120" s="97" t="n"/>
      <c r="I120" s="95" t="n"/>
      <c r="J120" s="56" t="n"/>
      <c r="K120" s="57" t="n"/>
      <c r="L120" s="94" t="n"/>
      <c r="M120" s="95" t="n"/>
      <c r="N120" s="95" t="n"/>
      <c r="O120" s="95" t="n"/>
      <c r="P120" s="96" t="n"/>
    </row>
    <row r="121" ht="33" customFormat="1" customHeight="1" s="1">
      <c r="A121" s="53" t="n"/>
      <c r="B121" s="97" t="n"/>
      <c r="C121" s="97" t="n"/>
      <c r="D121" s="97" t="n"/>
      <c r="E121" s="95" t="n"/>
      <c r="F121" s="17" t="n"/>
      <c r="G121" s="97" t="n"/>
      <c r="H121" s="97" t="n"/>
      <c r="I121" s="95" t="n"/>
      <c r="J121" s="56" t="n"/>
      <c r="K121" s="57" t="n"/>
      <c r="L121" s="94" t="n"/>
      <c r="M121" s="95" t="n"/>
      <c r="N121" s="95" t="n"/>
      <c r="O121" s="95" t="n"/>
      <c r="P121" s="96" t="n"/>
    </row>
    <row r="122" ht="33" customFormat="1" customHeight="1" s="1">
      <c r="A122" s="53" t="n"/>
      <c r="B122" s="97" t="n"/>
      <c r="C122" s="97" t="n"/>
      <c r="D122" s="97" t="n"/>
      <c r="E122" s="95" t="n"/>
      <c r="F122" s="17" t="n"/>
      <c r="G122" s="97" t="n"/>
      <c r="H122" s="97" t="n"/>
      <c r="I122" s="95" t="n"/>
      <c r="J122" s="56" t="n"/>
      <c r="K122" s="57" t="n"/>
      <c r="L122" s="94" t="n"/>
      <c r="M122" s="95" t="n"/>
      <c r="N122" s="95" t="n"/>
      <c r="O122" s="95" t="n"/>
      <c r="P122" s="96" t="n"/>
    </row>
    <row r="123" ht="33" customFormat="1" customHeight="1" s="1">
      <c r="A123" s="53" t="n"/>
      <c r="B123" s="97" t="n"/>
      <c r="C123" s="97" t="n"/>
      <c r="D123" s="97" t="n"/>
      <c r="E123" s="95" t="n"/>
      <c r="F123" s="17" t="n"/>
      <c r="G123" s="97" t="n"/>
      <c r="H123" s="97" t="n"/>
      <c r="I123" s="95" t="n"/>
      <c r="J123" s="56" t="n"/>
      <c r="K123" s="57" t="n"/>
      <c r="L123" s="94" t="n"/>
      <c r="M123" s="95" t="n"/>
      <c r="N123" s="95" t="n"/>
      <c r="O123" s="95" t="n"/>
      <c r="P123" s="96" t="n"/>
    </row>
    <row r="124" ht="33" customFormat="1" customHeight="1" s="1">
      <c r="A124" s="53" t="n"/>
      <c r="B124" s="97" t="n"/>
      <c r="C124" s="97" t="n"/>
      <c r="D124" s="97" t="n"/>
      <c r="E124" s="95" t="n"/>
      <c r="F124" s="17" t="n"/>
      <c r="G124" s="97" t="n"/>
      <c r="H124" s="97" t="n"/>
      <c r="I124" s="95" t="n"/>
      <c r="J124" s="56" t="n"/>
      <c r="K124" s="57" t="n"/>
      <c r="L124" s="94" t="n"/>
      <c r="M124" s="95" t="n"/>
      <c r="N124" s="95" t="n"/>
      <c r="O124" s="95" t="n"/>
      <c r="P124" s="96" t="n"/>
    </row>
    <row r="125" ht="33" customFormat="1" customHeight="1" s="1">
      <c r="A125" s="53" t="n"/>
      <c r="B125" s="97" t="n"/>
      <c r="C125" s="97" t="n"/>
      <c r="D125" s="97" t="n"/>
      <c r="E125" s="95" t="n"/>
      <c r="F125" s="17" t="n"/>
      <c r="G125" s="97" t="n"/>
      <c r="H125" s="97" t="n"/>
      <c r="I125" s="95" t="n"/>
      <c r="J125" s="56" t="n"/>
      <c r="K125" s="57" t="n"/>
      <c r="L125" s="94" t="n"/>
      <c r="M125" s="95" t="n"/>
      <c r="N125" s="95" t="n"/>
      <c r="O125" s="95" t="n"/>
      <c r="P125" s="96" t="n"/>
    </row>
    <row r="126" ht="33" customFormat="1" customHeight="1" s="1">
      <c r="A126" s="53" t="n"/>
      <c r="B126" s="97" t="n"/>
      <c r="C126" s="97" t="n"/>
      <c r="D126" s="97" t="n"/>
      <c r="E126" s="95" t="n"/>
      <c r="F126" s="17" t="n"/>
      <c r="G126" s="97" t="n"/>
      <c r="H126" s="97" t="n"/>
      <c r="I126" s="95" t="n"/>
      <c r="J126" s="56" t="n"/>
      <c r="K126" s="57" t="n"/>
      <c r="L126" s="94" t="n"/>
      <c r="M126" s="95" t="n"/>
      <c r="N126" s="95" t="n"/>
      <c r="O126" s="95" t="n"/>
      <c r="P126" s="96" t="n"/>
    </row>
    <row r="127" ht="33" customFormat="1" customHeight="1" s="1">
      <c r="A127" s="53" t="n"/>
      <c r="B127" s="97" t="n"/>
      <c r="C127" s="97" t="n"/>
      <c r="D127" s="97" t="n"/>
      <c r="E127" s="95" t="n"/>
      <c r="F127" s="17" t="n"/>
      <c r="G127" s="97" t="n"/>
      <c r="H127" s="97" t="n"/>
      <c r="I127" s="95" t="n"/>
      <c r="J127" s="56" t="n"/>
      <c r="K127" s="57" t="n"/>
      <c r="L127" s="94" t="n"/>
      <c r="M127" s="95" t="n"/>
      <c r="N127" s="95" t="n"/>
      <c r="O127" s="95" t="n"/>
      <c r="P127" s="96" t="n"/>
    </row>
    <row r="128" ht="33" customFormat="1" customHeight="1" s="1">
      <c r="A128" s="53" t="n"/>
      <c r="B128" s="97" t="n"/>
      <c r="C128" s="97" t="n"/>
      <c r="D128" s="97" t="n"/>
      <c r="E128" s="95" t="n"/>
      <c r="F128" s="17" t="n"/>
      <c r="G128" s="97" t="n"/>
      <c r="H128" s="97" t="n"/>
      <c r="I128" s="95" t="n"/>
      <c r="J128" s="56" t="n"/>
      <c r="K128" s="57" t="n"/>
      <c r="L128" s="94" t="n"/>
      <c r="M128" s="95" t="n"/>
      <c r="N128" s="95" t="n"/>
      <c r="O128" s="95" t="n"/>
      <c r="P128" s="96" t="n"/>
    </row>
    <row r="129" ht="33" customFormat="1" customHeight="1" s="1">
      <c r="A129" s="53" t="n"/>
      <c r="B129" s="97" t="n"/>
      <c r="C129" s="97" t="n"/>
      <c r="D129" s="97" t="n"/>
      <c r="E129" s="95" t="n"/>
      <c r="F129" s="17" t="n"/>
      <c r="G129" s="97" t="n"/>
      <c r="H129" s="97" t="n"/>
      <c r="I129" s="95" t="n"/>
      <c r="J129" s="56" t="n"/>
      <c r="K129" s="57" t="n"/>
      <c r="L129" s="94" t="n"/>
      <c r="M129" s="95" t="n"/>
      <c r="N129" s="95" t="n"/>
      <c r="O129" s="95" t="n"/>
      <c r="P129" s="96" t="n"/>
    </row>
    <row r="130" ht="33" customFormat="1" customHeight="1" s="1">
      <c r="A130" s="53" t="n"/>
      <c r="B130" s="97" t="n"/>
      <c r="C130" s="97" t="n"/>
      <c r="D130" s="97" t="n"/>
      <c r="E130" s="95" t="n"/>
      <c r="F130" s="17" t="n"/>
      <c r="G130" s="97" t="n"/>
      <c r="H130" s="97" t="n"/>
      <c r="I130" s="95" t="n"/>
      <c r="J130" s="56" t="n"/>
      <c r="K130" s="57" t="n"/>
      <c r="L130" s="94" t="n"/>
      <c r="M130" s="95" t="n"/>
      <c r="N130" s="95" t="n"/>
      <c r="O130" s="95" t="n"/>
      <c r="P130" s="96" t="n"/>
    </row>
    <row r="131" ht="33" customFormat="1" customHeight="1" s="1">
      <c r="A131" s="53" t="n"/>
      <c r="B131" s="97" t="n"/>
      <c r="C131" s="97" t="n"/>
      <c r="D131" s="97" t="n"/>
      <c r="E131" s="95" t="n"/>
      <c r="F131" s="17" t="n"/>
      <c r="G131" s="97" t="n"/>
      <c r="H131" s="97" t="n"/>
      <c r="I131" s="95" t="n"/>
      <c r="J131" s="56" t="n"/>
      <c r="K131" s="57" t="n"/>
      <c r="L131" s="94" t="n"/>
      <c r="M131" s="95" t="n"/>
      <c r="N131" s="95" t="n"/>
      <c r="O131" s="95" t="n"/>
      <c r="P131" s="96" t="n"/>
    </row>
    <row r="132" ht="33" customFormat="1" customHeight="1" s="1">
      <c r="A132" s="53" t="n"/>
      <c r="B132" s="97" t="n"/>
      <c r="C132" s="97" t="n"/>
      <c r="D132" s="97" t="n"/>
      <c r="E132" s="95" t="n"/>
      <c r="F132" s="17" t="n"/>
      <c r="G132" s="97" t="n"/>
      <c r="H132" s="97" t="n"/>
      <c r="I132" s="95" t="n"/>
      <c r="J132" s="56" t="n"/>
      <c r="K132" s="57" t="n"/>
      <c r="L132" s="94" t="n"/>
      <c r="M132" s="95" t="n"/>
      <c r="N132" s="95" t="n"/>
      <c r="O132" s="95" t="n"/>
      <c r="P132" s="96" t="n"/>
    </row>
    <row r="133" ht="33" customFormat="1" customHeight="1" s="1">
      <c r="A133" s="53" t="n"/>
      <c r="B133" s="97" t="n"/>
      <c r="C133" s="97" t="n"/>
      <c r="D133" s="97" t="n"/>
      <c r="E133" s="95" t="n"/>
      <c r="F133" s="17" t="n"/>
      <c r="G133" s="97" t="n"/>
      <c r="H133" s="97" t="n"/>
      <c r="I133" s="95" t="n"/>
      <c r="J133" s="56" t="n"/>
      <c r="K133" s="57" t="n"/>
      <c r="L133" s="94" t="n"/>
      <c r="M133" s="95" t="n"/>
      <c r="N133" s="95" t="n"/>
      <c r="O133" s="95" t="n"/>
      <c r="P133" s="96" t="n"/>
    </row>
    <row r="134" ht="33" customFormat="1" customHeight="1" s="1">
      <c r="A134" s="53" t="n"/>
      <c r="B134" s="97" t="n"/>
      <c r="C134" s="97" t="n"/>
      <c r="D134" s="97" t="n"/>
      <c r="E134" s="95" t="n"/>
      <c r="F134" s="17" t="n"/>
      <c r="G134" s="97" t="n"/>
      <c r="H134" s="97" t="n"/>
      <c r="I134" s="95" t="n"/>
      <c r="J134" s="56" t="n"/>
      <c r="K134" s="57" t="n"/>
      <c r="L134" s="94" t="n"/>
      <c r="M134" s="95" t="n"/>
      <c r="N134" s="95" t="n"/>
      <c r="O134" s="95" t="n"/>
      <c r="P134" s="96" t="n"/>
    </row>
    <row r="135" ht="33" customFormat="1" customHeight="1" s="1">
      <c r="A135" s="53" t="n"/>
      <c r="B135" s="97" t="n"/>
      <c r="C135" s="97" t="n"/>
      <c r="D135" s="97" t="n"/>
      <c r="E135" s="95" t="n"/>
      <c r="F135" s="17" t="n"/>
      <c r="G135" s="97" t="n"/>
      <c r="H135" s="97" t="n"/>
      <c r="I135" s="95" t="n"/>
      <c r="J135" s="56" t="n"/>
      <c r="K135" s="57" t="n"/>
      <c r="L135" s="94" t="n"/>
      <c r="M135" s="95" t="n"/>
      <c r="N135" s="95" t="n"/>
      <c r="O135" s="95" t="n"/>
      <c r="P135" s="96" t="n"/>
    </row>
    <row r="136" ht="33" customFormat="1" customHeight="1" s="1">
      <c r="A136" s="53" t="n"/>
      <c r="B136" s="97" t="n"/>
      <c r="C136" s="97" t="n"/>
      <c r="D136" s="97" t="n"/>
      <c r="E136" s="95" t="n"/>
      <c r="F136" s="17" t="n"/>
      <c r="G136" s="97" t="n"/>
      <c r="H136" s="97" t="n"/>
      <c r="I136" s="95" t="n"/>
      <c r="J136" s="56" t="n"/>
      <c r="K136" s="57" t="n"/>
      <c r="L136" s="94" t="n"/>
      <c r="M136" s="95" t="n"/>
      <c r="N136" s="95" t="n"/>
      <c r="O136" s="95" t="n"/>
      <c r="P136" s="96" t="n"/>
    </row>
    <row r="137" ht="33" customFormat="1" customHeight="1" s="1">
      <c r="A137" s="53" t="n"/>
      <c r="B137" s="97" t="n"/>
      <c r="C137" s="97" t="n"/>
      <c r="D137" s="97" t="n"/>
      <c r="E137" s="95" t="n"/>
      <c r="F137" s="17" t="n"/>
      <c r="G137" s="97" t="n"/>
      <c r="H137" s="97" t="n"/>
      <c r="I137" s="95" t="n"/>
      <c r="J137" s="56" t="n"/>
      <c r="K137" s="57" t="n"/>
      <c r="L137" s="94" t="n"/>
      <c r="M137" s="95" t="n"/>
      <c r="N137" s="95" t="n"/>
      <c r="O137" s="95" t="n"/>
      <c r="P137" s="96" t="n"/>
    </row>
    <row r="138" ht="33" customFormat="1" customHeight="1" s="1">
      <c r="A138" s="53" t="n"/>
      <c r="B138" s="97" t="n"/>
      <c r="C138" s="97" t="n"/>
      <c r="D138" s="97" t="n"/>
      <c r="E138" s="95" t="n"/>
      <c r="F138" s="17" t="n"/>
      <c r="G138" s="97" t="n"/>
      <c r="H138" s="97" t="n"/>
      <c r="I138" s="95" t="n"/>
      <c r="J138" s="56" t="n"/>
      <c r="K138" s="57" t="n"/>
      <c r="L138" s="94" t="n"/>
      <c r="M138" s="95" t="n"/>
      <c r="N138" s="95" t="n"/>
      <c r="O138" s="95" t="n"/>
      <c r="P138" s="96" t="n"/>
    </row>
    <row r="139" ht="33" customFormat="1" customHeight="1" s="1">
      <c r="A139" s="53" t="n"/>
      <c r="B139" s="97" t="n"/>
      <c r="C139" s="97" t="n"/>
      <c r="D139" s="97" t="n"/>
      <c r="E139" s="95" t="n"/>
      <c r="F139" s="17" t="n"/>
      <c r="G139" s="97" t="n"/>
      <c r="H139" s="97" t="n"/>
      <c r="I139" s="95" t="n"/>
      <c r="J139" s="56" t="n"/>
      <c r="K139" s="57" t="n"/>
      <c r="L139" s="94" t="n"/>
      <c r="M139" s="95" t="n"/>
      <c r="N139" s="95" t="n"/>
      <c r="O139" s="95" t="n"/>
      <c r="P139" s="96" t="n"/>
    </row>
    <row r="140" ht="33" customFormat="1" customHeight="1" s="1">
      <c r="A140" s="53" t="n"/>
      <c r="B140" s="97" t="n"/>
      <c r="C140" s="97" t="n"/>
      <c r="D140" s="97" t="n"/>
      <c r="E140" s="95" t="n"/>
      <c r="F140" s="17" t="n"/>
      <c r="G140" s="97" t="n"/>
      <c r="H140" s="97" t="n"/>
      <c r="I140" s="95" t="n"/>
      <c r="J140" s="56" t="n"/>
      <c r="K140" s="57" t="n"/>
      <c r="L140" s="94" t="n"/>
      <c r="M140" s="95" t="n"/>
      <c r="N140" s="95" t="n"/>
      <c r="O140" s="95" t="n"/>
      <c r="P140" s="96" t="n"/>
    </row>
    <row r="141" ht="33" customFormat="1" customHeight="1" s="1">
      <c r="A141" s="53" t="n"/>
      <c r="B141" s="97" t="n"/>
      <c r="C141" s="97" t="n"/>
      <c r="D141" s="97" t="n"/>
      <c r="E141" s="95" t="n"/>
      <c r="F141" s="17" t="n"/>
      <c r="G141" s="97" t="n"/>
      <c r="H141" s="97" t="n"/>
      <c r="I141" s="95" t="n"/>
      <c r="J141" s="56" t="n"/>
      <c r="K141" s="57" t="n"/>
      <c r="L141" s="94" t="n"/>
      <c r="M141" s="95" t="n"/>
      <c r="N141" s="95" t="n"/>
      <c r="O141" s="95" t="n"/>
      <c r="P141" s="96" t="n"/>
    </row>
    <row r="142" ht="33" customFormat="1" customHeight="1" s="1">
      <c r="A142" s="53" t="n"/>
      <c r="B142" s="97" t="n"/>
      <c r="C142" s="97" t="n"/>
      <c r="D142" s="97" t="n"/>
      <c r="E142" s="95" t="n"/>
      <c r="F142" s="17" t="n"/>
      <c r="G142" s="97" t="n"/>
      <c r="H142" s="97" t="n"/>
      <c r="I142" s="95" t="n"/>
      <c r="J142" s="56" t="n"/>
      <c r="K142" s="57" t="n"/>
      <c r="L142" s="94" t="n"/>
      <c r="M142" s="95" t="n"/>
      <c r="N142" s="95" t="n"/>
      <c r="O142" s="95" t="n"/>
      <c r="P142" s="96" t="n"/>
    </row>
    <row r="143" ht="33" customFormat="1" customHeight="1" s="1">
      <c r="A143" s="53" t="n"/>
      <c r="B143" s="97" t="n"/>
      <c r="C143" s="97" t="n"/>
      <c r="D143" s="97" t="n"/>
      <c r="E143" s="95" t="n"/>
      <c r="F143" s="17" t="n"/>
      <c r="G143" s="97" t="n"/>
      <c r="H143" s="97" t="n"/>
      <c r="I143" s="95" t="n"/>
      <c r="J143" s="56" t="n"/>
      <c r="K143" s="57" t="n"/>
      <c r="L143" s="94" t="n"/>
      <c r="M143" s="95" t="n"/>
      <c r="N143" s="95" t="n"/>
      <c r="O143" s="95" t="n"/>
      <c r="P143" s="96" t="n"/>
    </row>
    <row r="144" ht="33" customFormat="1" customHeight="1" s="1">
      <c r="A144" s="53" t="n"/>
      <c r="B144" s="97" t="n"/>
      <c r="C144" s="97" t="n"/>
      <c r="D144" s="97" t="n"/>
      <c r="E144" s="95" t="n"/>
      <c r="F144" s="17" t="n"/>
      <c r="G144" s="97" t="n"/>
      <c r="H144" s="97" t="n"/>
      <c r="I144" s="95" t="n"/>
      <c r="J144" s="56" t="n"/>
      <c r="K144" s="57" t="n"/>
      <c r="L144" s="94" t="n"/>
      <c r="M144" s="95" t="n"/>
      <c r="N144" s="95" t="n"/>
      <c r="O144" s="95" t="n"/>
      <c r="P144" s="96" t="n"/>
    </row>
    <row r="145" ht="33" customFormat="1" customHeight="1" s="1">
      <c r="A145" s="53" t="n"/>
      <c r="B145" s="97" t="n"/>
      <c r="C145" s="97" t="n"/>
      <c r="D145" s="97" t="n"/>
      <c r="E145" s="95" t="n"/>
      <c r="F145" s="17" t="n"/>
      <c r="G145" s="97" t="n"/>
      <c r="H145" s="97" t="n"/>
      <c r="I145" s="95" t="n"/>
      <c r="J145" s="56" t="n"/>
      <c r="K145" s="57" t="n"/>
      <c r="L145" s="94" t="n"/>
      <c r="M145" s="95" t="n"/>
      <c r="N145" s="95" t="n"/>
      <c r="O145" s="95" t="n"/>
      <c r="P145" s="96" t="n"/>
    </row>
    <row r="146" ht="33" customFormat="1" customHeight="1" s="1">
      <c r="A146" s="53" t="n"/>
      <c r="B146" s="97" t="n"/>
      <c r="C146" s="97" t="n"/>
      <c r="D146" s="97" t="n"/>
      <c r="E146" s="95" t="n"/>
      <c r="F146" s="17" t="n"/>
      <c r="G146" s="97" t="n"/>
      <c r="H146" s="97" t="n"/>
      <c r="I146" s="95" t="n"/>
      <c r="J146" s="56" t="n"/>
      <c r="K146" s="57" t="n"/>
      <c r="L146" s="94" t="n"/>
      <c r="M146" s="95" t="n"/>
      <c r="N146" s="95" t="n"/>
      <c r="O146" s="95" t="n"/>
      <c r="P146" s="96" t="n"/>
    </row>
    <row r="147" ht="33" customFormat="1" customHeight="1" s="1">
      <c r="A147" s="53" t="n"/>
      <c r="B147" s="97" t="n"/>
      <c r="C147" s="97" t="n"/>
      <c r="D147" s="97" t="n"/>
      <c r="E147" s="95" t="n"/>
      <c r="F147" s="17" t="n"/>
      <c r="G147" s="97" t="n"/>
      <c r="H147" s="97" t="n"/>
      <c r="I147" s="95" t="n"/>
      <c r="J147" s="56" t="n"/>
      <c r="K147" s="57" t="n"/>
      <c r="L147" s="94" t="n"/>
      <c r="M147" s="95" t="n"/>
      <c r="N147" s="95" t="n"/>
      <c r="O147" s="95" t="n"/>
      <c r="P147" s="96" t="n"/>
    </row>
    <row r="148" ht="33" customFormat="1" customHeight="1" s="1">
      <c r="A148" s="53" t="n"/>
      <c r="B148" s="97" t="n"/>
      <c r="C148" s="97" t="n"/>
      <c r="D148" s="97" t="n"/>
      <c r="E148" s="95" t="n"/>
      <c r="F148" s="17" t="n"/>
      <c r="G148" s="97" t="n"/>
      <c r="H148" s="97" t="n"/>
      <c r="I148" s="95" t="n"/>
      <c r="J148" s="56" t="n"/>
      <c r="K148" s="57" t="n"/>
      <c r="L148" s="94" t="n"/>
      <c r="M148" s="95" t="n"/>
      <c r="N148" s="95" t="n"/>
      <c r="O148" s="95" t="n"/>
      <c r="P148" s="96" t="n"/>
    </row>
    <row r="149" ht="33" customFormat="1" customHeight="1" s="1">
      <c r="A149" s="53" t="n"/>
      <c r="B149" s="97" t="n"/>
      <c r="C149" s="97" t="n"/>
      <c r="D149" s="97" t="n"/>
      <c r="E149" s="95" t="n"/>
      <c r="F149" s="17" t="n"/>
      <c r="G149" s="97" t="n"/>
      <c r="H149" s="97" t="n"/>
      <c r="I149" s="95" t="n"/>
      <c r="J149" s="56" t="n"/>
      <c r="K149" s="57" t="n"/>
      <c r="L149" s="94" t="n"/>
      <c r="M149" s="95" t="n"/>
      <c r="N149" s="95" t="n"/>
      <c r="O149" s="95" t="n"/>
      <c r="P149" s="96" t="n"/>
    </row>
    <row r="150" ht="33" customFormat="1" customHeight="1" s="1">
      <c r="A150" s="53" t="n"/>
      <c r="B150" s="97" t="n"/>
      <c r="C150" s="97" t="n"/>
      <c r="D150" s="97" t="n"/>
      <c r="E150" s="95" t="n"/>
      <c r="F150" s="17" t="n"/>
      <c r="G150" s="97" t="n"/>
      <c r="H150" s="97" t="n"/>
      <c r="I150" s="95" t="n"/>
      <c r="J150" s="56" t="n"/>
      <c r="K150" s="57" t="n"/>
      <c r="L150" s="94" t="n"/>
      <c r="M150" s="95" t="n"/>
      <c r="N150" s="95" t="n"/>
      <c r="O150" s="95" t="n"/>
      <c r="P150" s="96" t="n"/>
    </row>
    <row r="151" ht="33" customFormat="1" customHeight="1" s="1">
      <c r="A151" s="53" t="n"/>
      <c r="B151" s="97" t="n"/>
      <c r="C151" s="97" t="n"/>
      <c r="D151" s="97" t="n"/>
      <c r="E151" s="95" t="n"/>
      <c r="F151" s="17" t="n"/>
      <c r="G151" s="97" t="n"/>
      <c r="H151" s="97" t="n"/>
      <c r="I151" s="95" t="n"/>
      <c r="J151" s="56" t="n"/>
      <c r="K151" s="57" t="n"/>
      <c r="L151" s="94" t="n"/>
      <c r="M151" s="95" t="n"/>
      <c r="N151" s="95" t="n"/>
      <c r="O151" s="95" t="n"/>
      <c r="P151" s="96" t="n"/>
    </row>
    <row r="152" ht="33" customFormat="1" customHeight="1" s="1">
      <c r="A152" s="53" t="n"/>
      <c r="B152" s="97" t="n"/>
      <c r="C152" s="97" t="n"/>
      <c r="D152" s="97" t="n"/>
      <c r="E152" s="95" t="n"/>
      <c r="F152" s="17" t="n"/>
      <c r="G152" s="97" t="n"/>
      <c r="H152" s="97" t="n"/>
      <c r="I152" s="95" t="n"/>
      <c r="J152" s="56" t="n"/>
      <c r="K152" s="57" t="n"/>
      <c r="L152" s="94" t="n"/>
      <c r="M152" s="95" t="n"/>
      <c r="N152" s="95" t="n"/>
      <c r="O152" s="95" t="n"/>
      <c r="P152" s="96" t="n"/>
    </row>
    <row r="153" ht="33" customFormat="1" customHeight="1" s="1">
      <c r="A153" s="53" t="n"/>
      <c r="B153" s="97" t="n"/>
      <c r="C153" s="97" t="n"/>
      <c r="D153" s="97" t="n"/>
      <c r="E153" s="95" t="n"/>
      <c r="F153" s="17" t="n"/>
      <c r="G153" s="97" t="n"/>
      <c r="H153" s="97" t="n"/>
      <c r="I153" s="95" t="n"/>
      <c r="J153" s="56" t="n"/>
      <c r="K153" s="57" t="n"/>
      <c r="L153" s="94" t="n"/>
      <c r="M153" s="95" t="n"/>
      <c r="N153" s="95" t="n"/>
      <c r="O153" s="95" t="n"/>
      <c r="P153" s="96" t="n"/>
    </row>
    <row r="154" ht="33" customFormat="1" customHeight="1" s="1">
      <c r="A154" s="53" t="n"/>
      <c r="B154" s="97" t="n"/>
      <c r="C154" s="97" t="n"/>
      <c r="D154" s="97" t="n"/>
      <c r="E154" s="95" t="n"/>
      <c r="F154" s="17" t="n"/>
      <c r="G154" s="97" t="n"/>
      <c r="H154" s="97" t="n"/>
      <c r="I154" s="95" t="n"/>
      <c r="J154" s="56" t="n"/>
      <c r="K154" s="57" t="n"/>
      <c r="L154" s="94" t="n"/>
      <c r="M154" s="95" t="n"/>
      <c r="N154" s="95" t="n"/>
      <c r="O154" s="95" t="n"/>
      <c r="P154" s="96" t="n"/>
    </row>
    <row r="155" ht="33" customFormat="1" customHeight="1" s="1">
      <c r="A155" s="53" t="n"/>
      <c r="B155" s="97" t="n"/>
      <c r="C155" s="97" t="n"/>
      <c r="D155" s="97" t="n"/>
      <c r="E155" s="95" t="n"/>
      <c r="F155" s="17" t="n"/>
      <c r="G155" s="97" t="n"/>
      <c r="H155" s="97" t="n"/>
      <c r="I155" s="95" t="n"/>
      <c r="J155" s="56" t="n"/>
      <c r="K155" s="57" t="n"/>
      <c r="L155" s="94" t="n"/>
      <c r="M155" s="95" t="n"/>
      <c r="N155" s="95" t="n"/>
      <c r="O155" s="95" t="n"/>
      <c r="P155" s="96" t="n"/>
    </row>
    <row r="156" ht="33" customFormat="1" customHeight="1" s="1">
      <c r="A156" s="53" t="n"/>
      <c r="B156" s="97" t="n"/>
      <c r="C156" s="97" t="n"/>
      <c r="D156" s="97" t="n"/>
      <c r="E156" s="95" t="n"/>
      <c r="F156" s="17" t="n"/>
      <c r="G156" s="97" t="n"/>
      <c r="H156" s="97" t="n"/>
      <c r="I156" s="95" t="n"/>
      <c r="J156" s="56" t="n"/>
      <c r="K156" s="57" t="n"/>
      <c r="L156" s="94" t="n"/>
      <c r="M156" s="95" t="n"/>
      <c r="N156" s="95" t="n"/>
      <c r="O156" s="95" t="n"/>
      <c r="P156" s="96" t="n"/>
    </row>
    <row r="157" ht="33" customFormat="1" customHeight="1" s="1">
      <c r="A157" s="53" t="n"/>
      <c r="B157" s="97" t="n"/>
      <c r="C157" s="97" t="n"/>
      <c r="D157" s="97" t="n"/>
      <c r="E157" s="95" t="n"/>
      <c r="F157" s="17" t="n"/>
      <c r="G157" s="97" t="n"/>
      <c r="H157" s="97" t="n"/>
      <c r="I157" s="95" t="n"/>
      <c r="J157" s="56" t="n"/>
      <c r="K157" s="57" t="n"/>
      <c r="L157" s="94" t="n"/>
      <c r="M157" s="95" t="n"/>
      <c r="N157" s="95" t="n"/>
      <c r="O157" s="95" t="n"/>
      <c r="P157" s="96" t="n"/>
    </row>
    <row r="158" ht="33" customFormat="1" customHeight="1" s="1">
      <c r="A158" s="53" t="n"/>
      <c r="B158" s="97" t="n"/>
      <c r="C158" s="97" t="n"/>
      <c r="D158" s="97" t="n"/>
      <c r="E158" s="95" t="n"/>
      <c r="F158" s="17" t="n"/>
      <c r="G158" s="97" t="n"/>
      <c r="H158" s="97" t="n"/>
      <c r="I158" s="95" t="n"/>
      <c r="J158" s="56" t="n"/>
      <c r="K158" s="57" t="n"/>
      <c r="L158" s="94" t="n"/>
      <c r="M158" s="95" t="n"/>
      <c r="N158" s="95" t="n"/>
      <c r="O158" s="95" t="n"/>
      <c r="P158" s="96" t="n"/>
    </row>
    <row r="159" ht="33" customFormat="1" customHeight="1" s="1">
      <c r="A159" s="53" t="n"/>
      <c r="B159" s="97" t="n"/>
      <c r="C159" s="97" t="n"/>
      <c r="D159" s="97" t="n"/>
      <c r="E159" s="95" t="n"/>
      <c r="F159" s="17" t="n"/>
      <c r="G159" s="97" t="n"/>
      <c r="H159" s="97" t="n"/>
      <c r="I159" s="95" t="n"/>
      <c r="J159" s="56" t="n"/>
      <c r="K159" s="57" t="n"/>
      <c r="L159" s="94" t="n"/>
      <c r="M159" s="95" t="n"/>
      <c r="N159" s="95" t="n"/>
      <c r="O159" s="95" t="n"/>
      <c r="P159" s="96" t="n"/>
    </row>
    <row r="160" ht="33" customFormat="1" customHeight="1" s="1">
      <c r="A160" s="53" t="n"/>
      <c r="B160" s="97" t="n"/>
      <c r="C160" s="97" t="n"/>
      <c r="D160" s="97" t="n"/>
      <c r="E160" s="95" t="n"/>
      <c r="F160" s="17" t="n"/>
      <c r="G160" s="97" t="n"/>
      <c r="H160" s="97" t="n"/>
      <c r="I160" s="95" t="n"/>
      <c r="J160" s="56" t="n"/>
      <c r="K160" s="57" t="n"/>
      <c r="L160" s="94" t="n"/>
      <c r="M160" s="95" t="n"/>
      <c r="N160" s="95" t="n"/>
      <c r="O160" s="95" t="n"/>
      <c r="P160" s="96" t="n"/>
    </row>
    <row r="161" ht="33" customFormat="1" customHeight="1" s="1">
      <c r="A161" s="53" t="n"/>
      <c r="B161" s="97" t="n"/>
      <c r="C161" s="97" t="n"/>
      <c r="D161" s="97" t="n"/>
      <c r="E161" s="95" t="n"/>
      <c r="F161" s="17" t="n"/>
      <c r="G161" s="97" t="n"/>
      <c r="H161" s="97" t="n"/>
      <c r="I161" s="95" t="n"/>
      <c r="J161" s="56" t="n"/>
      <c r="K161" s="57" t="n"/>
      <c r="L161" s="94" t="n"/>
      <c r="M161" s="95" t="n"/>
      <c r="N161" s="95" t="n"/>
      <c r="O161" s="95" t="n"/>
      <c r="P161" s="96" t="n"/>
    </row>
    <row r="162" ht="33" customFormat="1" customHeight="1" s="1">
      <c r="A162" s="53" t="n"/>
      <c r="B162" s="97" t="n"/>
      <c r="C162" s="97" t="n"/>
      <c r="D162" s="97" t="n"/>
      <c r="E162" s="95" t="n"/>
      <c r="F162" s="17" t="n"/>
      <c r="G162" s="97" t="n"/>
      <c r="H162" s="97" t="n"/>
      <c r="I162" s="95" t="n"/>
      <c r="J162" s="56" t="n"/>
      <c r="K162" s="57" t="n"/>
      <c r="L162" s="94" t="n"/>
      <c r="M162" s="95" t="n"/>
      <c r="N162" s="95" t="n"/>
      <c r="O162" s="95" t="n"/>
      <c r="P162" s="96" t="n"/>
    </row>
    <row r="163" ht="33" customFormat="1" customHeight="1" s="1">
      <c r="A163" s="53" t="n"/>
      <c r="B163" s="97" t="n"/>
      <c r="C163" s="97" t="n"/>
      <c r="D163" s="97" t="n"/>
      <c r="E163" s="95" t="n"/>
      <c r="F163" s="17" t="n"/>
      <c r="G163" s="97" t="n"/>
      <c r="H163" s="97" t="n"/>
      <c r="I163" s="95" t="n"/>
      <c r="J163" s="56" t="n"/>
      <c r="K163" s="57" t="n"/>
      <c r="L163" s="94" t="n"/>
      <c r="M163" s="95" t="n"/>
      <c r="N163" s="95" t="n"/>
      <c r="O163" s="95" t="n"/>
      <c r="P163" s="96" t="n"/>
    </row>
    <row r="164" ht="33" customFormat="1" customHeight="1" s="1">
      <c r="A164" s="53" t="n"/>
      <c r="B164" s="97" t="n"/>
      <c r="C164" s="97" t="n"/>
      <c r="D164" s="97" t="n"/>
      <c r="E164" s="95" t="n"/>
      <c r="F164" s="17" t="n"/>
      <c r="G164" s="97" t="n"/>
      <c r="H164" s="97" t="n"/>
      <c r="I164" s="95" t="n"/>
      <c r="J164" s="56" t="n"/>
      <c r="K164" s="57" t="n"/>
      <c r="L164" s="94" t="n"/>
      <c r="M164" s="95" t="n"/>
      <c r="N164" s="95" t="n"/>
      <c r="O164" s="95" t="n"/>
      <c r="P164" s="96" t="n"/>
    </row>
    <row r="165" ht="33" customFormat="1" customHeight="1" s="1">
      <c r="A165" s="53" t="n"/>
      <c r="B165" s="97" t="n"/>
      <c r="C165" s="97" t="n"/>
      <c r="D165" s="97" t="n"/>
      <c r="E165" s="95" t="n"/>
      <c r="F165" s="17" t="n"/>
      <c r="G165" s="97" t="n"/>
      <c r="H165" s="97" t="n"/>
      <c r="I165" s="95" t="n"/>
      <c r="J165" s="56" t="n"/>
      <c r="K165" s="57" t="n"/>
      <c r="L165" s="94" t="n"/>
      <c r="M165" s="95" t="n"/>
      <c r="N165" s="95" t="n"/>
      <c r="O165" s="95" t="n"/>
      <c r="P165" s="96" t="n"/>
    </row>
    <row r="166" ht="33" customFormat="1" customHeight="1" s="1">
      <c r="A166" s="53" t="n"/>
      <c r="B166" s="97" t="n"/>
      <c r="C166" s="97" t="n"/>
      <c r="D166" s="97" t="n"/>
      <c r="E166" s="95" t="n"/>
      <c r="F166" s="17" t="n"/>
      <c r="G166" s="97" t="n"/>
      <c r="H166" s="97" t="n"/>
      <c r="I166" s="95" t="n"/>
      <c r="J166" s="56" t="n"/>
      <c r="K166" s="57" t="n"/>
      <c r="L166" s="94" t="n"/>
      <c r="M166" s="95" t="n"/>
      <c r="N166" s="95" t="n"/>
      <c r="O166" s="95" t="n"/>
      <c r="P166" s="96" t="n"/>
    </row>
    <row r="167" ht="33" customFormat="1" customHeight="1" s="1">
      <c r="A167" s="53" t="n"/>
      <c r="B167" s="97" t="n"/>
      <c r="C167" s="97" t="n"/>
      <c r="D167" s="97" t="n"/>
      <c r="E167" s="95" t="n"/>
      <c r="F167" s="17" t="n"/>
      <c r="G167" s="97" t="n"/>
      <c r="H167" s="97" t="n"/>
      <c r="I167" s="95" t="n"/>
      <c r="J167" s="56" t="n"/>
      <c r="K167" s="57" t="n"/>
      <c r="L167" s="94" t="n"/>
      <c r="M167" s="95" t="n"/>
      <c r="N167" s="95" t="n"/>
      <c r="O167" s="95" t="n"/>
      <c r="P167" s="96" t="n"/>
    </row>
    <row r="168" ht="33" customFormat="1" customHeight="1" s="1">
      <c r="A168" s="53" t="n"/>
      <c r="B168" s="97" t="n"/>
      <c r="C168" s="97" t="n"/>
      <c r="D168" s="97" t="n"/>
      <c r="E168" s="95" t="n"/>
      <c r="F168" s="17" t="n"/>
      <c r="G168" s="97" t="n"/>
      <c r="H168" s="97" t="n"/>
      <c r="I168" s="95" t="n"/>
      <c r="J168" s="56" t="n"/>
      <c r="K168" s="57" t="n"/>
      <c r="L168" s="94" t="n"/>
      <c r="M168" s="95" t="n"/>
      <c r="N168" s="95" t="n"/>
      <c r="O168" s="95" t="n"/>
      <c r="P168" s="96" t="n"/>
    </row>
    <row r="169" ht="33" customFormat="1" customHeight="1" s="1">
      <c r="A169" s="53" t="n"/>
      <c r="B169" s="97" t="n"/>
      <c r="C169" s="97" t="n"/>
      <c r="D169" s="97" t="n"/>
      <c r="E169" s="95" t="n"/>
      <c r="F169" s="17" t="n"/>
      <c r="G169" s="97" t="n"/>
      <c r="H169" s="97" t="n"/>
      <c r="I169" s="95" t="n"/>
      <c r="J169" s="56" t="n"/>
      <c r="K169" s="57" t="n"/>
      <c r="L169" s="94" t="n"/>
      <c r="M169" s="95" t="n"/>
      <c r="N169" s="95" t="n"/>
      <c r="O169" s="95" t="n"/>
      <c r="P169" s="96" t="n"/>
    </row>
    <row r="170" ht="33" customFormat="1" customHeight="1" s="1">
      <c r="A170" s="53" t="n"/>
      <c r="B170" s="97" t="n"/>
      <c r="C170" s="97" t="n"/>
      <c r="D170" s="97" t="n"/>
      <c r="E170" s="95" t="n"/>
      <c r="F170" s="17" t="n"/>
      <c r="G170" s="97" t="n"/>
      <c r="H170" s="97" t="n"/>
      <c r="I170" s="95" t="n"/>
      <c r="J170" s="56" t="n"/>
      <c r="K170" s="57" t="n"/>
      <c r="L170" s="94" t="n"/>
      <c r="M170" s="95" t="n"/>
      <c r="N170" s="95" t="n"/>
      <c r="O170" s="95" t="n"/>
      <c r="P170" s="96" t="n"/>
    </row>
    <row r="171" ht="33" customFormat="1" customHeight="1" s="1">
      <c r="A171" s="53" t="n"/>
      <c r="B171" s="97" t="n"/>
      <c r="C171" s="97" t="n"/>
      <c r="D171" s="97" t="n"/>
      <c r="E171" s="95" t="n"/>
      <c r="F171" s="17" t="n"/>
      <c r="G171" s="97" t="n"/>
      <c r="H171" s="97" t="n"/>
      <c r="I171" s="95" t="n"/>
      <c r="J171" s="56" t="n"/>
      <c r="K171" s="57" t="n"/>
      <c r="L171" s="94" t="n"/>
      <c r="M171" s="95" t="n"/>
      <c r="N171" s="95" t="n"/>
      <c r="O171" s="95" t="n"/>
      <c r="P171" s="96" t="n"/>
    </row>
    <row r="172" ht="33" customFormat="1" customHeight="1" s="1">
      <c r="A172" s="53" t="n"/>
      <c r="B172" s="97" t="n"/>
      <c r="C172" s="97" t="n"/>
      <c r="D172" s="97" t="n"/>
      <c r="E172" s="95" t="n"/>
      <c r="F172" s="17" t="n"/>
      <c r="G172" s="97" t="n"/>
      <c r="H172" s="97" t="n"/>
      <c r="I172" s="95" t="n"/>
      <c r="J172" s="56" t="n"/>
      <c r="K172" s="57" t="n"/>
      <c r="L172" s="94" t="n"/>
      <c r="M172" s="95" t="n"/>
      <c r="N172" s="95" t="n"/>
      <c r="O172" s="95" t="n"/>
      <c r="P172" s="96" t="n"/>
    </row>
    <row r="173" ht="33" customFormat="1" customHeight="1" s="1">
      <c r="A173" s="53" t="n"/>
      <c r="B173" s="97" t="n"/>
      <c r="C173" s="97" t="n"/>
      <c r="D173" s="97" t="n"/>
      <c r="E173" s="95" t="n"/>
      <c r="F173" s="17" t="n"/>
      <c r="G173" s="97" t="n"/>
      <c r="H173" s="97" t="n"/>
      <c r="I173" s="95" t="n"/>
      <c r="J173" s="56" t="n"/>
      <c r="K173" s="57" t="n"/>
      <c r="L173" s="94" t="n"/>
      <c r="M173" s="95" t="n"/>
      <c r="N173" s="95" t="n"/>
      <c r="O173" s="95" t="n"/>
      <c r="P173" s="96" t="n"/>
    </row>
    <row r="174" ht="33" customFormat="1" customHeight="1" s="1">
      <c r="A174" s="53" t="n"/>
      <c r="B174" s="97" t="n"/>
      <c r="C174" s="97" t="n"/>
      <c r="D174" s="97" t="n"/>
      <c r="E174" s="95" t="n"/>
      <c r="F174" s="17" t="n"/>
      <c r="G174" s="97" t="n"/>
      <c r="H174" s="97" t="n"/>
      <c r="I174" s="95" t="n"/>
      <c r="J174" s="56" t="n"/>
      <c r="K174" s="57" t="n"/>
      <c r="L174" s="94" t="n"/>
      <c r="M174" s="95" t="n"/>
      <c r="N174" s="95" t="n"/>
      <c r="O174" s="95" t="n"/>
      <c r="P174" s="96" t="n"/>
    </row>
    <row r="175" ht="33" customFormat="1" customHeight="1" s="1">
      <c r="A175" s="53" t="n"/>
      <c r="B175" s="97" t="n"/>
      <c r="C175" s="97" t="n"/>
      <c r="D175" s="97" t="n"/>
      <c r="E175" s="95" t="n"/>
      <c r="F175" s="17" t="n"/>
      <c r="G175" s="97" t="n"/>
      <c r="H175" s="97" t="n"/>
      <c r="I175" s="95" t="n"/>
      <c r="J175" s="56" t="n"/>
      <c r="K175" s="57" t="n"/>
      <c r="L175" s="94" t="n"/>
      <c r="M175" s="95" t="n"/>
      <c r="N175" s="95" t="n"/>
      <c r="O175" s="95" t="n"/>
      <c r="P175" s="96" t="n"/>
    </row>
    <row r="176" ht="33" customFormat="1" customHeight="1" s="1">
      <c r="A176" s="53" t="n"/>
      <c r="B176" s="97" t="n"/>
      <c r="C176" s="97" t="n"/>
      <c r="D176" s="97" t="n"/>
      <c r="E176" s="95" t="n"/>
      <c r="F176" s="17" t="n"/>
      <c r="G176" s="97" t="n"/>
      <c r="H176" s="97" t="n"/>
      <c r="I176" s="95" t="n"/>
      <c r="J176" s="56" t="n"/>
      <c r="K176" s="57" t="n"/>
      <c r="L176" s="94" t="n"/>
      <c r="M176" s="95" t="n"/>
      <c r="N176" s="95" t="n"/>
      <c r="O176" s="95" t="n"/>
      <c r="P176" s="96" t="n"/>
    </row>
    <row r="177" ht="33" customFormat="1" customHeight="1" s="1">
      <c r="A177" s="53" t="n"/>
      <c r="B177" s="97" t="n"/>
      <c r="C177" s="97" t="n"/>
      <c r="D177" s="97" t="n"/>
      <c r="E177" s="95" t="n"/>
      <c r="F177" s="17" t="n"/>
      <c r="G177" s="97" t="n"/>
      <c r="H177" s="97" t="n"/>
      <c r="I177" s="95" t="n"/>
      <c r="J177" s="56" t="n"/>
      <c r="K177" s="57" t="n"/>
      <c r="L177" s="94" t="n"/>
      <c r="M177" s="95" t="n"/>
      <c r="N177" s="95" t="n"/>
      <c r="O177" s="95" t="n"/>
      <c r="P177" s="96" t="n"/>
    </row>
    <row r="178" ht="33" customFormat="1" customHeight="1" s="1">
      <c r="A178" s="53" t="n"/>
      <c r="B178" s="97" t="n"/>
      <c r="C178" s="97" t="n"/>
      <c r="D178" s="97" t="n"/>
      <c r="E178" s="95" t="n"/>
      <c r="F178" s="17" t="n"/>
      <c r="G178" s="97" t="n"/>
      <c r="H178" s="97" t="n"/>
      <c r="I178" s="95" t="n"/>
      <c r="J178" s="56" t="n"/>
      <c r="K178" s="57" t="n"/>
      <c r="L178" s="94" t="n"/>
      <c r="M178" s="95" t="n"/>
      <c r="N178" s="95" t="n"/>
      <c r="O178" s="95" t="n"/>
      <c r="P178" s="96" t="n"/>
    </row>
    <row r="179" ht="33" customFormat="1" customHeight="1" s="1">
      <c r="A179" s="53" t="n"/>
      <c r="B179" s="97" t="n"/>
      <c r="C179" s="97" t="n"/>
      <c r="D179" s="97" t="n"/>
      <c r="E179" s="95" t="n"/>
      <c r="F179" s="17" t="n"/>
      <c r="G179" s="97" t="n"/>
      <c r="H179" s="97" t="n"/>
      <c r="I179" s="95" t="n"/>
      <c r="J179" s="56" t="n"/>
      <c r="K179" s="57" t="n"/>
      <c r="L179" s="94" t="n"/>
      <c r="M179" s="95" t="n"/>
      <c r="N179" s="95" t="n"/>
      <c r="O179" s="95" t="n"/>
      <c r="P179" s="96" t="n"/>
    </row>
    <row r="180" ht="33" customFormat="1" customHeight="1" s="1">
      <c r="A180" s="53" t="n"/>
      <c r="B180" s="97" t="n"/>
      <c r="C180" s="97" t="n"/>
      <c r="D180" s="97" t="n"/>
      <c r="E180" s="95" t="n"/>
      <c r="F180" s="17" t="n"/>
      <c r="G180" s="97" t="n"/>
      <c r="H180" s="97" t="n"/>
      <c r="I180" s="95" t="n"/>
      <c r="J180" s="56" t="n"/>
      <c r="K180" s="57" t="n"/>
      <c r="L180" s="94" t="n"/>
      <c r="M180" s="95" t="n"/>
      <c r="N180" s="95" t="n"/>
      <c r="O180" s="95" t="n"/>
      <c r="P180" s="96" t="n"/>
    </row>
    <row r="181" ht="33" customFormat="1" customHeight="1" s="1">
      <c r="A181" s="53" t="n"/>
      <c r="B181" s="97" t="n"/>
      <c r="C181" s="97" t="n"/>
      <c r="D181" s="97" t="n"/>
      <c r="E181" s="95" t="n"/>
      <c r="F181" s="17" t="n"/>
      <c r="G181" s="97" t="n"/>
      <c r="H181" s="97" t="n"/>
      <c r="I181" s="95" t="n"/>
      <c r="J181" s="56" t="n"/>
      <c r="K181" s="57" t="n"/>
      <c r="L181" s="94" t="n"/>
      <c r="M181" s="95" t="n"/>
      <c r="N181" s="95" t="n"/>
      <c r="O181" s="95" t="n"/>
      <c r="P181" s="96" t="n"/>
    </row>
    <row r="182" ht="33" customFormat="1" customHeight="1" s="1">
      <c r="A182" s="53" t="n"/>
      <c r="B182" s="97" t="n"/>
      <c r="C182" s="97" t="n"/>
      <c r="D182" s="97" t="n"/>
      <c r="E182" s="95" t="n"/>
      <c r="F182" s="17" t="n"/>
      <c r="G182" s="97" t="n"/>
      <c r="H182" s="97" t="n"/>
      <c r="I182" s="95" t="n"/>
      <c r="J182" s="56" t="n"/>
      <c r="K182" s="57" t="n"/>
      <c r="L182" s="94" t="n"/>
      <c r="M182" s="95" t="n"/>
      <c r="N182" s="95" t="n"/>
      <c r="O182" s="95" t="n"/>
      <c r="P182" s="96" t="n"/>
    </row>
    <row r="183" ht="33" customFormat="1" customHeight="1" s="1">
      <c r="A183" s="53" t="n"/>
      <c r="B183" s="97" t="n"/>
      <c r="C183" s="97" t="n"/>
      <c r="D183" s="97" t="n"/>
      <c r="E183" s="95" t="n"/>
      <c r="F183" s="17" t="n"/>
      <c r="G183" s="97" t="n"/>
      <c r="H183" s="97" t="n"/>
      <c r="I183" s="95" t="n"/>
      <c r="J183" s="56" t="n"/>
      <c r="K183" s="57" t="n"/>
      <c r="L183" s="94" t="n"/>
      <c r="M183" s="95" t="n"/>
      <c r="N183" s="95" t="n"/>
      <c r="O183" s="95" t="n"/>
      <c r="P183" s="96" t="n"/>
    </row>
    <row r="184" ht="33" customFormat="1" customHeight="1" s="1">
      <c r="A184" s="53" t="n"/>
      <c r="B184" s="97" t="n"/>
      <c r="C184" s="97" t="n"/>
      <c r="D184" s="97" t="n"/>
      <c r="E184" s="95" t="n"/>
      <c r="F184" s="17" t="n"/>
      <c r="G184" s="97" t="n"/>
      <c r="H184" s="97" t="n"/>
      <c r="I184" s="95" t="n"/>
      <c r="J184" s="56" t="n"/>
      <c r="K184" s="57" t="n"/>
      <c r="L184" s="94" t="n"/>
      <c r="M184" s="95" t="n"/>
      <c r="N184" s="95" t="n"/>
      <c r="O184" s="95" t="n"/>
      <c r="P184" s="96" t="n"/>
    </row>
    <row r="185" ht="33" customFormat="1" customHeight="1" s="1">
      <c r="A185" s="53" t="n"/>
      <c r="B185" s="97" t="n"/>
      <c r="C185" s="97" t="n"/>
      <c r="D185" s="97" t="n"/>
      <c r="E185" s="95" t="n"/>
      <c r="F185" s="17" t="n"/>
      <c r="G185" s="97" t="n"/>
      <c r="H185" s="97" t="n"/>
      <c r="I185" s="95" t="n"/>
      <c r="J185" s="56" t="n"/>
      <c r="K185" s="57" t="n"/>
      <c r="L185" s="94" t="n"/>
      <c r="M185" s="95" t="n"/>
      <c r="N185" s="95" t="n"/>
      <c r="O185" s="95" t="n"/>
      <c r="P185" s="96" t="n"/>
    </row>
    <row r="186" ht="33" customFormat="1" customHeight="1" s="1">
      <c r="A186" s="53" t="n"/>
      <c r="B186" s="97" t="n"/>
      <c r="C186" s="97" t="n"/>
      <c r="D186" s="97" t="n"/>
      <c r="E186" s="95" t="n"/>
      <c r="F186" s="17" t="n"/>
      <c r="G186" s="97" t="n"/>
      <c r="H186" s="97" t="n"/>
      <c r="I186" s="95" t="n"/>
      <c r="J186" s="56" t="n"/>
      <c r="K186" s="57" t="n"/>
      <c r="L186" s="94" t="n"/>
      <c r="M186" s="95" t="n"/>
      <c r="N186" s="95" t="n"/>
      <c r="O186" s="95" t="n"/>
      <c r="P186" s="96" t="n"/>
    </row>
    <row r="187" ht="33" customFormat="1" customHeight="1" s="1">
      <c r="A187" s="53" t="n"/>
      <c r="B187" s="97" t="n"/>
      <c r="C187" s="97" t="n"/>
      <c r="D187" s="97" t="n"/>
      <c r="E187" s="95" t="n"/>
      <c r="F187" s="17" t="n"/>
      <c r="G187" s="97" t="n"/>
      <c r="H187" s="97" t="n"/>
      <c r="I187" s="95" t="n"/>
      <c r="J187" s="56" t="n"/>
      <c r="K187" s="57" t="n"/>
      <c r="L187" s="94" t="n"/>
      <c r="M187" s="95" t="n"/>
      <c r="N187" s="95" t="n"/>
      <c r="O187" s="95" t="n"/>
      <c r="P187" s="96" t="n"/>
    </row>
    <row r="188" ht="33" customFormat="1" customHeight="1" s="1">
      <c r="A188" s="53" t="n"/>
      <c r="B188" s="97" t="n"/>
      <c r="C188" s="97" t="n"/>
      <c r="D188" s="97" t="n"/>
      <c r="E188" s="95" t="n"/>
      <c r="F188" s="17" t="n"/>
      <c r="G188" s="97" t="n"/>
      <c r="H188" s="97" t="n"/>
      <c r="I188" s="95" t="n"/>
      <c r="J188" s="56" t="n"/>
      <c r="K188" s="57" t="n"/>
      <c r="L188" s="94" t="n"/>
      <c r="M188" s="95" t="n"/>
      <c r="N188" s="95" t="n"/>
      <c r="O188" s="95" t="n"/>
      <c r="P188" s="96" t="n"/>
    </row>
    <row r="189" ht="33" customFormat="1" customHeight="1" s="1">
      <c r="A189" s="53" t="n"/>
      <c r="B189" s="97" t="n"/>
      <c r="C189" s="97" t="n"/>
      <c r="D189" s="97" t="n"/>
      <c r="E189" s="95" t="n"/>
      <c r="F189" s="17" t="n"/>
      <c r="G189" s="97" t="n"/>
      <c r="H189" s="97" t="n"/>
      <c r="I189" s="95" t="n"/>
      <c r="J189" s="56" t="n"/>
      <c r="K189" s="57" t="n"/>
      <c r="L189" s="94" t="n"/>
      <c r="M189" s="95" t="n"/>
      <c r="N189" s="95" t="n"/>
      <c r="O189" s="95" t="n"/>
      <c r="P189" s="96" t="n"/>
    </row>
    <row r="190" ht="33" customFormat="1" customHeight="1" s="1">
      <c r="A190" s="53" t="n"/>
      <c r="B190" s="97" t="n"/>
      <c r="C190" s="97" t="n"/>
      <c r="D190" s="97" t="n"/>
      <c r="E190" s="95" t="n"/>
      <c r="F190" s="17" t="n"/>
      <c r="G190" s="97" t="n"/>
      <c r="H190" s="97" t="n"/>
      <c r="I190" s="95" t="n"/>
      <c r="J190" s="56" t="n"/>
      <c r="K190" s="57" t="n"/>
      <c r="L190" s="94" t="n"/>
      <c r="M190" s="95" t="n"/>
      <c r="N190" s="95" t="n"/>
      <c r="O190" s="95" t="n"/>
      <c r="P190" s="96" t="n"/>
    </row>
    <row r="191" ht="33" customFormat="1" customHeight="1" s="1">
      <c r="A191" s="53" t="n"/>
      <c r="B191" s="97" t="n"/>
      <c r="C191" s="97" t="n"/>
      <c r="D191" s="97" t="n"/>
      <c r="E191" s="95" t="n"/>
      <c r="F191" s="17" t="n"/>
      <c r="G191" s="97" t="n"/>
      <c r="H191" s="97" t="n"/>
      <c r="I191" s="95" t="n"/>
      <c r="J191" s="56" t="n"/>
      <c r="K191" s="57" t="n"/>
      <c r="L191" s="94" t="n"/>
      <c r="M191" s="95" t="n"/>
      <c r="N191" s="95" t="n"/>
      <c r="O191" s="95" t="n"/>
      <c r="P191" s="96" t="n"/>
    </row>
    <row r="192" ht="33" customFormat="1" customHeight="1" s="1">
      <c r="A192" s="53" t="n"/>
      <c r="B192" s="97" t="n"/>
      <c r="C192" s="97" t="n"/>
      <c r="D192" s="97" t="n"/>
      <c r="E192" s="95" t="n"/>
      <c r="F192" s="17" t="n"/>
      <c r="G192" s="97" t="n"/>
      <c r="H192" s="97" t="n"/>
      <c r="I192" s="95" t="n"/>
      <c r="J192" s="56" t="n"/>
      <c r="K192" s="57" t="n"/>
      <c r="L192" s="94" t="n"/>
      <c r="M192" s="95" t="n"/>
      <c r="N192" s="95" t="n"/>
      <c r="O192" s="95" t="n"/>
      <c r="P192" s="96" t="n"/>
    </row>
    <row r="193" ht="33" customFormat="1" customHeight="1" s="1">
      <c r="A193" s="53" t="n"/>
      <c r="B193" s="97" t="n"/>
      <c r="C193" s="97" t="n"/>
      <c r="D193" s="97" t="n"/>
      <c r="E193" s="95" t="n"/>
      <c r="F193" s="17" t="n"/>
      <c r="G193" s="97" t="n"/>
      <c r="H193" s="97" t="n"/>
      <c r="I193" s="95" t="n"/>
      <c r="J193" s="56" t="n"/>
      <c r="K193" s="57" t="n"/>
      <c r="L193" s="94" t="n"/>
      <c r="M193" s="95" t="n"/>
      <c r="N193" s="95" t="n"/>
      <c r="O193" s="95" t="n"/>
      <c r="P193" s="96" t="n"/>
    </row>
    <row r="194" ht="33" customFormat="1" customHeight="1" s="1">
      <c r="A194" s="53" t="n"/>
      <c r="B194" s="97" t="n"/>
      <c r="C194" s="97" t="n"/>
      <c r="D194" s="97" t="n"/>
      <c r="E194" s="95" t="n"/>
      <c r="F194" s="17" t="n"/>
      <c r="G194" s="97" t="n"/>
      <c r="H194" s="97" t="n"/>
      <c r="I194" s="95" t="n"/>
      <c r="J194" s="56" t="n"/>
      <c r="K194" s="57" t="n"/>
      <c r="L194" s="94" t="n"/>
      <c r="M194" s="95" t="n"/>
      <c r="N194" s="95" t="n"/>
      <c r="O194" s="95" t="n"/>
      <c r="P194" s="96" t="n"/>
    </row>
    <row r="195" ht="33" customFormat="1" customHeight="1" s="1">
      <c r="A195" s="53" t="n"/>
      <c r="B195" s="97" t="n"/>
      <c r="C195" s="97" t="n"/>
      <c r="D195" s="97" t="n"/>
      <c r="E195" s="95" t="n"/>
      <c r="F195" s="17" t="n"/>
      <c r="G195" s="97" t="n"/>
      <c r="H195" s="97" t="n"/>
      <c r="I195" s="95" t="n"/>
      <c r="J195" s="56" t="n"/>
      <c r="K195" s="57" t="n"/>
      <c r="L195" s="94" t="n"/>
      <c r="M195" s="95" t="n"/>
      <c r="N195" s="95" t="n"/>
      <c r="O195" s="95" t="n"/>
      <c r="P195" s="96" t="n"/>
    </row>
    <row r="196" ht="33" customFormat="1" customHeight="1" s="1">
      <c r="A196" s="53" t="n"/>
      <c r="B196" s="97" t="n"/>
      <c r="C196" s="97" t="n"/>
      <c r="D196" s="97" t="n"/>
      <c r="E196" s="95" t="n"/>
      <c r="F196" s="17" t="n"/>
      <c r="G196" s="97" t="n"/>
      <c r="H196" s="97" t="n"/>
      <c r="I196" s="95" t="n"/>
      <c r="J196" s="56" t="n"/>
      <c r="K196" s="57" t="n"/>
      <c r="L196" s="94" t="n"/>
      <c r="M196" s="95" t="n"/>
      <c r="N196" s="95" t="n"/>
      <c r="O196" s="95" t="n"/>
      <c r="P196" s="96" t="n"/>
    </row>
    <row r="197" ht="33" customFormat="1" customHeight="1" s="1">
      <c r="A197" s="53" t="n"/>
      <c r="B197" s="97" t="n"/>
      <c r="C197" s="97" t="n"/>
      <c r="D197" s="97" t="n"/>
      <c r="E197" s="95" t="n"/>
      <c r="F197" s="17" t="n"/>
      <c r="G197" s="97" t="n"/>
      <c r="H197" s="97" t="n"/>
      <c r="I197" s="95" t="n"/>
      <c r="J197" s="56" t="n"/>
      <c r="K197" s="57" t="n"/>
      <c r="L197" s="94" t="n"/>
      <c r="M197" s="95" t="n"/>
      <c r="N197" s="95" t="n"/>
      <c r="O197" s="95" t="n"/>
      <c r="P197" s="96" t="n"/>
    </row>
    <row r="198" ht="33" customFormat="1" customHeight="1" s="1">
      <c r="A198" s="53" t="n"/>
      <c r="B198" s="97" t="n"/>
      <c r="C198" s="97" t="n"/>
      <c r="D198" s="97" t="n"/>
      <c r="E198" s="95" t="n"/>
      <c r="F198" s="17" t="n"/>
      <c r="G198" s="97" t="n"/>
      <c r="H198" s="97" t="n"/>
      <c r="I198" s="95" t="n"/>
      <c r="J198" s="56" t="n"/>
      <c r="K198" s="57" t="n"/>
      <c r="L198" s="94" t="n"/>
      <c r="M198" s="95" t="n"/>
      <c r="N198" s="95" t="n"/>
      <c r="O198" s="95" t="n"/>
      <c r="P198" s="96" t="n"/>
    </row>
    <row r="199" ht="33" customFormat="1" customHeight="1" s="1">
      <c r="A199" s="53" t="n"/>
      <c r="B199" s="97" t="n"/>
      <c r="C199" s="97" t="n"/>
      <c r="D199" s="97" t="n"/>
      <c r="E199" s="95" t="n"/>
      <c r="F199" s="17" t="n"/>
      <c r="G199" s="97" t="n"/>
      <c r="H199" s="97" t="n"/>
      <c r="I199" s="95" t="n"/>
      <c r="J199" s="56" t="n"/>
      <c r="K199" s="57" t="n"/>
      <c r="L199" s="94" t="n"/>
      <c r="M199" s="95" t="n"/>
      <c r="N199" s="95" t="n"/>
      <c r="O199" s="95" t="n"/>
      <c r="P199" s="96" t="n"/>
    </row>
    <row r="200" ht="33" customFormat="1" customHeight="1" s="1">
      <c r="A200" s="53" t="n"/>
      <c r="B200" s="97" t="n"/>
      <c r="C200" s="97" t="n"/>
      <c r="D200" s="97" t="n"/>
      <c r="E200" s="95" t="n"/>
      <c r="F200" s="17" t="n"/>
      <c r="G200" s="97" t="n"/>
      <c r="H200" s="97" t="n"/>
      <c r="I200" s="95" t="n"/>
      <c r="J200" s="56" t="n"/>
      <c r="K200" s="57" t="n"/>
      <c r="L200" s="94" t="n"/>
      <c r="M200" s="95" t="n"/>
      <c r="N200" s="95" t="n"/>
      <c r="O200" s="95" t="n"/>
      <c r="P200" s="96" t="n"/>
    </row>
    <row r="201" ht="33" customFormat="1" customHeight="1" s="1">
      <c r="A201" s="53" t="n"/>
      <c r="B201" s="97" t="n"/>
      <c r="C201" s="97" t="n"/>
      <c r="D201" s="97" t="n"/>
      <c r="E201" s="95" t="n"/>
      <c r="F201" s="17" t="n"/>
      <c r="G201" s="97" t="n"/>
      <c r="H201" s="97" t="n"/>
      <c r="I201" s="95" t="n"/>
      <c r="J201" s="56" t="n"/>
      <c r="K201" s="57" t="n"/>
      <c r="L201" s="94" t="n"/>
      <c r="M201" s="95" t="n"/>
      <c r="N201" s="95" t="n"/>
      <c r="O201" s="95" t="n"/>
      <c r="P201" s="96" t="n"/>
    </row>
    <row r="202" ht="33" customFormat="1" customHeight="1" s="1">
      <c r="A202" s="53" t="n"/>
      <c r="B202" s="97" t="n"/>
      <c r="C202" s="97" t="n"/>
      <c r="D202" s="97" t="n"/>
      <c r="E202" s="95" t="n"/>
      <c r="F202" s="17" t="n"/>
      <c r="G202" s="97" t="n"/>
      <c r="H202" s="97" t="n"/>
      <c r="I202" s="95" t="n"/>
      <c r="J202" s="56" t="n"/>
      <c r="K202" s="57" t="n"/>
      <c r="L202" s="94" t="n"/>
      <c r="M202" s="95" t="n"/>
      <c r="N202" s="95" t="n"/>
      <c r="O202" s="95" t="n"/>
      <c r="P202" s="96" t="n"/>
    </row>
    <row r="203" ht="33" customFormat="1" customHeight="1" s="1">
      <c r="A203" s="53" t="n"/>
      <c r="B203" s="97" t="n"/>
      <c r="C203" s="97" t="n"/>
      <c r="D203" s="97" t="n"/>
      <c r="E203" s="95" t="n"/>
      <c r="F203" s="17" t="n"/>
      <c r="G203" s="97" t="n"/>
      <c r="H203" s="97" t="n"/>
      <c r="I203" s="95" t="n"/>
      <c r="J203" s="56" t="n"/>
      <c r="K203" s="57" t="n"/>
      <c r="L203" s="94" t="n"/>
      <c r="M203" s="95" t="n"/>
      <c r="N203" s="95" t="n"/>
      <c r="O203" s="95" t="n"/>
      <c r="P203" s="96" t="n"/>
    </row>
    <row r="204" ht="33" customFormat="1" customHeight="1" s="1">
      <c r="A204" s="53" t="n"/>
      <c r="B204" s="97" t="n"/>
      <c r="C204" s="97" t="n"/>
      <c r="D204" s="97" t="n"/>
      <c r="E204" s="95" t="n"/>
      <c r="F204" s="17" t="n"/>
      <c r="G204" s="97" t="n"/>
      <c r="H204" s="97" t="n"/>
      <c r="I204" s="95" t="n"/>
      <c r="J204" s="56" t="n"/>
      <c r="K204" s="57" t="n"/>
      <c r="L204" s="94" t="n"/>
      <c r="M204" s="95" t="n"/>
      <c r="N204" s="95" t="n"/>
      <c r="O204" s="95" t="n"/>
      <c r="P204" s="96" t="n"/>
    </row>
    <row r="205" ht="33" customFormat="1" customHeight="1" s="1">
      <c r="A205" s="53" t="n"/>
      <c r="B205" s="97" t="n"/>
      <c r="C205" s="97" t="n"/>
      <c r="D205" s="97" t="n"/>
      <c r="E205" s="95" t="n"/>
      <c r="F205" s="17" t="n"/>
      <c r="G205" s="97" t="n"/>
      <c r="H205" s="97" t="n"/>
      <c r="I205" s="95" t="n"/>
      <c r="J205" s="56" t="n"/>
      <c r="K205" s="57" t="n"/>
      <c r="L205" s="94" t="n"/>
      <c r="M205" s="95" t="n"/>
      <c r="N205" s="95" t="n"/>
      <c r="O205" s="95" t="n"/>
      <c r="P205" s="96" t="n"/>
    </row>
    <row r="206" ht="33" customFormat="1" customHeight="1" s="1">
      <c r="A206" s="53" t="n"/>
      <c r="B206" s="97" t="n"/>
      <c r="C206" s="97" t="n"/>
      <c r="D206" s="97" t="n"/>
      <c r="E206" s="95" t="n"/>
      <c r="F206" s="17" t="n"/>
      <c r="G206" s="97" t="n"/>
      <c r="H206" s="97" t="n"/>
      <c r="I206" s="95" t="n"/>
      <c r="J206" s="56" t="n"/>
      <c r="K206" s="57" t="n"/>
      <c r="L206" s="94" t="n"/>
      <c r="M206" s="95" t="n"/>
      <c r="N206" s="95" t="n"/>
      <c r="O206" s="95" t="n"/>
      <c r="P206" s="96" t="n"/>
    </row>
    <row r="207" ht="33" customFormat="1" customHeight="1" s="1">
      <c r="A207" s="53" t="n"/>
      <c r="B207" s="97" t="n"/>
      <c r="C207" s="97" t="n"/>
      <c r="D207" s="97" t="n"/>
      <c r="E207" s="95" t="n"/>
      <c r="F207" s="17" t="n"/>
      <c r="G207" s="97" t="n"/>
      <c r="H207" s="97" t="n"/>
      <c r="I207" s="95" t="n"/>
      <c r="J207" s="56" t="n"/>
      <c r="K207" s="57" t="n"/>
      <c r="L207" s="94" t="n"/>
      <c r="M207" s="95" t="n"/>
      <c r="N207" s="95" t="n"/>
      <c r="O207" s="95" t="n"/>
      <c r="P207" s="96" t="n"/>
    </row>
    <row r="208" ht="33" customFormat="1" customHeight="1" s="1">
      <c r="A208" s="53" t="n"/>
      <c r="B208" s="97" t="n"/>
      <c r="C208" s="97" t="n"/>
      <c r="D208" s="97" t="n"/>
      <c r="E208" s="95" t="n"/>
      <c r="F208" s="17" t="n"/>
      <c r="G208" s="97" t="n"/>
      <c r="H208" s="97" t="n"/>
      <c r="I208" s="95" t="n"/>
      <c r="J208" s="56" t="n"/>
      <c r="K208" s="57" t="n"/>
      <c r="L208" s="94" t="n"/>
      <c r="M208" s="95" t="n"/>
      <c r="N208" s="95" t="n"/>
      <c r="O208" s="95" t="n"/>
      <c r="P208" s="96" t="n"/>
    </row>
    <row r="209" ht="33" customFormat="1" customHeight="1" s="1">
      <c r="A209" s="53" t="n"/>
      <c r="B209" s="97" t="n"/>
      <c r="C209" s="97" t="n"/>
      <c r="D209" s="97" t="n"/>
      <c r="E209" s="95" t="n"/>
      <c r="F209" s="17" t="n"/>
      <c r="G209" s="97" t="n"/>
      <c r="H209" s="97" t="n"/>
      <c r="I209" s="95" t="n"/>
      <c r="J209" s="56" t="n"/>
      <c r="K209" s="57" t="n"/>
      <c r="L209" s="94" t="n"/>
      <c r="M209" s="95" t="n"/>
      <c r="N209" s="95" t="n"/>
      <c r="O209" s="95" t="n"/>
      <c r="P209" s="96" t="n"/>
    </row>
    <row r="210" ht="33" customFormat="1" customHeight="1" s="1">
      <c r="A210" s="53" t="n"/>
      <c r="B210" s="97" t="n"/>
      <c r="C210" s="97" t="n"/>
      <c r="D210" s="97" t="n"/>
      <c r="E210" s="95" t="n"/>
      <c r="F210" s="17" t="n"/>
      <c r="G210" s="97" t="n"/>
      <c r="H210" s="97" t="n"/>
      <c r="I210" s="95" t="n"/>
      <c r="J210" s="56" t="n"/>
      <c r="K210" s="57" t="n"/>
      <c r="L210" s="94" t="n"/>
      <c r="M210" s="95" t="n"/>
      <c r="N210" s="95" t="n"/>
      <c r="O210" s="95" t="n"/>
      <c r="P210" s="96" t="n"/>
    </row>
    <row r="211" ht="33" customFormat="1" customHeight="1" s="1">
      <c r="A211" s="53" t="n"/>
      <c r="B211" s="97" t="n"/>
      <c r="C211" s="97" t="n"/>
      <c r="D211" s="97" t="n"/>
      <c r="E211" s="95" t="n"/>
      <c r="F211" s="17" t="n"/>
      <c r="G211" s="97" t="n"/>
      <c r="H211" s="97" t="n"/>
      <c r="I211" s="95" t="n"/>
      <c r="J211" s="56" t="n"/>
      <c r="K211" s="57" t="n"/>
      <c r="L211" s="94" t="n"/>
      <c r="M211" s="95" t="n"/>
      <c r="N211" s="95" t="n"/>
      <c r="O211" s="95" t="n"/>
      <c r="P211" s="96" t="n"/>
    </row>
    <row r="212" ht="33" customFormat="1" customHeight="1" s="1">
      <c r="A212" s="53" t="n"/>
      <c r="B212" s="97" t="n"/>
      <c r="C212" s="97" t="n"/>
      <c r="D212" s="97" t="n"/>
      <c r="E212" s="95" t="n"/>
      <c r="F212" s="17" t="n"/>
      <c r="G212" s="97" t="n"/>
      <c r="H212" s="97" t="n"/>
      <c r="I212" s="95" t="n"/>
      <c r="J212" s="56" t="n"/>
      <c r="K212" s="57" t="n"/>
      <c r="L212" s="94" t="n"/>
      <c r="M212" s="95" t="n"/>
      <c r="N212" s="95" t="n"/>
      <c r="O212" s="95" t="n"/>
      <c r="P212" s="96" t="n"/>
    </row>
    <row r="213" ht="33" customFormat="1" customHeight="1" s="1">
      <c r="A213" s="53" t="n"/>
      <c r="B213" s="97" t="n"/>
      <c r="C213" s="97" t="n"/>
      <c r="D213" s="97" t="n"/>
      <c r="E213" s="95" t="n"/>
      <c r="F213" s="17" t="n"/>
      <c r="G213" s="97" t="n"/>
      <c r="H213" s="97" t="n"/>
      <c r="I213" s="95" t="n"/>
      <c r="J213" s="56" t="n"/>
      <c r="K213" s="57" t="n"/>
      <c r="L213" s="94" t="n"/>
      <c r="M213" s="95" t="n"/>
      <c r="N213" s="95" t="n"/>
      <c r="O213" s="95" t="n"/>
      <c r="P213" s="96" t="n"/>
    </row>
    <row r="214" ht="33" customFormat="1" customHeight="1" s="1">
      <c r="A214" s="53" t="n"/>
      <c r="B214" s="97" t="n"/>
      <c r="C214" s="97" t="n"/>
      <c r="D214" s="97" t="n"/>
      <c r="E214" s="95" t="n"/>
      <c r="F214" s="17" t="n"/>
      <c r="G214" s="97" t="n"/>
      <c r="H214" s="97" t="n"/>
      <c r="I214" s="95" t="n"/>
      <c r="J214" s="56" t="n"/>
      <c r="K214" s="57" t="n"/>
      <c r="L214" s="94" t="n"/>
      <c r="M214" s="95" t="n"/>
      <c r="N214" s="95" t="n"/>
      <c r="O214" s="95" t="n"/>
      <c r="P214" s="96" t="n"/>
    </row>
    <row r="215" ht="33" customFormat="1" customHeight="1" s="1">
      <c r="A215" s="53" t="n"/>
      <c r="B215" s="97" t="n"/>
      <c r="C215" s="97" t="n"/>
      <c r="D215" s="97" t="n"/>
      <c r="E215" s="95" t="n"/>
      <c r="F215" s="17" t="n"/>
      <c r="G215" s="97" t="n"/>
      <c r="H215" s="97" t="n"/>
      <c r="I215" s="95" t="n"/>
      <c r="J215" s="56" t="n"/>
      <c r="K215" s="57" t="n"/>
      <c r="L215" s="94" t="n"/>
      <c r="M215" s="95" t="n"/>
      <c r="N215" s="95" t="n"/>
      <c r="O215" s="95" t="n"/>
      <c r="P215" s="96" t="n"/>
    </row>
    <row r="216" ht="33" customFormat="1" customHeight="1" s="1">
      <c r="A216" s="53" t="n"/>
      <c r="B216" s="97" t="n"/>
      <c r="C216" s="97" t="n"/>
      <c r="D216" s="97" t="n"/>
      <c r="E216" s="95" t="n"/>
      <c r="F216" s="17" t="n"/>
      <c r="G216" s="97" t="n"/>
      <c r="H216" s="97" t="n"/>
      <c r="I216" s="95" t="n"/>
      <c r="J216" s="56" t="n"/>
      <c r="K216" s="57" t="n"/>
      <c r="L216" s="94" t="n"/>
      <c r="M216" s="95" t="n"/>
      <c r="N216" s="95" t="n"/>
      <c r="O216" s="95" t="n"/>
      <c r="P216" s="96" t="n"/>
    </row>
    <row r="217" ht="33" customFormat="1" customHeight="1" s="1">
      <c r="A217" s="53" t="n"/>
      <c r="B217" s="97" t="n"/>
      <c r="C217" s="97" t="n"/>
      <c r="D217" s="97" t="n"/>
      <c r="E217" s="95" t="n"/>
      <c r="F217" s="17" t="n"/>
      <c r="G217" s="97" t="n"/>
      <c r="H217" s="97" t="n"/>
      <c r="I217" s="95" t="n"/>
      <c r="J217" s="56" t="n"/>
      <c r="K217" s="57" t="n"/>
      <c r="L217" s="94" t="n"/>
      <c r="M217" s="95" t="n"/>
      <c r="N217" s="95" t="n"/>
      <c r="O217" s="95" t="n"/>
      <c r="P217" s="96" t="n"/>
    </row>
    <row r="218" ht="33" customFormat="1" customHeight="1" s="1">
      <c r="A218" s="53" t="n"/>
      <c r="B218" s="97" t="n"/>
      <c r="C218" s="97" t="n"/>
      <c r="D218" s="97" t="n"/>
      <c r="E218" s="95" t="n"/>
      <c r="F218" s="17" t="n"/>
      <c r="G218" s="97" t="n"/>
      <c r="H218" s="97" t="n"/>
      <c r="I218" s="95" t="n"/>
      <c r="J218" s="56" t="n"/>
      <c r="K218" s="57" t="n"/>
      <c r="L218" s="94" t="n"/>
      <c r="M218" s="95" t="n"/>
      <c r="N218" s="95" t="n"/>
      <c r="O218" s="95" t="n"/>
      <c r="P218" s="96" t="n"/>
    </row>
    <row r="219" ht="33" customFormat="1" customHeight="1" s="1">
      <c r="A219" s="53" t="n"/>
      <c r="B219" s="97" t="n"/>
      <c r="C219" s="97" t="n"/>
      <c r="D219" s="97" t="n"/>
      <c r="E219" s="95" t="n"/>
      <c r="F219" s="17" t="n"/>
      <c r="G219" s="97" t="n"/>
      <c r="H219" s="97" t="n"/>
      <c r="I219" s="95" t="n"/>
      <c r="J219" s="56" t="n"/>
      <c r="K219" s="57" t="n"/>
      <c r="L219" s="94" t="n"/>
      <c r="M219" s="95" t="n"/>
      <c r="N219" s="95" t="n"/>
      <c r="O219" s="95" t="n"/>
      <c r="P219" s="96" t="n"/>
    </row>
    <row r="220" ht="33" customFormat="1" customHeight="1" s="1">
      <c r="A220" s="53" t="n"/>
      <c r="B220" s="97" t="n"/>
      <c r="C220" s="97" t="n"/>
      <c r="D220" s="97" t="n"/>
      <c r="E220" s="95" t="n"/>
      <c r="F220" s="17" t="n"/>
      <c r="G220" s="97" t="n"/>
      <c r="H220" s="97" t="n"/>
      <c r="I220" s="95" t="n"/>
      <c r="J220" s="56" t="n"/>
      <c r="K220" s="57" t="n"/>
      <c r="L220" s="94" t="n"/>
      <c r="M220" s="95" t="n"/>
      <c r="N220" s="95" t="n"/>
      <c r="O220" s="95" t="n"/>
      <c r="P220" s="96" t="n"/>
    </row>
    <row r="221" ht="33" customFormat="1" customHeight="1" s="1">
      <c r="A221" s="53" t="n"/>
      <c r="B221" s="97" t="n"/>
      <c r="C221" s="97" t="n"/>
      <c r="D221" s="97" t="n"/>
      <c r="E221" s="95" t="n"/>
      <c r="F221" s="17" t="n"/>
      <c r="G221" s="97" t="n"/>
      <c r="H221" s="97" t="n"/>
      <c r="I221" s="95" t="n"/>
      <c r="J221" s="56" t="n"/>
      <c r="K221" s="57" t="n"/>
      <c r="L221" s="94" t="n"/>
      <c r="M221" s="95" t="n"/>
      <c r="N221" s="95" t="n"/>
      <c r="O221" s="95" t="n"/>
      <c r="P221" s="96" t="n"/>
    </row>
    <row r="222" ht="33" customFormat="1" customHeight="1" s="1">
      <c r="A222" s="53" t="n"/>
      <c r="B222" s="97" t="n"/>
      <c r="C222" s="97" t="n"/>
      <c r="D222" s="97" t="n"/>
      <c r="E222" s="95" t="n"/>
      <c r="F222" s="17" t="n"/>
      <c r="G222" s="97" t="n"/>
      <c r="H222" s="97" t="n"/>
      <c r="I222" s="95" t="n"/>
      <c r="J222" s="56" t="n"/>
      <c r="K222" s="57" t="n"/>
      <c r="L222" s="94" t="n"/>
      <c r="M222" s="95" t="n"/>
      <c r="N222" s="95" t="n"/>
      <c r="O222" s="95" t="n"/>
      <c r="P222" s="96" t="n"/>
    </row>
    <row r="223" ht="33" customFormat="1" customHeight="1" s="1">
      <c r="A223" s="53" t="n"/>
      <c r="B223" s="97" t="n"/>
      <c r="C223" s="97" t="n"/>
      <c r="D223" s="97" t="n"/>
      <c r="E223" s="95" t="n"/>
      <c r="F223" s="17" t="n"/>
      <c r="G223" s="97" t="n"/>
      <c r="H223" s="97" t="n"/>
      <c r="I223" s="95" t="n"/>
      <c r="J223" s="56" t="n"/>
      <c r="K223" s="57" t="n"/>
      <c r="L223" s="94" t="n"/>
      <c r="M223" s="95" t="n"/>
      <c r="N223" s="95" t="n"/>
      <c r="O223" s="95" t="n"/>
      <c r="P223" s="96" t="n"/>
    </row>
    <row r="224" ht="33" customFormat="1" customHeight="1" s="1">
      <c r="A224" s="53" t="n"/>
      <c r="B224" s="97" t="n"/>
      <c r="C224" s="97" t="n"/>
      <c r="D224" s="97" t="n"/>
      <c r="E224" s="95" t="n"/>
      <c r="F224" s="17" t="n"/>
      <c r="G224" s="97" t="n"/>
      <c r="H224" s="97" t="n"/>
      <c r="I224" s="95" t="n"/>
      <c r="J224" s="56" t="n"/>
      <c r="K224" s="57" t="n"/>
      <c r="L224" s="94" t="n"/>
      <c r="M224" s="95" t="n"/>
      <c r="N224" s="95" t="n"/>
      <c r="O224" s="95" t="n"/>
      <c r="P224" s="96" t="n"/>
    </row>
    <row r="225" ht="33" customFormat="1" customHeight="1" s="1">
      <c r="A225" s="53" t="n"/>
      <c r="B225" s="97" t="n"/>
      <c r="C225" s="97" t="n"/>
      <c r="D225" s="97" t="n"/>
      <c r="E225" s="95" t="n"/>
      <c r="F225" s="17" t="n"/>
      <c r="G225" s="97" t="n"/>
      <c r="H225" s="97" t="n"/>
      <c r="I225" s="95" t="n"/>
      <c r="J225" s="56" t="n"/>
      <c r="K225" s="57" t="n"/>
      <c r="L225" s="94" t="n"/>
      <c r="M225" s="95" t="n"/>
      <c r="N225" s="95" t="n"/>
      <c r="O225" s="95" t="n"/>
      <c r="P225" s="96" t="n"/>
    </row>
    <row r="226" ht="33" customFormat="1" customHeight="1" s="1">
      <c r="A226" s="53" t="n"/>
      <c r="B226" s="97" t="n"/>
      <c r="C226" s="97" t="n"/>
      <c r="D226" s="97" t="n"/>
      <c r="E226" s="95" t="n"/>
      <c r="F226" s="17" t="n"/>
      <c r="G226" s="97" t="n"/>
      <c r="H226" s="97" t="n"/>
      <c r="I226" s="95" t="n"/>
      <c r="J226" s="56" t="n"/>
      <c r="K226" s="57" t="n"/>
      <c r="L226" s="94" t="n"/>
      <c r="M226" s="95" t="n"/>
      <c r="N226" s="95" t="n"/>
      <c r="O226" s="95" t="n"/>
      <c r="P226" s="96" t="n"/>
    </row>
    <row r="227" ht="33" customFormat="1" customHeight="1" s="1">
      <c r="A227" s="53" t="n"/>
      <c r="B227" s="97" t="n"/>
      <c r="C227" s="97" t="n"/>
      <c r="D227" s="97" t="n"/>
      <c r="E227" s="95" t="n"/>
      <c r="F227" s="17" t="n"/>
      <c r="G227" s="97" t="n"/>
      <c r="H227" s="97" t="n"/>
      <c r="I227" s="95" t="n"/>
      <c r="J227" s="56" t="n"/>
      <c r="K227" s="57" t="n"/>
      <c r="L227" s="94" t="n"/>
      <c r="M227" s="95" t="n"/>
      <c r="N227" s="95" t="n"/>
      <c r="O227" s="95" t="n"/>
      <c r="P227" s="96" t="n"/>
    </row>
    <row r="228" ht="33" customFormat="1" customHeight="1" s="1">
      <c r="A228" s="53" t="n"/>
      <c r="B228" s="97" t="n"/>
      <c r="C228" s="97" t="n"/>
      <c r="D228" s="97" t="n"/>
      <c r="E228" s="95" t="n"/>
      <c r="F228" s="17" t="n"/>
      <c r="G228" s="97" t="n"/>
      <c r="H228" s="97" t="n"/>
      <c r="I228" s="95" t="n"/>
      <c r="J228" s="56" t="n"/>
      <c r="K228" s="57" t="n"/>
      <c r="L228" s="94" t="n"/>
      <c r="M228" s="95" t="n"/>
      <c r="N228" s="95" t="n"/>
      <c r="O228" s="95" t="n"/>
      <c r="P228" s="96" t="n"/>
    </row>
    <row r="229" ht="33" customFormat="1" customHeight="1" s="1">
      <c r="A229" s="53" t="n"/>
      <c r="B229" s="97" t="n"/>
      <c r="C229" s="97" t="n"/>
      <c r="D229" s="97" t="n"/>
      <c r="E229" s="95" t="n"/>
      <c r="F229" s="17" t="n"/>
      <c r="G229" s="97" t="n"/>
      <c r="H229" s="97" t="n"/>
      <c r="I229" s="95" t="n"/>
      <c r="J229" s="56" t="n"/>
      <c r="K229" s="57" t="n"/>
      <c r="L229" s="94" t="n"/>
      <c r="M229" s="95" t="n"/>
      <c r="N229" s="95" t="n"/>
      <c r="O229" s="95" t="n"/>
      <c r="P229" s="96" t="n"/>
    </row>
    <row r="230" ht="33" customFormat="1" customHeight="1" s="1">
      <c r="A230" s="53" t="n"/>
      <c r="B230" s="97" t="n"/>
      <c r="C230" s="97" t="n"/>
      <c r="D230" s="97" t="n"/>
      <c r="E230" s="95" t="n"/>
      <c r="F230" s="17" t="n"/>
      <c r="G230" s="97" t="n"/>
      <c r="H230" s="97" t="n"/>
      <c r="I230" s="95" t="n"/>
      <c r="J230" s="56" t="n"/>
      <c r="K230" s="57" t="n"/>
      <c r="L230" s="94" t="n"/>
      <c r="M230" s="95" t="n"/>
      <c r="N230" s="95" t="n"/>
      <c r="O230" s="95" t="n"/>
      <c r="P230" s="96" t="n"/>
    </row>
    <row r="231" ht="33" customFormat="1" customHeight="1" s="1">
      <c r="A231" s="53" t="n"/>
      <c r="B231" s="97" t="n"/>
      <c r="C231" s="97" t="n"/>
      <c r="D231" s="97" t="n"/>
      <c r="E231" s="95" t="n"/>
      <c r="F231" s="17" t="n"/>
      <c r="G231" s="97" t="n"/>
      <c r="H231" s="97" t="n"/>
      <c r="I231" s="95" t="n"/>
      <c r="J231" s="56" t="n"/>
      <c r="K231" s="57" t="n"/>
      <c r="L231" s="94" t="n"/>
      <c r="M231" s="95" t="n"/>
      <c r="N231" s="95" t="n"/>
      <c r="O231" s="95" t="n"/>
      <c r="P231" s="96" t="n"/>
    </row>
    <row r="232" ht="33" customFormat="1" customHeight="1" s="1">
      <c r="A232" s="53" t="n"/>
      <c r="B232" s="97" t="n"/>
      <c r="C232" s="97" t="n"/>
      <c r="D232" s="97" t="n"/>
      <c r="E232" s="95" t="n"/>
      <c r="F232" s="17" t="n"/>
      <c r="G232" s="97" t="n"/>
      <c r="H232" s="97" t="n"/>
      <c r="I232" s="95" t="n"/>
      <c r="J232" s="56" t="n"/>
      <c r="K232" s="57" t="n"/>
      <c r="L232" s="94" t="n"/>
      <c r="M232" s="95" t="n"/>
      <c r="N232" s="95" t="n"/>
      <c r="O232" s="95" t="n"/>
      <c r="P232" s="96" t="n"/>
    </row>
    <row r="233" ht="33" customFormat="1" customHeight="1" s="1">
      <c r="A233" s="53" t="n"/>
      <c r="B233" s="97" t="n"/>
      <c r="C233" s="97" t="n"/>
      <c r="D233" s="97" t="n"/>
      <c r="E233" s="95" t="n"/>
      <c r="F233" s="17" t="n"/>
      <c r="G233" s="97" t="n"/>
      <c r="H233" s="97" t="n"/>
      <c r="I233" s="95" t="n"/>
      <c r="J233" s="56" t="n"/>
      <c r="K233" s="57" t="n"/>
      <c r="L233" s="94" t="n"/>
      <c r="M233" s="95" t="n"/>
      <c r="N233" s="95" t="n"/>
      <c r="O233" s="95" t="n"/>
      <c r="P233" s="96" t="n"/>
    </row>
    <row r="234" ht="33" customFormat="1" customHeight="1" s="1">
      <c r="A234" s="53" t="n"/>
      <c r="B234" s="97" t="n"/>
      <c r="C234" s="97" t="n"/>
      <c r="D234" s="97" t="n"/>
      <c r="E234" s="95" t="n"/>
      <c r="F234" s="17" t="n"/>
      <c r="G234" s="97" t="n"/>
      <c r="H234" s="97" t="n"/>
      <c r="I234" s="95" t="n"/>
      <c r="J234" s="56" t="n"/>
      <c r="K234" s="57" t="n"/>
      <c r="L234" s="94" t="n"/>
      <c r="M234" s="95" t="n"/>
      <c r="N234" s="95" t="n"/>
      <c r="O234" s="95" t="n"/>
      <c r="P234" s="96" t="n"/>
    </row>
    <row r="235" ht="33" customFormat="1" customHeight="1" s="1">
      <c r="A235" s="53" t="n"/>
      <c r="B235" s="97" t="n"/>
      <c r="C235" s="97" t="n"/>
      <c r="D235" s="97" t="n"/>
      <c r="E235" s="95" t="n"/>
      <c r="F235" s="17" t="n"/>
      <c r="G235" s="97" t="n"/>
      <c r="H235" s="97" t="n"/>
      <c r="I235" s="95" t="n"/>
      <c r="J235" s="56" t="n"/>
      <c r="K235" s="57" t="n"/>
      <c r="L235" s="94" t="n"/>
      <c r="M235" s="95" t="n"/>
      <c r="N235" s="95" t="n"/>
      <c r="O235" s="95" t="n"/>
      <c r="P235" s="96" t="n"/>
    </row>
    <row r="236" ht="33" customFormat="1" customHeight="1" s="1">
      <c r="A236" s="53" t="n"/>
      <c r="B236" s="97" t="n"/>
      <c r="C236" s="97" t="n"/>
      <c r="D236" s="97" t="n"/>
      <c r="E236" s="95" t="n"/>
      <c r="F236" s="17" t="n"/>
      <c r="G236" s="97" t="n"/>
      <c r="H236" s="97" t="n"/>
      <c r="I236" s="95" t="n"/>
      <c r="J236" s="56" t="n"/>
      <c r="K236" s="57" t="n"/>
      <c r="L236" s="94" t="n"/>
      <c r="M236" s="95" t="n"/>
      <c r="N236" s="95" t="n"/>
      <c r="O236" s="95" t="n"/>
      <c r="P236" s="96" t="n"/>
    </row>
    <row r="237" ht="33" customFormat="1" customHeight="1" s="1">
      <c r="A237" s="53" t="n"/>
      <c r="B237" s="97" t="n"/>
      <c r="C237" s="97" t="n"/>
      <c r="D237" s="97" t="n"/>
      <c r="E237" s="95" t="n"/>
      <c r="F237" s="17" t="n"/>
      <c r="G237" s="97" t="n"/>
      <c r="H237" s="97" t="n"/>
      <c r="I237" s="95" t="n"/>
      <c r="J237" s="56" t="n"/>
      <c r="K237" s="57" t="n"/>
      <c r="L237" s="94" t="n"/>
      <c r="M237" s="95" t="n"/>
      <c r="N237" s="95" t="n"/>
      <c r="O237" s="95" t="n"/>
      <c r="P237" s="96" t="n"/>
    </row>
    <row r="238" ht="33" customFormat="1" customHeight="1" s="1">
      <c r="A238" s="53" t="n"/>
      <c r="B238" s="97" t="n"/>
      <c r="C238" s="97" t="n"/>
      <c r="D238" s="97" t="n"/>
      <c r="E238" s="95" t="n"/>
      <c r="F238" s="17" t="n"/>
      <c r="G238" s="97" t="n"/>
      <c r="H238" s="97" t="n"/>
      <c r="I238" s="95" t="n"/>
      <c r="J238" s="56" t="n"/>
      <c r="K238" s="57" t="n"/>
      <c r="L238" s="94" t="n"/>
      <c r="M238" s="95" t="n"/>
      <c r="N238" s="95" t="n"/>
      <c r="O238" s="95" t="n"/>
      <c r="P238" s="96" t="n"/>
    </row>
    <row r="239" ht="33" customFormat="1" customHeight="1" s="1">
      <c r="A239" s="53" t="n"/>
      <c r="B239" s="97" t="n"/>
      <c r="C239" s="97" t="n"/>
      <c r="D239" s="97" t="n"/>
      <c r="E239" s="95" t="n"/>
      <c r="F239" s="17" t="n"/>
      <c r="G239" s="97" t="n"/>
      <c r="H239" s="97" t="n"/>
      <c r="I239" s="95" t="n"/>
      <c r="J239" s="56" t="n"/>
      <c r="K239" s="57" t="n"/>
      <c r="L239" s="94" t="n"/>
      <c r="M239" s="95" t="n"/>
      <c r="N239" s="95" t="n"/>
      <c r="O239" s="95" t="n"/>
      <c r="P239" s="96" t="n"/>
    </row>
    <row r="240" ht="33" customFormat="1" customHeight="1" s="1">
      <c r="A240" s="53" t="n"/>
      <c r="B240" s="97" t="n"/>
      <c r="C240" s="97" t="n"/>
      <c r="D240" s="97" t="n"/>
      <c r="E240" s="95" t="n"/>
      <c r="F240" s="17" t="n"/>
      <c r="G240" s="97" t="n"/>
      <c r="H240" s="97" t="n"/>
      <c r="I240" s="95" t="n"/>
      <c r="J240" s="56" t="n"/>
      <c r="K240" s="57" t="n"/>
      <c r="L240" s="94" t="n"/>
      <c r="M240" s="95" t="n"/>
      <c r="N240" s="95" t="n"/>
      <c r="O240" s="95" t="n"/>
      <c r="P240" s="96" t="n"/>
    </row>
    <row r="241" ht="33" customFormat="1" customHeight="1" s="1">
      <c r="A241" s="53" t="n"/>
      <c r="B241" s="97" t="n"/>
      <c r="C241" s="97" t="n"/>
      <c r="D241" s="97" t="n"/>
      <c r="E241" s="95" t="n"/>
      <c r="F241" s="17" t="n"/>
      <c r="G241" s="97" t="n"/>
      <c r="H241" s="97" t="n"/>
      <c r="I241" s="95" t="n"/>
      <c r="J241" s="56" t="n"/>
      <c r="K241" s="57" t="n"/>
      <c r="L241" s="94" t="n"/>
      <c r="M241" s="95" t="n"/>
      <c r="N241" s="95" t="n"/>
      <c r="O241" s="95" t="n"/>
      <c r="P241" s="96" t="n"/>
    </row>
    <row r="242" ht="33" customFormat="1" customHeight="1" s="1">
      <c r="A242" s="53" t="n"/>
      <c r="B242" s="97" t="n"/>
      <c r="C242" s="97" t="n"/>
      <c r="D242" s="97" t="n"/>
      <c r="E242" s="95" t="n"/>
      <c r="F242" s="17" t="n"/>
      <c r="G242" s="97" t="n"/>
      <c r="H242" s="97" t="n"/>
      <c r="I242" s="95" t="n"/>
      <c r="J242" s="56" t="n"/>
      <c r="K242" s="57" t="n"/>
      <c r="L242" s="94" t="n"/>
      <c r="M242" s="95" t="n"/>
      <c r="N242" s="95" t="n"/>
      <c r="O242" s="95" t="n"/>
      <c r="P242" s="96" t="n"/>
    </row>
    <row r="243" ht="33" customFormat="1" customHeight="1" s="1">
      <c r="A243" s="53" t="n"/>
      <c r="B243" s="97" t="n"/>
      <c r="C243" s="97" t="n"/>
      <c r="D243" s="97" t="n"/>
      <c r="E243" s="95" t="n"/>
      <c r="F243" s="17" t="n"/>
      <c r="G243" s="97" t="n"/>
      <c r="H243" s="97" t="n"/>
      <c r="I243" s="95" t="n"/>
      <c r="J243" s="56" t="n"/>
      <c r="K243" s="57" t="n"/>
      <c r="L243" s="94" t="n"/>
      <c r="M243" s="95" t="n"/>
      <c r="N243" s="95" t="n"/>
      <c r="O243" s="95" t="n"/>
      <c r="P243" s="96" t="n"/>
    </row>
    <row r="244" ht="33" customFormat="1" customHeight="1" s="1">
      <c r="A244" s="53" t="n"/>
      <c r="B244" s="97" t="n"/>
      <c r="C244" s="97" t="n"/>
      <c r="D244" s="97" t="n"/>
      <c r="E244" s="95" t="n"/>
      <c r="F244" s="17" t="n"/>
      <c r="G244" s="97" t="n"/>
      <c r="H244" s="97" t="n"/>
      <c r="I244" s="95" t="n"/>
      <c r="J244" s="56" t="n"/>
      <c r="K244" s="57" t="n"/>
      <c r="L244" s="94" t="n"/>
      <c r="M244" s="95" t="n"/>
      <c r="N244" s="95" t="n"/>
      <c r="O244" s="95" t="n"/>
      <c r="P244" s="96" t="n"/>
    </row>
    <row r="245" ht="33" customFormat="1" customHeight="1" s="1">
      <c r="A245" s="53" t="n"/>
      <c r="B245" s="97" t="n"/>
      <c r="C245" s="97" t="n"/>
      <c r="D245" s="97" t="n"/>
      <c r="E245" s="95" t="n"/>
      <c r="F245" s="17" t="n"/>
      <c r="G245" s="97" t="n"/>
      <c r="H245" s="97" t="n"/>
      <c r="I245" s="95" t="n"/>
      <c r="J245" s="56" t="n"/>
      <c r="K245" s="57" t="n"/>
      <c r="L245" s="94" t="n"/>
      <c r="M245" s="95" t="n"/>
      <c r="N245" s="95" t="n"/>
      <c r="O245" s="95" t="n"/>
      <c r="P245" s="96" t="n"/>
    </row>
    <row r="246" ht="33" customFormat="1" customHeight="1" s="1">
      <c r="A246" s="53" t="n"/>
      <c r="B246" s="97" t="n"/>
      <c r="C246" s="97" t="n"/>
      <c r="D246" s="97" t="n"/>
      <c r="E246" s="95" t="n"/>
      <c r="F246" s="17" t="n"/>
      <c r="G246" s="97" t="n"/>
      <c r="H246" s="97" t="n"/>
      <c r="I246" s="95" t="n"/>
      <c r="J246" s="56" t="n"/>
      <c r="K246" s="57" t="n"/>
      <c r="L246" s="94" t="n"/>
      <c r="M246" s="95" t="n"/>
      <c r="N246" s="95" t="n"/>
      <c r="O246" s="95" t="n"/>
      <c r="P246" s="96" t="n"/>
    </row>
    <row r="247" ht="33" customFormat="1" customHeight="1" s="1">
      <c r="A247" s="53" t="n"/>
      <c r="B247" s="97" t="n"/>
      <c r="C247" s="97" t="n"/>
      <c r="D247" s="97" t="n"/>
      <c r="E247" s="95" t="n"/>
      <c r="F247" s="17" t="n"/>
      <c r="G247" s="97" t="n"/>
      <c r="H247" s="97" t="n"/>
      <c r="I247" s="95" t="n"/>
      <c r="J247" s="56" t="n"/>
      <c r="K247" s="57" t="n"/>
      <c r="L247" s="94" t="n"/>
      <c r="M247" s="95" t="n"/>
      <c r="N247" s="95" t="n"/>
      <c r="O247" s="95" t="n"/>
      <c r="P247" s="96" t="n"/>
    </row>
    <row r="248" ht="33" customFormat="1" customHeight="1" s="1">
      <c r="A248" s="53" t="n"/>
      <c r="B248" s="97" t="n"/>
      <c r="C248" s="97" t="n"/>
      <c r="D248" s="97" t="n"/>
      <c r="E248" s="95" t="n"/>
      <c r="F248" s="17" t="n"/>
      <c r="G248" s="97" t="n"/>
      <c r="H248" s="97" t="n"/>
      <c r="I248" s="95" t="n"/>
      <c r="J248" s="56" t="n"/>
      <c r="K248" s="57" t="n"/>
      <c r="L248" s="94" t="n"/>
      <c r="M248" s="95" t="n"/>
      <c r="N248" s="95" t="n"/>
      <c r="O248" s="95" t="n"/>
      <c r="P248" s="96" t="n"/>
    </row>
    <row r="249" ht="33" customFormat="1" customHeight="1" s="1">
      <c r="A249" s="53" t="n"/>
      <c r="B249" s="97" t="n"/>
      <c r="C249" s="97" t="n"/>
      <c r="D249" s="97" t="n"/>
      <c r="E249" s="95" t="n"/>
      <c r="F249" s="17" t="n"/>
      <c r="G249" s="97" t="n"/>
      <c r="H249" s="97" t="n"/>
      <c r="I249" s="95" t="n"/>
      <c r="J249" s="56" t="n"/>
      <c r="K249" s="57" t="n"/>
      <c r="L249" s="94" t="n"/>
      <c r="M249" s="95" t="n"/>
      <c r="N249" s="95" t="n"/>
      <c r="O249" s="95" t="n"/>
      <c r="P249" s="96" t="n"/>
    </row>
    <row r="250" ht="33" customFormat="1" customHeight="1" s="1">
      <c r="A250" s="53" t="n"/>
      <c r="B250" s="97" t="n"/>
      <c r="C250" s="97" t="n"/>
      <c r="D250" s="97" t="n"/>
      <c r="E250" s="95" t="n"/>
      <c r="F250" s="17" t="n"/>
      <c r="G250" s="97" t="n"/>
      <c r="H250" s="97" t="n"/>
      <c r="I250" s="95" t="n"/>
      <c r="J250" s="56" t="n"/>
      <c r="K250" s="57" t="n"/>
      <c r="L250" s="94" t="n"/>
      <c r="M250" s="95" t="n"/>
      <c r="N250" s="95" t="n"/>
      <c r="O250" s="95" t="n"/>
      <c r="P250" s="96" t="n"/>
    </row>
    <row r="251" ht="33" customFormat="1" customHeight="1" s="1">
      <c r="A251" s="53" t="n"/>
      <c r="B251" s="97" t="n"/>
      <c r="C251" s="97" t="n"/>
      <c r="D251" s="97" t="n"/>
      <c r="E251" s="95" t="n"/>
      <c r="F251" s="17" t="n"/>
      <c r="G251" s="97" t="n"/>
      <c r="H251" s="97" t="n"/>
      <c r="I251" s="95" t="n"/>
      <c r="J251" s="56" t="n"/>
      <c r="K251" s="57" t="n"/>
      <c r="L251" s="94" t="n"/>
      <c r="M251" s="95" t="n"/>
      <c r="N251" s="95" t="n"/>
      <c r="O251" s="95" t="n"/>
      <c r="P251" s="96" t="n"/>
    </row>
    <row r="252" ht="33" customFormat="1" customHeight="1" s="1">
      <c r="A252" s="53" t="n"/>
      <c r="B252" s="97" t="n"/>
      <c r="C252" s="97" t="n"/>
      <c r="D252" s="97" t="n"/>
      <c r="E252" s="95" t="n"/>
      <c r="F252" s="17" t="n"/>
      <c r="G252" s="97" t="n"/>
      <c r="H252" s="97" t="n"/>
      <c r="I252" s="95" t="n"/>
      <c r="J252" s="56" t="n"/>
      <c r="K252" s="57" t="n"/>
      <c r="L252" s="94" t="n"/>
      <c r="M252" s="95" t="n"/>
      <c r="N252" s="95" t="n"/>
      <c r="O252" s="95" t="n"/>
      <c r="P252" s="96" t="n"/>
    </row>
    <row r="253" ht="33" customFormat="1" customHeight="1" s="1">
      <c r="A253" s="53" t="n"/>
      <c r="B253" s="97" t="n"/>
      <c r="C253" s="97" t="n"/>
      <c r="D253" s="97" t="n"/>
      <c r="E253" s="95" t="n"/>
      <c r="F253" s="17" t="n"/>
      <c r="G253" s="97" t="n"/>
      <c r="H253" s="97" t="n"/>
      <c r="I253" s="95" t="n"/>
      <c r="J253" s="56" t="n"/>
      <c r="K253" s="57" t="n"/>
      <c r="L253" s="94" t="n"/>
      <c r="M253" s="95" t="n"/>
      <c r="N253" s="95" t="n"/>
      <c r="O253" s="95" t="n"/>
      <c r="P253" s="96" t="n"/>
    </row>
    <row r="254" ht="33" customFormat="1" customHeight="1" s="1">
      <c r="A254" s="53" t="n"/>
      <c r="B254" s="97" t="n"/>
      <c r="C254" s="97" t="n"/>
      <c r="D254" s="97" t="n"/>
      <c r="E254" s="95" t="n"/>
      <c r="F254" s="17" t="n"/>
      <c r="G254" s="97" t="n"/>
      <c r="H254" s="97" t="n"/>
      <c r="I254" s="95" t="n"/>
      <c r="J254" s="56" t="n"/>
      <c r="K254" s="57" t="n"/>
      <c r="L254" s="94" t="n"/>
      <c r="M254" s="95" t="n"/>
      <c r="N254" s="95" t="n"/>
      <c r="O254" s="95" t="n"/>
      <c r="P254" s="96" t="n"/>
    </row>
    <row r="255" ht="33" customFormat="1" customHeight="1" s="1">
      <c r="A255" s="53" t="n"/>
      <c r="B255" s="97" t="n"/>
      <c r="C255" s="97" t="n"/>
      <c r="D255" s="97" t="n"/>
      <c r="E255" s="95" t="n"/>
      <c r="F255" s="17" t="n"/>
      <c r="G255" s="97" t="n"/>
      <c r="H255" s="97" t="n"/>
      <c r="I255" s="95" t="n"/>
      <c r="J255" s="56" t="n"/>
      <c r="K255" s="57" t="n"/>
      <c r="L255" s="94" t="n"/>
      <c r="M255" s="95" t="n"/>
      <c r="N255" s="95" t="n"/>
      <c r="O255" s="95" t="n"/>
      <c r="P255" s="96" t="n"/>
    </row>
    <row r="256" ht="33" customFormat="1" customHeight="1" s="1">
      <c r="A256" s="53" t="n"/>
      <c r="B256" s="97" t="n"/>
      <c r="C256" s="97" t="n"/>
      <c r="D256" s="97" t="n"/>
      <c r="E256" s="95" t="n"/>
      <c r="F256" s="17" t="n"/>
      <c r="G256" s="97" t="n"/>
      <c r="H256" s="97" t="n"/>
      <c r="I256" s="95" t="n"/>
      <c r="J256" s="56" t="n"/>
      <c r="K256" s="57" t="n"/>
      <c r="L256" s="94" t="n"/>
      <c r="M256" s="95" t="n"/>
      <c r="N256" s="95" t="n"/>
      <c r="O256" s="95" t="n"/>
      <c r="P256" s="96" t="n"/>
    </row>
    <row r="257" ht="33" customFormat="1" customHeight="1" s="1">
      <c r="A257" s="53" t="n"/>
      <c r="B257" s="97" t="n"/>
      <c r="C257" s="97" t="n"/>
      <c r="D257" s="97" t="n"/>
      <c r="E257" s="95" t="n"/>
      <c r="F257" s="17" t="n"/>
      <c r="G257" s="97" t="n"/>
      <c r="H257" s="97" t="n"/>
      <c r="I257" s="95" t="n"/>
      <c r="J257" s="56" t="n"/>
      <c r="K257" s="57" t="n"/>
      <c r="L257" s="94" t="n"/>
      <c r="M257" s="95" t="n"/>
      <c r="N257" s="95" t="n"/>
      <c r="O257" s="95" t="n"/>
      <c r="P257" s="96" t="n"/>
    </row>
    <row r="258" ht="33" customFormat="1" customHeight="1" s="1">
      <c r="A258" s="53" t="n"/>
      <c r="B258" s="97" t="n"/>
      <c r="C258" s="97" t="n"/>
      <c r="D258" s="97" t="n"/>
      <c r="E258" s="95" t="n"/>
      <c r="F258" s="17" t="n"/>
      <c r="G258" s="97" t="n"/>
      <c r="H258" s="97" t="n"/>
      <c r="I258" s="95" t="n"/>
      <c r="J258" s="56" t="n"/>
      <c r="K258" s="57" t="n"/>
      <c r="L258" s="94" t="n"/>
      <c r="M258" s="95" t="n"/>
      <c r="N258" s="95" t="n"/>
      <c r="O258" s="95" t="n"/>
      <c r="P258" s="96" t="n"/>
    </row>
    <row r="259" ht="33" customFormat="1" customHeight="1" s="1">
      <c r="A259" s="53" t="n"/>
      <c r="B259" s="97" t="n"/>
      <c r="C259" s="97" t="n"/>
      <c r="D259" s="97" t="n"/>
      <c r="E259" s="95" t="n"/>
      <c r="F259" s="17" t="n"/>
      <c r="G259" s="97" t="n"/>
      <c r="H259" s="97" t="n"/>
      <c r="I259" s="95" t="n"/>
      <c r="J259" s="56" t="n"/>
      <c r="K259" s="57" t="n"/>
      <c r="L259" s="94" t="n"/>
      <c r="M259" s="95" t="n"/>
      <c r="N259" s="95" t="n"/>
      <c r="O259" s="95" t="n"/>
      <c r="P259" s="96" t="n"/>
    </row>
    <row r="260" ht="33" customFormat="1" customHeight="1" s="1">
      <c r="A260" s="53" t="n"/>
      <c r="B260" s="97" t="n"/>
      <c r="C260" s="97" t="n"/>
      <c r="D260" s="97" t="n"/>
      <c r="E260" s="95" t="n"/>
      <c r="F260" s="17" t="n"/>
      <c r="G260" s="97" t="n"/>
      <c r="H260" s="97" t="n"/>
      <c r="I260" s="95" t="n"/>
      <c r="J260" s="56" t="n"/>
      <c r="K260" s="57" t="n"/>
      <c r="L260" s="94" t="n"/>
      <c r="M260" s="95" t="n"/>
      <c r="N260" s="95" t="n"/>
      <c r="O260" s="95" t="n"/>
      <c r="P260" s="96" t="n"/>
    </row>
    <row r="261" ht="33" customFormat="1" customHeight="1" s="1">
      <c r="A261" s="53" t="n"/>
      <c r="B261" s="97" t="n"/>
      <c r="C261" s="97" t="n"/>
      <c r="D261" s="97" t="n"/>
      <c r="E261" s="95" t="n"/>
      <c r="F261" s="17" t="n"/>
      <c r="G261" s="97" t="n"/>
      <c r="H261" s="97" t="n"/>
      <c r="I261" s="95" t="n"/>
      <c r="J261" s="56" t="n"/>
      <c r="K261" s="57" t="n"/>
      <c r="L261" s="94" t="n"/>
      <c r="M261" s="95" t="n"/>
      <c r="N261" s="95" t="n"/>
      <c r="O261" s="95" t="n"/>
      <c r="P261" s="96" t="n"/>
    </row>
    <row r="262" ht="33" customFormat="1" customHeight="1" s="1">
      <c r="A262" s="53" t="n"/>
      <c r="B262" s="97" t="n"/>
      <c r="C262" s="97" t="n"/>
      <c r="D262" s="97" t="n"/>
      <c r="E262" s="95" t="n"/>
      <c r="F262" s="17" t="n"/>
      <c r="G262" s="97" t="n"/>
      <c r="H262" s="97" t="n"/>
      <c r="I262" s="95" t="n"/>
      <c r="J262" s="56" t="n"/>
      <c r="K262" s="57" t="n"/>
      <c r="L262" s="94" t="n"/>
      <c r="M262" s="95" t="n"/>
      <c r="N262" s="95" t="n"/>
      <c r="O262" s="95" t="n"/>
      <c r="P262" s="96" t="n"/>
    </row>
    <row r="263" ht="33" customFormat="1" customHeight="1" s="1">
      <c r="A263" s="53" t="n"/>
      <c r="B263" s="97" t="n"/>
      <c r="C263" s="97" t="n"/>
      <c r="D263" s="97" t="n"/>
      <c r="E263" s="95" t="n"/>
      <c r="F263" s="17" t="n"/>
      <c r="G263" s="97" t="n"/>
      <c r="H263" s="97" t="n"/>
      <c r="I263" s="95" t="n"/>
      <c r="J263" s="56" t="n"/>
      <c r="K263" s="57" t="n"/>
      <c r="L263" s="94" t="n"/>
      <c r="M263" s="95" t="n"/>
      <c r="N263" s="95" t="n"/>
      <c r="O263" s="95" t="n"/>
      <c r="P263" s="96" t="n"/>
    </row>
    <row r="264" ht="33" customFormat="1" customHeight="1" s="1">
      <c r="A264" s="53" t="n"/>
      <c r="B264" s="97" t="n"/>
      <c r="C264" s="97" t="n"/>
      <c r="D264" s="97" t="n"/>
      <c r="E264" s="95" t="n"/>
      <c r="F264" s="17" t="n"/>
      <c r="G264" s="97" t="n"/>
      <c r="H264" s="97" t="n"/>
      <c r="I264" s="95" t="n"/>
      <c r="J264" s="56" t="n"/>
      <c r="K264" s="57" t="n"/>
      <c r="L264" s="94" t="n"/>
      <c r="M264" s="95" t="n"/>
      <c r="N264" s="95" t="n"/>
      <c r="O264" s="95" t="n"/>
      <c r="P264" s="96" t="n"/>
    </row>
    <row r="265" ht="33" customFormat="1" customHeight="1" s="1">
      <c r="A265" s="53" t="n"/>
      <c r="B265" s="97" t="n"/>
      <c r="C265" s="97" t="n"/>
      <c r="D265" s="97" t="n"/>
      <c r="E265" s="95" t="n"/>
      <c r="F265" s="17" t="n"/>
      <c r="G265" s="97" t="n"/>
      <c r="H265" s="97" t="n"/>
      <c r="I265" s="95" t="n"/>
      <c r="J265" s="56" t="n"/>
      <c r="K265" s="57" t="n"/>
      <c r="L265" s="94" t="n"/>
      <c r="M265" s="95" t="n"/>
      <c r="N265" s="95" t="n"/>
      <c r="O265" s="95" t="n"/>
      <c r="P265" s="96" t="n"/>
    </row>
    <row r="266" ht="33" customFormat="1" customHeight="1" s="1">
      <c r="A266" s="53" t="n"/>
      <c r="B266" s="97" t="n"/>
      <c r="C266" s="97" t="n"/>
      <c r="D266" s="97" t="n"/>
      <c r="E266" s="95" t="n"/>
      <c r="F266" s="17" t="n"/>
      <c r="G266" s="97" t="n"/>
      <c r="H266" s="97" t="n"/>
      <c r="I266" s="95" t="n"/>
      <c r="J266" s="56" t="n"/>
      <c r="K266" s="57" t="n"/>
      <c r="L266" s="94" t="n"/>
      <c r="M266" s="95" t="n"/>
      <c r="N266" s="95" t="n"/>
      <c r="O266" s="95" t="n"/>
      <c r="P266" s="96" t="n"/>
    </row>
    <row r="267" ht="33" customFormat="1" customHeight="1" s="1">
      <c r="A267" s="53" t="n"/>
      <c r="B267" s="97" t="n"/>
      <c r="C267" s="97" t="n"/>
      <c r="D267" s="97" t="n"/>
      <c r="E267" s="95" t="n"/>
      <c r="F267" s="17" t="n"/>
      <c r="G267" s="97" t="n"/>
      <c r="H267" s="97" t="n"/>
      <c r="I267" s="95" t="n"/>
      <c r="J267" s="56" t="n"/>
      <c r="K267" s="57" t="n"/>
      <c r="L267" s="94" t="n"/>
      <c r="M267" s="95" t="n"/>
      <c r="N267" s="95" t="n"/>
      <c r="O267" s="95" t="n"/>
      <c r="P267" s="96" t="n"/>
    </row>
    <row r="268" ht="33" customFormat="1" customHeight="1" s="1">
      <c r="A268" s="53" t="n"/>
      <c r="B268" s="97" t="n"/>
      <c r="C268" s="97" t="n"/>
      <c r="D268" s="97" t="n"/>
      <c r="E268" s="95" t="n"/>
      <c r="F268" s="17" t="n"/>
      <c r="G268" s="97" t="n"/>
      <c r="H268" s="97" t="n"/>
      <c r="I268" s="95" t="n"/>
      <c r="J268" s="56" t="n"/>
      <c r="K268" s="57" t="n"/>
      <c r="L268" s="94" t="n"/>
      <c r="M268" s="95" t="n"/>
      <c r="N268" s="95" t="n"/>
      <c r="O268" s="95" t="n"/>
      <c r="P268" s="96" t="n"/>
    </row>
    <row r="269" ht="33" customFormat="1" customHeight="1" s="1">
      <c r="A269" s="53" t="n"/>
      <c r="B269" s="97" t="n"/>
      <c r="C269" s="97" t="n"/>
      <c r="D269" s="97" t="n"/>
      <c r="E269" s="95" t="n"/>
      <c r="F269" s="17" t="n"/>
      <c r="G269" s="97" t="n"/>
      <c r="H269" s="97" t="n"/>
      <c r="I269" s="95" t="n"/>
      <c r="J269" s="56" t="n"/>
      <c r="K269" s="57" t="n"/>
      <c r="L269" s="94" t="n"/>
      <c r="M269" s="95" t="n"/>
      <c r="N269" s="95" t="n"/>
      <c r="O269" s="95" t="n"/>
      <c r="P269" s="96" t="n"/>
    </row>
    <row r="270" ht="33" customFormat="1" customHeight="1" s="1">
      <c r="A270" s="53" t="n"/>
      <c r="B270" s="97" t="n"/>
      <c r="C270" s="97" t="n"/>
      <c r="D270" s="97" t="n"/>
      <c r="E270" s="95" t="n"/>
      <c r="F270" s="17" t="n"/>
      <c r="G270" s="97" t="n"/>
      <c r="H270" s="97" t="n"/>
      <c r="I270" s="95" t="n"/>
      <c r="J270" s="56" t="n"/>
      <c r="K270" s="57" t="n"/>
      <c r="L270" s="94" t="n"/>
      <c r="M270" s="95" t="n"/>
      <c r="N270" s="95" t="n"/>
      <c r="O270" s="95" t="n"/>
      <c r="P270" s="96" t="n"/>
    </row>
    <row r="271" ht="33" customFormat="1" customHeight="1" s="1">
      <c r="A271" s="53" t="n"/>
      <c r="B271" s="97" t="n"/>
      <c r="C271" s="97" t="n"/>
      <c r="D271" s="97" t="n"/>
      <c r="E271" s="95" t="n"/>
      <c r="F271" s="17" t="n"/>
      <c r="G271" s="97" t="n"/>
      <c r="H271" s="97" t="n"/>
      <c r="I271" s="95" t="n"/>
      <c r="J271" s="56" t="n"/>
      <c r="K271" s="57" t="n"/>
      <c r="L271" s="94" t="n"/>
      <c r="M271" s="95" t="n"/>
      <c r="N271" s="95" t="n"/>
      <c r="O271" s="95" t="n"/>
      <c r="P271" s="96" t="n"/>
    </row>
    <row r="272" ht="33" customFormat="1" customHeight="1" s="1">
      <c r="A272" s="53" t="n"/>
      <c r="B272" s="97" t="n"/>
      <c r="C272" s="97" t="n"/>
      <c r="D272" s="97" t="n"/>
      <c r="E272" s="95" t="n"/>
      <c r="F272" s="17" t="n"/>
      <c r="G272" s="97" t="n"/>
      <c r="H272" s="97" t="n"/>
      <c r="I272" s="95" t="n"/>
      <c r="J272" s="56" t="n"/>
      <c r="K272" s="57" t="n"/>
      <c r="L272" s="94" t="n"/>
      <c r="M272" s="95" t="n"/>
      <c r="N272" s="95" t="n"/>
      <c r="O272" s="95" t="n"/>
      <c r="P272" s="96" t="n"/>
    </row>
    <row r="273" ht="33" customFormat="1" customHeight="1" s="1">
      <c r="A273" s="53" t="n"/>
      <c r="B273" s="97" t="n"/>
      <c r="C273" s="97" t="n"/>
      <c r="D273" s="97" t="n"/>
      <c r="E273" s="95" t="n"/>
      <c r="F273" s="17" t="n"/>
      <c r="G273" s="97" t="n"/>
      <c r="H273" s="97" t="n"/>
      <c r="I273" s="95" t="n"/>
      <c r="J273" s="56" t="n"/>
      <c r="K273" s="57" t="n"/>
      <c r="L273" s="94" t="n"/>
      <c r="M273" s="95" t="n"/>
      <c r="N273" s="95" t="n"/>
      <c r="O273" s="95" t="n"/>
      <c r="P273" s="96" t="n"/>
    </row>
    <row r="274" ht="33" customFormat="1" customHeight="1" s="1">
      <c r="A274" s="53" t="n"/>
      <c r="B274" s="97" t="n"/>
      <c r="C274" s="97" t="n"/>
      <c r="D274" s="97" t="n"/>
      <c r="E274" s="95" t="n"/>
      <c r="F274" s="17" t="n"/>
      <c r="G274" s="97" t="n"/>
      <c r="H274" s="97" t="n"/>
      <c r="I274" s="95" t="n"/>
      <c r="J274" s="56" t="n"/>
      <c r="K274" s="57" t="n"/>
      <c r="L274" s="94" t="n"/>
      <c r="M274" s="95" t="n"/>
      <c r="N274" s="95" t="n"/>
      <c r="O274" s="95" t="n"/>
      <c r="P274" s="96" t="n"/>
    </row>
    <row r="275" ht="33" customFormat="1" customHeight="1" s="1">
      <c r="A275" s="53" t="n"/>
      <c r="B275" s="97" t="n"/>
      <c r="C275" s="97" t="n"/>
      <c r="D275" s="97" t="n"/>
      <c r="E275" s="95" t="n"/>
      <c r="F275" s="17" t="n"/>
      <c r="G275" s="97" t="n"/>
      <c r="H275" s="97" t="n"/>
      <c r="I275" s="95" t="n"/>
      <c r="J275" s="56" t="n"/>
      <c r="K275" s="57" t="n"/>
      <c r="L275" s="94" t="n"/>
      <c r="M275" s="95" t="n"/>
      <c r="N275" s="95" t="n"/>
      <c r="O275" s="95" t="n"/>
      <c r="P275" s="96" t="n"/>
    </row>
    <row r="276" ht="33" customFormat="1" customHeight="1" s="1">
      <c r="A276" s="53" t="n"/>
      <c r="B276" s="97" t="n"/>
      <c r="C276" s="97" t="n"/>
      <c r="D276" s="97" t="n"/>
      <c r="E276" s="95" t="n"/>
      <c r="F276" s="17" t="n"/>
      <c r="G276" s="97" t="n"/>
      <c r="H276" s="97" t="n"/>
      <c r="I276" s="95" t="n"/>
      <c r="J276" s="56" t="n"/>
      <c r="K276" s="57" t="n"/>
      <c r="L276" s="94" t="n"/>
      <c r="M276" s="95" t="n"/>
      <c r="N276" s="95" t="n"/>
      <c r="O276" s="95" t="n"/>
      <c r="P276" s="96" t="n"/>
    </row>
    <row r="277" ht="33" customFormat="1" customHeight="1" s="1">
      <c r="A277" s="53" t="n"/>
      <c r="B277" s="97" t="n"/>
      <c r="C277" s="97" t="n"/>
      <c r="D277" s="97" t="n"/>
      <c r="E277" s="95" t="n"/>
      <c r="F277" s="17" t="n"/>
      <c r="G277" s="97" t="n"/>
      <c r="H277" s="97" t="n"/>
      <c r="I277" s="95" t="n"/>
      <c r="J277" s="56" t="n"/>
      <c r="K277" s="57" t="n"/>
      <c r="L277" s="94" t="n"/>
      <c r="M277" s="95" t="n"/>
      <c r="N277" s="95" t="n"/>
      <c r="O277" s="95" t="n"/>
      <c r="P277" s="96" t="n"/>
    </row>
    <row r="278" ht="33" customFormat="1" customHeight="1" s="1">
      <c r="A278" s="53" t="n"/>
      <c r="B278" s="97" t="n"/>
      <c r="C278" s="97" t="n"/>
      <c r="D278" s="97" t="n"/>
      <c r="E278" s="95" t="n"/>
      <c r="F278" s="17" t="n"/>
      <c r="G278" s="97" t="n"/>
      <c r="H278" s="97" t="n"/>
      <c r="I278" s="95" t="n"/>
      <c r="J278" s="56" t="n"/>
      <c r="K278" s="57" t="n"/>
      <c r="L278" s="94" t="n"/>
      <c r="M278" s="95" t="n"/>
      <c r="N278" s="95" t="n"/>
      <c r="O278" s="95" t="n"/>
      <c r="P278" s="96" t="n"/>
    </row>
    <row r="279" ht="33" customFormat="1" customHeight="1" s="1">
      <c r="A279" s="53" t="n"/>
      <c r="B279" s="97" t="n"/>
      <c r="C279" s="97" t="n"/>
      <c r="D279" s="97" t="n"/>
      <c r="E279" s="95" t="n"/>
      <c r="F279" s="17" t="n"/>
      <c r="G279" s="97" t="n"/>
      <c r="H279" s="97" t="n"/>
      <c r="I279" s="95" t="n"/>
      <c r="J279" s="56" t="n"/>
      <c r="K279" s="57" t="n"/>
      <c r="L279" s="94" t="n"/>
      <c r="M279" s="95" t="n"/>
      <c r="N279" s="95" t="n"/>
      <c r="O279" s="95" t="n"/>
      <c r="P279" s="96" t="n"/>
    </row>
    <row r="280" ht="33" customFormat="1" customHeight="1" s="1">
      <c r="A280" s="53" t="n"/>
      <c r="B280" s="97" t="n"/>
      <c r="C280" s="97" t="n"/>
      <c r="D280" s="97" t="n"/>
      <c r="E280" s="95" t="n"/>
      <c r="F280" s="17" t="n"/>
      <c r="G280" s="97" t="n"/>
      <c r="H280" s="97" t="n"/>
      <c r="I280" s="95" t="n"/>
      <c r="J280" s="56" t="n"/>
      <c r="K280" s="57" t="n"/>
      <c r="L280" s="94" t="n"/>
      <c r="M280" s="95" t="n"/>
      <c r="N280" s="95" t="n"/>
      <c r="O280" s="95" t="n"/>
      <c r="P280" s="96" t="n"/>
    </row>
    <row r="281" ht="33" customFormat="1" customHeight="1" s="1">
      <c r="A281" s="53" t="n"/>
      <c r="B281" s="97" t="n"/>
      <c r="C281" s="97" t="n"/>
      <c r="D281" s="97" t="n"/>
      <c r="E281" s="95" t="n"/>
      <c r="F281" s="17" t="n"/>
      <c r="G281" s="97" t="n"/>
      <c r="H281" s="97" t="n"/>
      <c r="I281" s="95" t="n"/>
      <c r="J281" s="56" t="n"/>
      <c r="K281" s="57" t="n"/>
      <c r="L281" s="94" t="n"/>
      <c r="M281" s="95" t="n"/>
      <c r="N281" s="95" t="n"/>
      <c r="O281" s="95" t="n"/>
      <c r="P281" s="96" t="n"/>
    </row>
    <row r="282" ht="33" customFormat="1" customHeight="1" s="1">
      <c r="A282" s="53" t="n"/>
      <c r="B282" s="97" t="n"/>
      <c r="C282" s="97" t="n"/>
      <c r="D282" s="97" t="n"/>
      <c r="E282" s="95" t="n"/>
      <c r="F282" s="17" t="n"/>
      <c r="G282" s="97" t="n"/>
      <c r="H282" s="97" t="n"/>
      <c r="I282" s="95" t="n"/>
      <c r="J282" s="56" t="n"/>
      <c r="K282" s="57" t="n"/>
      <c r="L282" s="94" t="n"/>
      <c r="M282" s="95" t="n"/>
      <c r="N282" s="95" t="n"/>
      <c r="O282" s="95" t="n"/>
      <c r="P282" s="96" t="n"/>
    </row>
    <row r="283" ht="33" customFormat="1" customHeight="1" s="1">
      <c r="A283" s="53" t="n"/>
      <c r="B283" s="97" t="n"/>
      <c r="C283" s="97" t="n"/>
      <c r="D283" s="97" t="n"/>
      <c r="E283" s="95" t="n"/>
      <c r="F283" s="17" t="n"/>
      <c r="G283" s="97" t="n"/>
      <c r="H283" s="97" t="n"/>
      <c r="I283" s="95" t="n"/>
      <c r="J283" s="56" t="n"/>
      <c r="K283" s="57" t="n"/>
      <c r="L283" s="94" t="n"/>
      <c r="M283" s="95" t="n"/>
      <c r="N283" s="95" t="n"/>
      <c r="O283" s="95" t="n"/>
      <c r="P283" s="96" t="n"/>
    </row>
    <row r="284" ht="33" customFormat="1" customHeight="1" s="1">
      <c r="A284" s="53" t="n"/>
      <c r="B284" s="97" t="n"/>
      <c r="C284" s="97" t="n"/>
      <c r="D284" s="97" t="n"/>
      <c r="E284" s="95" t="n"/>
      <c r="F284" s="17" t="n"/>
      <c r="G284" s="97" t="n"/>
      <c r="H284" s="97" t="n"/>
      <c r="I284" s="95" t="n"/>
      <c r="J284" s="56" t="n"/>
      <c r="K284" s="57" t="n"/>
      <c r="L284" s="94" t="n"/>
      <c r="M284" s="95" t="n"/>
      <c r="N284" s="95" t="n"/>
      <c r="O284" s="95" t="n"/>
      <c r="P284" s="96" t="n"/>
    </row>
    <row r="285" ht="33" customFormat="1" customHeight="1" s="1">
      <c r="A285" s="53" t="n"/>
      <c r="B285" s="97" t="n"/>
      <c r="C285" s="97" t="n"/>
      <c r="D285" s="97" t="n"/>
      <c r="E285" s="95" t="n"/>
      <c r="F285" s="17" t="n"/>
      <c r="G285" s="97" t="n"/>
      <c r="H285" s="97" t="n"/>
      <c r="I285" s="95" t="n"/>
      <c r="J285" s="56" t="n"/>
      <c r="K285" s="57" t="n"/>
      <c r="L285" s="94" t="n"/>
      <c r="M285" s="95" t="n"/>
      <c r="N285" s="95" t="n"/>
      <c r="O285" s="95" t="n"/>
      <c r="P285" s="96" t="n"/>
    </row>
    <row r="286" ht="33" customFormat="1" customHeight="1" s="1">
      <c r="A286" s="53" t="n"/>
      <c r="B286" s="97" t="n"/>
      <c r="C286" s="97" t="n"/>
      <c r="D286" s="97" t="n"/>
      <c r="E286" s="95" t="n"/>
      <c r="F286" s="17" t="n"/>
      <c r="G286" s="97" t="n"/>
      <c r="H286" s="97" t="n"/>
      <c r="I286" s="95" t="n"/>
      <c r="J286" s="56" t="n"/>
      <c r="K286" s="57" t="n"/>
      <c r="L286" s="94" t="n"/>
      <c r="M286" s="95" t="n"/>
      <c r="N286" s="95" t="n"/>
      <c r="O286" s="95" t="n"/>
      <c r="P286" s="96" t="n"/>
    </row>
    <row r="287" ht="33" customFormat="1" customHeight="1" s="1">
      <c r="A287" s="53" t="n"/>
      <c r="B287" s="97" t="n"/>
      <c r="C287" s="97" t="n"/>
      <c r="D287" s="97" t="n"/>
      <c r="E287" s="95" t="n"/>
      <c r="F287" s="17" t="n"/>
      <c r="G287" s="97" t="n"/>
      <c r="H287" s="97" t="n"/>
      <c r="I287" s="95" t="n"/>
      <c r="J287" s="56" t="n"/>
      <c r="K287" s="57" t="n"/>
      <c r="L287" s="94" t="n"/>
      <c r="M287" s="95" t="n"/>
      <c r="N287" s="95" t="n"/>
      <c r="O287" s="95" t="n"/>
      <c r="P287" s="96" t="n"/>
    </row>
    <row r="288" ht="33" customFormat="1" customHeight="1" s="1">
      <c r="A288" s="53" t="n"/>
      <c r="B288" s="97" t="n"/>
      <c r="C288" s="97" t="n"/>
      <c r="D288" s="97" t="n"/>
      <c r="E288" s="95" t="n"/>
      <c r="F288" s="17" t="n"/>
      <c r="G288" s="97" t="n"/>
      <c r="H288" s="97" t="n"/>
      <c r="I288" s="95" t="n"/>
      <c r="J288" s="56" t="n"/>
      <c r="K288" s="57" t="n"/>
      <c r="L288" s="94" t="n"/>
      <c r="M288" s="95" t="n"/>
      <c r="N288" s="95" t="n"/>
      <c r="O288" s="95" t="n"/>
      <c r="P288" s="96" t="n"/>
    </row>
    <row r="289" ht="33" customFormat="1" customHeight="1" s="1">
      <c r="A289" s="53" t="n"/>
      <c r="B289" s="97" t="n"/>
      <c r="C289" s="97" t="n"/>
      <c r="D289" s="97" t="n"/>
      <c r="E289" s="95" t="n"/>
      <c r="F289" s="17" t="n"/>
      <c r="G289" s="97" t="n"/>
      <c r="H289" s="97" t="n"/>
      <c r="I289" s="95" t="n"/>
      <c r="J289" s="56" t="n"/>
      <c r="K289" s="57" t="n"/>
      <c r="L289" s="94" t="n"/>
      <c r="M289" s="95" t="n"/>
      <c r="N289" s="95" t="n"/>
      <c r="O289" s="95" t="n"/>
      <c r="P289" s="96" t="n"/>
    </row>
    <row r="290" ht="33" customFormat="1" customHeight="1" s="1">
      <c r="A290" s="53" t="n"/>
      <c r="B290" s="97" t="n"/>
      <c r="C290" s="97" t="n"/>
      <c r="D290" s="97" t="n"/>
      <c r="E290" s="95" t="n"/>
      <c r="F290" s="17" t="n"/>
      <c r="G290" s="97" t="n"/>
      <c r="H290" s="97" t="n"/>
      <c r="I290" s="95" t="n"/>
      <c r="J290" s="56" t="n"/>
      <c r="K290" s="57" t="n"/>
      <c r="L290" s="94" t="n"/>
      <c r="M290" s="95" t="n"/>
      <c r="N290" s="95" t="n"/>
      <c r="O290" s="95" t="n"/>
      <c r="P290" s="96" t="n"/>
    </row>
    <row r="291" ht="33" customFormat="1" customHeight="1" s="1">
      <c r="A291" s="53" t="n"/>
      <c r="B291" s="97" t="n"/>
      <c r="C291" s="97" t="n"/>
      <c r="D291" s="97" t="n"/>
      <c r="E291" s="95" t="n"/>
      <c r="F291" s="17" t="n"/>
      <c r="G291" s="97" t="n"/>
      <c r="H291" s="97" t="n"/>
      <c r="I291" s="95" t="n"/>
      <c r="J291" s="56" t="n"/>
      <c r="K291" s="57" t="n"/>
      <c r="L291" s="94" t="n"/>
      <c r="M291" s="95" t="n"/>
      <c r="N291" s="95" t="n"/>
      <c r="O291" s="95" t="n"/>
      <c r="P291" s="96" t="n"/>
    </row>
    <row r="292" ht="33" customFormat="1" customHeight="1" s="1">
      <c r="A292" s="53" t="n"/>
      <c r="B292" s="97" t="n"/>
      <c r="C292" s="97" t="n"/>
      <c r="D292" s="97" t="n"/>
      <c r="E292" s="95" t="n"/>
      <c r="F292" s="17" t="n"/>
      <c r="G292" s="97" t="n"/>
      <c r="H292" s="97" t="n"/>
      <c r="I292" s="95" t="n"/>
      <c r="J292" s="56" t="n"/>
      <c r="K292" s="57" t="n"/>
      <c r="L292" s="94" t="n"/>
      <c r="M292" s="95" t="n"/>
      <c r="N292" s="95" t="n"/>
      <c r="O292" s="95" t="n"/>
      <c r="P292" s="96" t="n"/>
    </row>
    <row r="293" ht="33" customFormat="1" customHeight="1" s="1">
      <c r="A293" s="53" t="n"/>
      <c r="B293" s="97" t="n"/>
      <c r="C293" s="97" t="n"/>
      <c r="D293" s="97" t="n"/>
      <c r="E293" s="95" t="n"/>
      <c r="F293" s="17" t="n"/>
      <c r="G293" s="97" t="n"/>
      <c r="H293" s="97" t="n"/>
      <c r="I293" s="95" t="n"/>
      <c r="J293" s="56" t="n"/>
      <c r="K293" s="57" t="n"/>
      <c r="L293" s="94" t="n"/>
      <c r="M293" s="95" t="n"/>
      <c r="N293" s="95" t="n"/>
      <c r="O293" s="95" t="n"/>
      <c r="P293" s="96" t="n"/>
    </row>
    <row r="294" ht="33" customFormat="1" customHeight="1" s="1">
      <c r="A294" s="53" t="n"/>
      <c r="B294" s="97" t="n"/>
      <c r="C294" s="97" t="n"/>
      <c r="D294" s="97" t="n"/>
      <c r="E294" s="95" t="n"/>
      <c r="F294" s="17" t="n"/>
      <c r="G294" s="97" t="n"/>
      <c r="H294" s="97" t="n"/>
      <c r="I294" s="95" t="n"/>
      <c r="J294" s="56" t="n"/>
      <c r="K294" s="57" t="n"/>
      <c r="L294" s="94" t="n"/>
      <c r="M294" s="95" t="n"/>
      <c r="N294" s="95" t="n"/>
      <c r="O294" s="95" t="n"/>
      <c r="P294" s="96" t="n"/>
    </row>
    <row r="295" ht="33" customFormat="1" customHeight="1" s="1">
      <c r="A295" s="53" t="n"/>
      <c r="B295" s="97" t="n"/>
      <c r="C295" s="97" t="n"/>
      <c r="D295" s="97" t="n"/>
      <c r="E295" s="95" t="n"/>
      <c r="F295" s="17" t="n"/>
      <c r="G295" s="97" t="n"/>
      <c r="H295" s="97" t="n"/>
      <c r="I295" s="95" t="n"/>
      <c r="J295" s="56" t="n"/>
      <c r="K295" s="57" t="n"/>
      <c r="L295" s="94" t="n"/>
      <c r="M295" s="95" t="n"/>
      <c r="N295" s="95" t="n"/>
      <c r="O295" s="95" t="n"/>
      <c r="P295" s="96" t="n"/>
    </row>
    <row r="296" ht="33" customFormat="1" customHeight="1" s="1">
      <c r="A296" s="53" t="n"/>
      <c r="B296" s="97" t="n"/>
      <c r="C296" s="97" t="n"/>
      <c r="D296" s="97" t="n"/>
      <c r="E296" s="95" t="n"/>
      <c r="F296" s="17" t="n"/>
      <c r="G296" s="97" t="n"/>
      <c r="H296" s="97" t="n"/>
      <c r="I296" s="95" t="n"/>
      <c r="J296" s="56" t="n"/>
      <c r="K296" s="57" t="n"/>
      <c r="L296" s="94" t="n"/>
      <c r="M296" s="95" t="n"/>
      <c r="N296" s="95" t="n"/>
      <c r="O296" s="95" t="n"/>
      <c r="P296" s="96" t="n"/>
    </row>
    <row r="297" ht="33" customFormat="1" customHeight="1" s="1">
      <c r="A297" s="53" t="n"/>
      <c r="B297" s="97" t="n"/>
      <c r="C297" s="97" t="n"/>
      <c r="D297" s="97" t="n"/>
      <c r="E297" s="95" t="n"/>
      <c r="F297" s="17" t="n"/>
      <c r="G297" s="97" t="n"/>
      <c r="H297" s="97" t="n"/>
      <c r="I297" s="95" t="n"/>
      <c r="J297" s="56" t="n"/>
      <c r="K297" s="57" t="n"/>
      <c r="L297" s="94" t="n"/>
      <c r="M297" s="95" t="n"/>
      <c r="N297" s="95" t="n"/>
      <c r="O297" s="95" t="n"/>
      <c r="P297" s="96" t="n"/>
    </row>
    <row r="298" ht="33" customFormat="1" customHeight="1" s="1">
      <c r="A298" s="53" t="n"/>
      <c r="B298" s="97" t="n"/>
      <c r="C298" s="97" t="n"/>
      <c r="D298" s="97" t="n"/>
      <c r="E298" s="95" t="n"/>
      <c r="F298" s="17" t="n"/>
      <c r="G298" s="97" t="n"/>
      <c r="H298" s="97" t="n"/>
      <c r="I298" s="95" t="n"/>
      <c r="J298" s="56" t="n"/>
      <c r="K298" s="57" t="n"/>
      <c r="L298" s="94" t="n"/>
      <c r="M298" s="95" t="n"/>
      <c r="N298" s="95" t="n"/>
      <c r="O298" s="95" t="n"/>
      <c r="P298" s="96" t="n"/>
    </row>
    <row r="299" ht="33" customFormat="1" customHeight="1" s="1">
      <c r="A299" s="53" t="n"/>
      <c r="B299" s="97" t="n"/>
      <c r="C299" s="97" t="n"/>
      <c r="D299" s="97" t="n"/>
      <c r="E299" s="95" t="n"/>
      <c r="F299" s="17" t="n"/>
      <c r="G299" s="97" t="n"/>
      <c r="H299" s="97" t="n"/>
      <c r="I299" s="95" t="n"/>
      <c r="J299" s="56" t="n"/>
      <c r="K299" s="57" t="n"/>
      <c r="L299" s="94" t="n"/>
      <c r="M299" s="95" t="n"/>
      <c r="N299" s="95" t="n"/>
      <c r="O299" s="95" t="n"/>
      <c r="P299" s="96" t="n"/>
    </row>
    <row r="300" ht="33" customFormat="1" customHeight="1" s="1">
      <c r="A300" s="53" t="n"/>
      <c r="B300" s="97" t="n"/>
      <c r="C300" s="97" t="n"/>
      <c r="D300" s="97" t="n"/>
      <c r="E300" s="95" t="n"/>
      <c r="F300" s="17" t="n"/>
      <c r="G300" s="97" t="n"/>
      <c r="H300" s="97" t="n"/>
      <c r="I300" s="95" t="n"/>
      <c r="J300" s="56" t="n"/>
      <c r="K300" s="57" t="n"/>
      <c r="L300" s="94" t="n"/>
      <c r="M300" s="95" t="n"/>
      <c r="N300" s="95" t="n"/>
      <c r="O300" s="95" t="n"/>
      <c r="P300" s="96" t="n"/>
    </row>
    <row r="301" ht="33" customFormat="1" customHeight="1" s="1">
      <c r="A301" s="53" t="n"/>
      <c r="B301" s="97" t="n"/>
      <c r="C301" s="97" t="n"/>
      <c r="D301" s="97" t="n"/>
      <c r="E301" s="95" t="n"/>
      <c r="F301" s="17" t="n"/>
      <c r="G301" s="97" t="n"/>
      <c r="H301" s="97" t="n"/>
      <c r="I301" s="95" t="n"/>
      <c r="J301" s="56" t="n"/>
      <c r="K301" s="57" t="n"/>
      <c r="L301" s="94" t="n"/>
      <c r="M301" s="95" t="n"/>
      <c r="N301" s="95" t="n"/>
      <c r="O301" s="95" t="n"/>
      <c r="P301" s="96" t="n"/>
    </row>
    <row r="302" ht="33" customFormat="1" customHeight="1" s="1">
      <c r="A302" s="53" t="n"/>
      <c r="B302" s="97" t="n"/>
      <c r="C302" s="97" t="n"/>
      <c r="D302" s="97" t="n"/>
      <c r="E302" s="95" t="n"/>
      <c r="F302" s="17" t="n"/>
      <c r="G302" s="97" t="n"/>
      <c r="H302" s="97" t="n"/>
      <c r="I302" s="95" t="n"/>
      <c r="J302" s="56" t="n"/>
      <c r="K302" s="57" t="n"/>
      <c r="L302" s="94" t="n"/>
      <c r="M302" s="95" t="n"/>
      <c r="N302" s="95" t="n"/>
      <c r="O302" s="95" t="n"/>
      <c r="P302" s="96" t="n"/>
    </row>
    <row r="303" ht="33" customFormat="1" customHeight="1" s="1">
      <c r="A303" s="53" t="n"/>
      <c r="B303" s="97" t="n"/>
      <c r="C303" s="97" t="n"/>
      <c r="D303" s="97" t="n"/>
      <c r="E303" s="95" t="n"/>
      <c r="F303" s="17" t="n"/>
      <c r="G303" s="97" t="n"/>
      <c r="H303" s="97" t="n"/>
      <c r="I303" s="95" t="n"/>
      <c r="J303" s="56" t="n"/>
      <c r="K303" s="57" t="n"/>
      <c r="L303" s="94" t="n"/>
      <c r="M303" s="95" t="n"/>
      <c r="N303" s="95" t="n"/>
      <c r="O303" s="95" t="n"/>
      <c r="P303" s="96" t="n"/>
    </row>
    <row r="304" ht="33" customFormat="1" customHeight="1" s="1">
      <c r="A304" s="53" t="n"/>
      <c r="B304" s="97" t="n"/>
      <c r="C304" s="97" t="n"/>
      <c r="D304" s="97" t="n"/>
      <c r="E304" s="95" t="n"/>
      <c r="F304" s="17" t="n"/>
      <c r="G304" s="97" t="n"/>
      <c r="H304" s="97" t="n"/>
      <c r="I304" s="95" t="n"/>
      <c r="J304" s="56" t="n"/>
      <c r="K304" s="57" t="n"/>
      <c r="L304" s="94" t="n"/>
      <c r="M304" s="95" t="n"/>
      <c r="N304" s="95" t="n"/>
      <c r="O304" s="95" t="n"/>
      <c r="P304" s="96" t="n"/>
    </row>
    <row r="305" ht="33" customFormat="1" customHeight="1" s="1">
      <c r="A305" s="53" t="n"/>
      <c r="B305" s="97" t="n"/>
      <c r="C305" s="97" t="n"/>
      <c r="D305" s="97" t="n"/>
      <c r="E305" s="95" t="n"/>
      <c r="F305" s="17" t="n"/>
      <c r="G305" s="97" t="n"/>
      <c r="H305" s="97" t="n"/>
      <c r="I305" s="95" t="n"/>
      <c r="J305" s="56" t="n"/>
      <c r="K305" s="57" t="n"/>
      <c r="L305" s="94" t="n"/>
      <c r="M305" s="95" t="n"/>
      <c r="N305" s="95" t="n"/>
      <c r="O305" s="95" t="n"/>
      <c r="P305" s="96" t="n"/>
    </row>
    <row r="306" ht="33" customFormat="1" customHeight="1" s="1">
      <c r="A306" s="53" t="n"/>
      <c r="B306" s="97" t="n"/>
      <c r="C306" s="97" t="n"/>
      <c r="D306" s="97" t="n"/>
      <c r="E306" s="95" t="n"/>
      <c r="F306" s="17" t="n"/>
      <c r="G306" s="97" t="n"/>
      <c r="H306" s="97" t="n"/>
      <c r="I306" s="95" t="n"/>
      <c r="J306" s="56" t="n"/>
      <c r="K306" s="57" t="n"/>
      <c r="L306" s="94" t="n"/>
      <c r="M306" s="95" t="n"/>
      <c r="N306" s="95" t="n"/>
      <c r="O306" s="95" t="n"/>
      <c r="P306" s="96" t="n"/>
    </row>
    <row r="307" ht="33" customFormat="1" customHeight="1" s="1">
      <c r="A307" s="53" t="n"/>
      <c r="B307" s="97" t="n"/>
      <c r="C307" s="97" t="n"/>
      <c r="D307" s="97" t="n"/>
      <c r="E307" s="95" t="n"/>
      <c r="F307" s="17" t="n"/>
      <c r="G307" s="97" t="n"/>
      <c r="H307" s="97" t="n"/>
      <c r="I307" s="95" t="n"/>
      <c r="J307" s="56" t="n"/>
      <c r="K307" s="57" t="n"/>
      <c r="L307" s="94" t="n"/>
      <c r="M307" s="95" t="n"/>
      <c r="N307" s="95" t="n"/>
      <c r="O307" s="95" t="n"/>
      <c r="P307" s="96" t="n"/>
    </row>
    <row r="308" ht="33" customFormat="1" customHeight="1" s="1">
      <c r="A308" s="53" t="n"/>
      <c r="B308" s="97" t="n"/>
      <c r="C308" s="97" t="n"/>
      <c r="D308" s="97" t="n"/>
      <c r="E308" s="95" t="n"/>
      <c r="F308" s="17" t="n"/>
      <c r="G308" s="97" t="n"/>
      <c r="H308" s="97" t="n"/>
      <c r="I308" s="95" t="n"/>
      <c r="J308" s="56" t="n"/>
      <c r="K308" s="57" t="n"/>
      <c r="L308" s="94" t="n"/>
      <c r="M308" s="95" t="n"/>
      <c r="N308" s="95" t="n"/>
      <c r="O308" s="95" t="n"/>
      <c r="P308" s="96" t="n"/>
    </row>
    <row r="309" ht="33" customFormat="1" customHeight="1" s="1">
      <c r="A309" s="53" t="n"/>
      <c r="B309" s="97" t="n"/>
      <c r="C309" s="97" t="n"/>
      <c r="D309" s="97" t="n"/>
      <c r="E309" s="95" t="n"/>
      <c r="F309" s="17" t="n"/>
      <c r="G309" s="97" t="n"/>
      <c r="H309" s="97" t="n"/>
      <c r="I309" s="95" t="n"/>
      <c r="J309" s="56" t="n"/>
      <c r="K309" s="57" t="n"/>
      <c r="L309" s="94" t="n"/>
      <c r="M309" s="95" t="n"/>
      <c r="N309" s="95" t="n"/>
      <c r="O309" s="95" t="n"/>
      <c r="P309" s="96" t="n"/>
    </row>
    <row r="310" ht="33" customFormat="1" customHeight="1" s="1">
      <c r="A310" s="53" t="n"/>
      <c r="B310" s="97" t="n"/>
      <c r="C310" s="97" t="n"/>
      <c r="D310" s="97" t="n"/>
      <c r="E310" s="95" t="n"/>
      <c r="F310" s="17" t="n"/>
      <c r="G310" s="97" t="n"/>
      <c r="H310" s="97" t="n"/>
      <c r="I310" s="95" t="n"/>
      <c r="J310" s="56" t="n"/>
      <c r="K310" s="57" t="n"/>
      <c r="L310" s="94" t="n"/>
      <c r="M310" s="95" t="n"/>
      <c r="N310" s="95" t="n"/>
      <c r="O310" s="95" t="n"/>
      <c r="P310" s="96" t="n"/>
    </row>
    <row r="311" ht="33" customFormat="1" customHeight="1" s="1">
      <c r="A311" s="53" t="n"/>
      <c r="B311" s="97" t="n"/>
      <c r="C311" s="97" t="n"/>
      <c r="D311" s="97" t="n"/>
      <c r="E311" s="95" t="n"/>
      <c r="F311" s="17" t="n"/>
      <c r="G311" s="97" t="n"/>
      <c r="H311" s="97" t="n"/>
      <c r="I311" s="95" t="n"/>
      <c r="J311" s="56" t="n"/>
      <c r="K311" s="57" t="n"/>
      <c r="L311" s="94" t="n"/>
      <c r="M311" s="95" t="n"/>
      <c r="N311" s="95" t="n"/>
      <c r="O311" s="95" t="n"/>
      <c r="P311" s="96" t="n"/>
    </row>
    <row r="312" ht="33" customFormat="1" customHeight="1" s="1">
      <c r="A312" s="53" t="n"/>
      <c r="B312" s="97" t="n"/>
      <c r="C312" s="97" t="n"/>
      <c r="D312" s="97" t="n"/>
      <c r="E312" s="95" t="n"/>
      <c r="F312" s="17" t="n"/>
      <c r="G312" s="97" t="n"/>
      <c r="H312" s="97" t="n"/>
      <c r="I312" s="95" t="n"/>
      <c r="J312" s="56" t="n"/>
      <c r="K312" s="57" t="n"/>
      <c r="L312" s="94" t="n"/>
      <c r="M312" s="95" t="n"/>
      <c r="N312" s="95" t="n"/>
      <c r="O312" s="95" t="n"/>
      <c r="P312" s="96" t="n"/>
    </row>
    <row r="313" ht="33" customFormat="1" customHeight="1" s="1">
      <c r="A313" s="53" t="n"/>
      <c r="B313" s="97" t="n"/>
      <c r="C313" s="97" t="n"/>
      <c r="D313" s="97" t="n"/>
      <c r="E313" s="95" t="n"/>
      <c r="F313" s="17" t="n"/>
      <c r="G313" s="97" t="n"/>
      <c r="H313" s="97" t="n"/>
      <c r="I313" s="95" t="n"/>
      <c r="J313" s="56" t="n"/>
      <c r="K313" s="57" t="n"/>
      <c r="L313" s="94" t="n"/>
      <c r="M313" s="95" t="n"/>
      <c r="N313" s="95" t="n"/>
      <c r="O313" s="95" t="n"/>
      <c r="P313" s="96" t="n"/>
    </row>
    <row r="314" ht="33" customFormat="1" customHeight="1" s="1">
      <c r="A314" s="53" t="n"/>
      <c r="B314" s="97" t="n"/>
      <c r="C314" s="97" t="n"/>
      <c r="D314" s="97" t="n"/>
      <c r="E314" s="95" t="n"/>
      <c r="F314" s="17" t="n"/>
      <c r="G314" s="97" t="n"/>
      <c r="H314" s="97" t="n"/>
      <c r="I314" s="95" t="n"/>
      <c r="J314" s="56" t="n"/>
      <c r="K314" s="57" t="n"/>
      <c r="L314" s="94" t="n"/>
      <c r="M314" s="95" t="n"/>
      <c r="N314" s="95" t="n"/>
      <c r="O314" s="95" t="n"/>
      <c r="P314" s="96" t="n"/>
    </row>
    <row r="315" ht="33" customFormat="1" customHeight="1" s="1">
      <c r="A315" s="53" t="n"/>
      <c r="B315" s="97" t="n"/>
      <c r="C315" s="97" t="n"/>
      <c r="D315" s="97" t="n"/>
      <c r="E315" s="95" t="n"/>
      <c r="F315" s="17" t="n"/>
      <c r="G315" s="97" t="n"/>
      <c r="H315" s="97" t="n"/>
      <c r="I315" s="95" t="n"/>
      <c r="J315" s="56" t="n"/>
      <c r="K315" s="57" t="n"/>
      <c r="L315" s="94" t="n"/>
      <c r="M315" s="95" t="n"/>
      <c r="N315" s="95" t="n"/>
      <c r="O315" s="95" t="n"/>
      <c r="P315" s="96" t="n"/>
    </row>
    <row r="316" ht="33" customFormat="1" customHeight="1" s="1">
      <c r="A316" s="53" t="n"/>
      <c r="B316" s="97" t="n"/>
      <c r="C316" s="97" t="n"/>
      <c r="D316" s="97" t="n"/>
      <c r="E316" s="95" t="n"/>
      <c r="F316" s="17" t="n"/>
      <c r="G316" s="97" t="n"/>
      <c r="H316" s="97" t="n"/>
      <c r="I316" s="95" t="n"/>
      <c r="J316" s="56" t="n"/>
      <c r="K316" s="57" t="n"/>
      <c r="L316" s="94" t="n"/>
      <c r="M316" s="95" t="n"/>
      <c r="N316" s="95" t="n"/>
      <c r="O316" s="95" t="n"/>
      <c r="P316" s="96" t="n"/>
    </row>
    <row r="317" ht="33" customFormat="1" customHeight="1" s="1">
      <c r="A317" s="53" t="n"/>
      <c r="B317" s="97" t="n"/>
      <c r="C317" s="97" t="n"/>
      <c r="D317" s="97" t="n"/>
      <c r="E317" s="95" t="n"/>
      <c r="F317" s="17" t="n"/>
      <c r="G317" s="97" t="n"/>
      <c r="H317" s="97" t="n"/>
      <c r="I317" s="95" t="n"/>
      <c r="J317" s="56" t="n"/>
      <c r="K317" s="57" t="n"/>
      <c r="L317" s="94" t="n"/>
      <c r="M317" s="95" t="n"/>
      <c r="N317" s="95" t="n"/>
      <c r="O317" s="95" t="n"/>
      <c r="P317" s="96" t="n"/>
    </row>
    <row r="318" ht="33" customFormat="1" customHeight="1" s="1">
      <c r="A318" s="53" t="n"/>
      <c r="B318" s="97" t="n"/>
      <c r="C318" s="97" t="n"/>
      <c r="D318" s="97" t="n"/>
      <c r="E318" s="95" t="n"/>
      <c r="F318" s="17" t="n"/>
      <c r="G318" s="97" t="n"/>
      <c r="H318" s="97" t="n"/>
      <c r="I318" s="95" t="n"/>
      <c r="J318" s="56" t="n"/>
      <c r="K318" s="57" t="n"/>
      <c r="L318" s="94" t="n"/>
      <c r="M318" s="95" t="n"/>
      <c r="N318" s="95" t="n"/>
      <c r="O318" s="95" t="n"/>
      <c r="P318" s="96" t="n"/>
    </row>
    <row r="319" ht="33" customFormat="1" customHeight="1" s="1">
      <c r="A319" s="53" t="n"/>
      <c r="B319" s="97" t="n"/>
      <c r="C319" s="97" t="n"/>
      <c r="D319" s="97" t="n"/>
      <c r="E319" s="95" t="n"/>
      <c r="F319" s="17" t="n"/>
      <c r="G319" s="97" t="n"/>
      <c r="H319" s="97" t="n"/>
      <c r="I319" s="95" t="n"/>
      <c r="J319" s="56" t="n"/>
      <c r="K319" s="57" t="n"/>
      <c r="L319" s="94" t="n"/>
      <c r="M319" s="95" t="n"/>
      <c r="N319" s="95" t="n"/>
      <c r="O319" s="95" t="n"/>
      <c r="P319" s="96" t="n"/>
    </row>
    <row r="320" ht="33" customFormat="1" customHeight="1" s="1">
      <c r="A320" s="53" t="n"/>
      <c r="B320" s="97" t="n"/>
      <c r="C320" s="97" t="n"/>
      <c r="D320" s="97" t="n"/>
      <c r="E320" s="95" t="n"/>
      <c r="F320" s="17" t="n"/>
      <c r="G320" s="97" t="n"/>
      <c r="H320" s="97" t="n"/>
      <c r="I320" s="95" t="n"/>
      <c r="J320" s="56" t="n"/>
      <c r="K320" s="57" t="n"/>
      <c r="L320" s="94" t="n"/>
      <c r="M320" s="95" t="n"/>
      <c r="N320" s="95" t="n"/>
      <c r="O320" s="95" t="n"/>
      <c r="P320" s="96" t="n"/>
    </row>
    <row r="321" ht="33" customFormat="1" customHeight="1" s="1">
      <c r="A321" s="53" t="n"/>
      <c r="B321" s="97" t="n"/>
      <c r="C321" s="97" t="n"/>
      <c r="D321" s="97" t="n"/>
      <c r="E321" s="95" t="n"/>
      <c r="F321" s="17" t="n"/>
      <c r="G321" s="97" t="n"/>
      <c r="H321" s="97" t="n"/>
      <c r="I321" s="95" t="n"/>
      <c r="J321" s="56" t="n"/>
      <c r="K321" s="57" t="n"/>
      <c r="L321" s="94" t="n"/>
      <c r="M321" s="95" t="n"/>
      <c r="N321" s="95" t="n"/>
      <c r="O321" s="95" t="n"/>
      <c r="P321" s="96" t="n"/>
    </row>
    <row r="322" ht="33" customFormat="1" customHeight="1" s="1">
      <c r="A322" s="53" t="n"/>
      <c r="B322" s="97" t="n"/>
      <c r="C322" s="97" t="n"/>
      <c r="D322" s="97" t="n"/>
      <c r="E322" s="95" t="n"/>
      <c r="F322" s="17" t="n"/>
      <c r="G322" s="97" t="n"/>
      <c r="H322" s="97" t="n"/>
      <c r="I322" s="95" t="n"/>
      <c r="J322" s="56" t="n"/>
      <c r="K322" s="57" t="n"/>
      <c r="L322" s="94" t="n"/>
      <c r="M322" s="95" t="n"/>
      <c r="N322" s="95" t="n"/>
      <c r="O322" s="95" t="n"/>
      <c r="P322" s="96" t="n"/>
    </row>
    <row r="323" ht="33" customFormat="1" customHeight="1" s="1">
      <c r="A323" s="53" t="n"/>
      <c r="B323" s="97" t="n"/>
      <c r="C323" s="97" t="n"/>
      <c r="D323" s="97" t="n"/>
      <c r="E323" s="95" t="n"/>
      <c r="F323" s="17" t="n"/>
      <c r="G323" s="97" t="n"/>
      <c r="H323" s="97" t="n"/>
      <c r="I323" s="95" t="n"/>
      <c r="J323" s="56" t="n"/>
      <c r="K323" s="57" t="n"/>
      <c r="L323" s="94" t="n"/>
      <c r="M323" s="95" t="n"/>
      <c r="N323" s="95" t="n"/>
      <c r="O323" s="95" t="n"/>
      <c r="P323" s="96" t="n"/>
    </row>
    <row r="324" ht="33" customFormat="1" customHeight="1" s="1">
      <c r="A324" s="53" t="n"/>
      <c r="B324" s="97" t="n"/>
      <c r="C324" s="97" t="n"/>
      <c r="D324" s="97" t="n"/>
      <c r="E324" s="95" t="n"/>
      <c r="F324" s="17" t="n"/>
      <c r="G324" s="97" t="n"/>
      <c r="H324" s="97" t="n"/>
      <c r="I324" s="95" t="n"/>
      <c r="J324" s="56" t="n"/>
      <c r="K324" s="57" t="n"/>
      <c r="L324" s="94" t="n"/>
      <c r="M324" s="95" t="n"/>
      <c r="N324" s="95" t="n"/>
      <c r="O324" s="95" t="n"/>
      <c r="P324" s="96" t="n"/>
    </row>
    <row r="325" ht="33" customFormat="1" customHeight="1" s="1">
      <c r="A325" s="53" t="n"/>
      <c r="B325" s="97" t="n"/>
      <c r="C325" s="97" t="n"/>
      <c r="D325" s="97" t="n"/>
      <c r="E325" s="95" t="n"/>
      <c r="F325" s="17" t="n"/>
      <c r="G325" s="97" t="n"/>
      <c r="H325" s="97" t="n"/>
      <c r="I325" s="95" t="n"/>
      <c r="J325" s="56" t="n"/>
      <c r="K325" s="57" t="n"/>
      <c r="L325" s="94" t="n"/>
      <c r="M325" s="95" t="n"/>
      <c r="N325" s="95" t="n"/>
      <c r="O325" s="95" t="n"/>
      <c r="P325" s="96" t="n"/>
    </row>
    <row r="326" ht="33" customFormat="1" customHeight="1" s="1">
      <c r="A326" s="53" t="n"/>
      <c r="B326" s="97" t="n"/>
      <c r="C326" s="97" t="n"/>
      <c r="D326" s="97" t="n"/>
      <c r="E326" s="95" t="n"/>
      <c r="F326" s="17" t="n"/>
      <c r="G326" s="97" t="n"/>
      <c r="H326" s="97" t="n"/>
      <c r="I326" s="95" t="n"/>
      <c r="J326" s="56" t="n"/>
      <c r="K326" s="57" t="n"/>
      <c r="L326" s="94" t="n"/>
      <c r="M326" s="95" t="n"/>
      <c r="N326" s="95" t="n"/>
      <c r="O326" s="95" t="n"/>
      <c r="P326" s="96" t="n"/>
    </row>
    <row r="327" ht="33" customFormat="1" customHeight="1" s="1">
      <c r="A327" s="53" t="n"/>
      <c r="B327" s="97" t="n"/>
      <c r="C327" s="97" t="n"/>
      <c r="D327" s="97" t="n"/>
      <c r="E327" s="95" t="n"/>
      <c r="F327" s="17" t="n"/>
      <c r="G327" s="97" t="n"/>
      <c r="H327" s="97" t="n"/>
      <c r="I327" s="95" t="n"/>
      <c r="J327" s="56" t="n"/>
      <c r="K327" s="57" t="n"/>
      <c r="L327" s="94" t="n"/>
      <c r="M327" s="95" t="n"/>
      <c r="N327" s="95" t="n"/>
      <c r="O327" s="95" t="n"/>
      <c r="P327" s="96" t="n"/>
    </row>
    <row r="328" ht="33" customFormat="1" customHeight="1" s="1">
      <c r="A328" s="53" t="n"/>
      <c r="B328" s="97" t="n"/>
      <c r="C328" s="97" t="n"/>
      <c r="D328" s="97" t="n"/>
      <c r="E328" s="95" t="n"/>
      <c r="F328" s="17" t="n"/>
      <c r="G328" s="97" t="n"/>
      <c r="H328" s="97" t="n"/>
      <c r="I328" s="95" t="n"/>
      <c r="J328" s="56" t="n"/>
      <c r="K328" s="57" t="n"/>
      <c r="L328" s="94" t="n"/>
      <c r="M328" s="95" t="n"/>
      <c r="N328" s="95" t="n"/>
      <c r="O328" s="95" t="n"/>
      <c r="P328" s="96" t="n"/>
    </row>
    <row r="329" ht="33" customFormat="1" customHeight="1" s="1">
      <c r="A329" s="53" t="n"/>
      <c r="B329" s="97" t="n"/>
      <c r="C329" s="97" t="n"/>
      <c r="D329" s="97" t="n"/>
      <c r="E329" s="95" t="n"/>
      <c r="F329" s="17" t="n"/>
      <c r="G329" s="97" t="n"/>
      <c r="H329" s="97" t="n"/>
      <c r="I329" s="95" t="n"/>
      <c r="J329" s="56" t="n"/>
      <c r="K329" s="57" t="n"/>
      <c r="L329" s="94" t="n"/>
      <c r="M329" s="95" t="n"/>
      <c r="N329" s="95" t="n"/>
      <c r="O329" s="95" t="n"/>
      <c r="P329" s="96" t="n"/>
    </row>
    <row r="330" ht="33" customFormat="1" customHeight="1" s="1">
      <c r="A330" s="53" t="n"/>
      <c r="B330" s="97" t="n"/>
      <c r="C330" s="97" t="n"/>
      <c r="D330" s="97" t="n"/>
      <c r="E330" s="95" t="n"/>
      <c r="F330" s="17" t="n"/>
      <c r="G330" s="97" t="n"/>
      <c r="H330" s="97" t="n"/>
      <c r="I330" s="95" t="n"/>
      <c r="J330" s="56" t="n"/>
      <c r="K330" s="57" t="n"/>
      <c r="L330" s="94" t="n"/>
      <c r="M330" s="95" t="n"/>
      <c r="N330" s="95" t="n"/>
      <c r="O330" s="95" t="n"/>
      <c r="P330" s="96" t="n"/>
    </row>
    <row r="331" ht="33" customFormat="1" customHeight="1" s="1">
      <c r="A331" s="53" t="n"/>
      <c r="B331" s="97" t="n"/>
      <c r="C331" s="97" t="n"/>
      <c r="D331" s="97" t="n"/>
      <c r="E331" s="95" t="n"/>
      <c r="F331" s="17" t="n"/>
      <c r="G331" s="97" t="n"/>
      <c r="H331" s="97" t="n"/>
      <c r="I331" s="95" t="n"/>
      <c r="J331" s="56" t="n"/>
      <c r="K331" s="57" t="n"/>
      <c r="L331" s="94" t="n"/>
      <c r="M331" s="95" t="n"/>
      <c r="N331" s="95" t="n"/>
      <c r="O331" s="95" t="n"/>
      <c r="P331" s="96" t="n"/>
    </row>
    <row r="332" ht="33" customFormat="1" customHeight="1" s="1">
      <c r="A332" s="53" t="n"/>
      <c r="B332" s="97" t="n"/>
      <c r="C332" s="97" t="n"/>
      <c r="D332" s="97" t="n"/>
      <c r="E332" s="95" t="n"/>
      <c r="F332" s="17" t="n"/>
      <c r="G332" s="97" t="n"/>
      <c r="H332" s="97" t="n"/>
      <c r="I332" s="95" t="n"/>
      <c r="J332" s="56" t="n"/>
      <c r="K332" s="57" t="n"/>
      <c r="L332" s="94" t="n"/>
      <c r="M332" s="95" t="n"/>
      <c r="N332" s="95" t="n"/>
      <c r="O332" s="95" t="n"/>
      <c r="P332" s="96" t="n"/>
    </row>
    <row r="333" ht="33" customFormat="1" customHeight="1" s="1">
      <c r="A333" s="53" t="n"/>
      <c r="B333" s="97" t="n"/>
      <c r="C333" s="97" t="n"/>
      <c r="D333" s="97" t="n"/>
      <c r="E333" s="95" t="n"/>
      <c r="F333" s="17" t="n"/>
      <c r="G333" s="97" t="n"/>
      <c r="H333" s="97" t="n"/>
      <c r="I333" s="95" t="n"/>
      <c r="J333" s="56" t="n"/>
      <c r="K333" s="57" t="n"/>
      <c r="L333" s="94" t="n"/>
      <c r="M333" s="95" t="n"/>
      <c r="N333" s="95" t="n"/>
      <c r="O333" s="95" t="n"/>
      <c r="P333" s="96" t="n"/>
    </row>
    <row r="334" ht="33" customFormat="1" customHeight="1" s="1">
      <c r="A334" s="53" t="n"/>
      <c r="B334" s="97" t="n"/>
      <c r="C334" s="97" t="n"/>
      <c r="D334" s="97" t="n"/>
      <c r="E334" s="95" t="n"/>
      <c r="F334" s="17" t="n"/>
      <c r="G334" s="97" t="n"/>
      <c r="H334" s="97" t="n"/>
      <c r="I334" s="95" t="n"/>
      <c r="J334" s="56" t="n"/>
      <c r="K334" s="57" t="n"/>
      <c r="L334" s="94" t="n"/>
      <c r="M334" s="95" t="n"/>
      <c r="N334" s="95" t="n"/>
      <c r="O334" s="95" t="n"/>
      <c r="P334" s="96" t="n"/>
    </row>
    <row r="335" ht="33" customFormat="1" customHeight="1" s="1">
      <c r="A335" s="53" t="n"/>
      <c r="B335" s="97" t="n"/>
      <c r="C335" s="97" t="n"/>
      <c r="D335" s="97" t="n"/>
      <c r="E335" s="95" t="n"/>
      <c r="F335" s="17" t="n"/>
      <c r="G335" s="97" t="n"/>
      <c r="H335" s="97" t="n"/>
      <c r="I335" s="95" t="n"/>
      <c r="J335" s="56" t="n"/>
      <c r="K335" s="57" t="n"/>
      <c r="L335" s="94" t="n"/>
      <c r="M335" s="95" t="n"/>
      <c r="N335" s="95" t="n"/>
      <c r="O335" s="95" t="n"/>
      <c r="P335" s="96" t="n"/>
    </row>
    <row r="336" ht="33" customFormat="1" customHeight="1" s="1">
      <c r="A336" s="53" t="n"/>
      <c r="B336" s="97" t="n"/>
      <c r="C336" s="97" t="n"/>
      <c r="D336" s="97" t="n"/>
      <c r="E336" s="95" t="n"/>
      <c r="F336" s="17" t="n"/>
      <c r="G336" s="97" t="n"/>
      <c r="H336" s="97" t="n"/>
      <c r="I336" s="95" t="n"/>
      <c r="J336" s="56" t="n"/>
      <c r="K336" s="57" t="n"/>
      <c r="L336" s="94" t="n"/>
      <c r="M336" s="95" t="n"/>
      <c r="N336" s="95" t="n"/>
      <c r="O336" s="95" t="n"/>
      <c r="P336" s="96" t="n"/>
    </row>
    <row r="337" ht="33" customFormat="1" customHeight="1" s="1">
      <c r="A337" s="53" t="n"/>
      <c r="B337" s="97" t="n"/>
      <c r="C337" s="97" t="n"/>
      <c r="D337" s="97" t="n"/>
      <c r="E337" s="95" t="n"/>
      <c r="F337" s="17" t="n"/>
      <c r="G337" s="97" t="n"/>
      <c r="H337" s="97" t="n"/>
      <c r="I337" s="95" t="n"/>
      <c r="J337" s="56" t="n"/>
      <c r="K337" s="57" t="n"/>
      <c r="L337" s="94" t="n"/>
      <c r="M337" s="95" t="n"/>
      <c r="N337" s="95" t="n"/>
      <c r="O337" s="95" t="n"/>
      <c r="P337" s="96" t="n"/>
    </row>
    <row r="338" ht="33" customFormat="1" customHeight="1" s="1">
      <c r="A338" s="53" t="n"/>
      <c r="B338" s="97" t="n"/>
      <c r="C338" s="97" t="n"/>
      <c r="D338" s="97" t="n"/>
      <c r="E338" s="95" t="n"/>
      <c r="F338" s="17" t="n"/>
      <c r="G338" s="97" t="n"/>
      <c r="H338" s="97" t="n"/>
      <c r="I338" s="95" t="n"/>
      <c r="J338" s="56" t="n"/>
      <c r="K338" s="57" t="n"/>
      <c r="L338" s="94" t="n"/>
      <c r="M338" s="95" t="n"/>
      <c r="N338" s="95" t="n"/>
      <c r="O338" s="95" t="n"/>
      <c r="P338" s="96" t="n"/>
    </row>
    <row r="339" ht="33" customFormat="1" customHeight="1" s="1">
      <c r="A339" s="53" t="n"/>
      <c r="B339" s="97" t="n"/>
      <c r="C339" s="97" t="n"/>
      <c r="D339" s="97" t="n"/>
      <c r="E339" s="95" t="n"/>
      <c r="F339" s="17" t="n"/>
      <c r="G339" s="97" t="n"/>
      <c r="H339" s="97" t="n"/>
      <c r="I339" s="95" t="n"/>
      <c r="J339" s="56" t="n"/>
      <c r="K339" s="57" t="n"/>
      <c r="L339" s="94" t="n"/>
      <c r="M339" s="95" t="n"/>
      <c r="N339" s="95" t="n"/>
      <c r="O339" s="95" t="n"/>
      <c r="P339" s="96" t="n"/>
    </row>
    <row r="340" ht="33" customFormat="1" customHeight="1" s="1">
      <c r="A340" s="53" t="n"/>
      <c r="B340" s="97" t="n"/>
      <c r="C340" s="97" t="n"/>
      <c r="D340" s="97" t="n"/>
      <c r="E340" s="95" t="n"/>
      <c r="F340" s="17" t="n"/>
      <c r="G340" s="97" t="n"/>
      <c r="H340" s="97" t="n"/>
      <c r="I340" s="95" t="n"/>
      <c r="J340" s="56" t="n"/>
      <c r="K340" s="57" t="n"/>
      <c r="L340" s="94" t="n"/>
      <c r="M340" s="95" t="n"/>
      <c r="N340" s="95" t="n"/>
      <c r="O340" s="95" t="n"/>
      <c r="P340" s="96" t="n"/>
    </row>
    <row r="341" ht="33" customFormat="1" customHeight="1" s="1">
      <c r="A341" s="53" t="n"/>
      <c r="B341" s="97" t="n"/>
      <c r="C341" s="97" t="n"/>
      <c r="D341" s="97" t="n"/>
      <c r="E341" s="95" t="n"/>
      <c r="F341" s="17" t="n"/>
      <c r="G341" s="97" t="n"/>
      <c r="H341" s="97" t="n"/>
      <c r="I341" s="95" t="n"/>
      <c r="J341" s="56" t="n"/>
      <c r="K341" s="57" t="n"/>
      <c r="L341" s="94" t="n"/>
      <c r="M341" s="95" t="n"/>
      <c r="N341" s="95" t="n"/>
      <c r="O341" s="95" t="n"/>
      <c r="P341" s="96" t="n"/>
    </row>
    <row r="342" ht="33" customFormat="1" customHeight="1" s="1">
      <c r="A342" s="53" t="n"/>
      <c r="B342" s="97" t="n"/>
      <c r="C342" s="97" t="n"/>
      <c r="D342" s="97" t="n"/>
      <c r="E342" s="95" t="n"/>
      <c r="F342" s="17" t="n"/>
      <c r="G342" s="97" t="n"/>
      <c r="H342" s="97" t="n"/>
      <c r="I342" s="95" t="n"/>
      <c r="J342" s="56" t="n"/>
      <c r="K342" s="57" t="n"/>
      <c r="L342" s="94" t="n"/>
      <c r="M342" s="95" t="n"/>
      <c r="N342" s="95" t="n"/>
      <c r="O342" s="95" t="n"/>
      <c r="P342" s="96" t="n"/>
    </row>
    <row r="343" ht="33" customFormat="1" customHeight="1" s="1">
      <c r="A343" s="53" t="n"/>
      <c r="B343" s="97" t="n"/>
      <c r="C343" s="97" t="n"/>
      <c r="D343" s="97" t="n"/>
      <c r="E343" s="95" t="n"/>
      <c r="F343" s="17" t="n"/>
      <c r="G343" s="97" t="n"/>
      <c r="H343" s="97" t="n"/>
      <c r="I343" s="95" t="n"/>
      <c r="J343" s="56" t="n"/>
      <c r="K343" s="57" t="n"/>
      <c r="L343" s="94" t="n"/>
      <c r="M343" s="95" t="n"/>
      <c r="N343" s="95" t="n"/>
      <c r="O343" s="95" t="n"/>
      <c r="P343" s="96" t="n"/>
    </row>
    <row r="344" ht="33" customFormat="1" customHeight="1" s="1">
      <c r="A344" s="53" t="n"/>
      <c r="B344" s="97" t="n"/>
      <c r="C344" s="97" t="n"/>
      <c r="D344" s="97" t="n"/>
      <c r="E344" s="95" t="n"/>
      <c r="F344" s="17" t="n"/>
      <c r="G344" s="97" t="n"/>
      <c r="H344" s="97" t="n"/>
      <c r="I344" s="95" t="n"/>
      <c r="J344" s="56" t="n"/>
      <c r="K344" s="57" t="n"/>
      <c r="L344" s="94" t="n"/>
      <c r="M344" s="95" t="n"/>
      <c r="N344" s="95" t="n"/>
      <c r="O344" s="95" t="n"/>
      <c r="P344" s="96" t="n"/>
    </row>
    <row r="345" ht="33" customFormat="1" customHeight="1" s="1">
      <c r="A345" s="53" t="n"/>
      <c r="B345" s="97" t="n"/>
      <c r="C345" s="97" t="n"/>
      <c r="D345" s="97" t="n"/>
      <c r="E345" s="95" t="n"/>
      <c r="F345" s="17" t="n"/>
      <c r="G345" s="97" t="n"/>
      <c r="H345" s="97" t="n"/>
      <c r="I345" s="95" t="n"/>
      <c r="J345" s="56" t="n"/>
      <c r="K345" s="57" t="n"/>
      <c r="L345" s="94" t="n"/>
      <c r="M345" s="95" t="n"/>
      <c r="N345" s="95" t="n"/>
      <c r="O345" s="95" t="n"/>
      <c r="P345" s="96" t="n"/>
    </row>
    <row r="346" ht="33" customFormat="1" customHeight="1" s="1">
      <c r="A346" s="53" t="n"/>
      <c r="B346" s="97" t="n"/>
      <c r="C346" s="97" t="n"/>
      <c r="D346" s="97" t="n"/>
      <c r="E346" s="95" t="n"/>
      <c r="F346" s="17" t="n"/>
      <c r="G346" s="97" t="n"/>
      <c r="H346" s="97" t="n"/>
      <c r="I346" s="95" t="n"/>
      <c r="J346" s="56" t="n"/>
      <c r="K346" s="57" t="n"/>
      <c r="L346" s="94" t="n"/>
      <c r="M346" s="95" t="n"/>
      <c r="N346" s="95" t="n"/>
      <c r="O346" s="95" t="n"/>
      <c r="P346" s="96" t="n"/>
    </row>
    <row r="347" ht="33" customFormat="1" customHeight="1" s="1">
      <c r="A347" s="53" t="n"/>
      <c r="B347" s="97" t="n"/>
      <c r="C347" s="97" t="n"/>
      <c r="D347" s="97" t="n"/>
      <c r="E347" s="95" t="n"/>
      <c r="F347" s="17" t="n"/>
      <c r="G347" s="97" t="n"/>
      <c r="H347" s="97" t="n"/>
      <c r="I347" s="95" t="n"/>
      <c r="J347" s="56" t="n"/>
      <c r="K347" s="57" t="n"/>
      <c r="L347" s="94" t="n"/>
      <c r="M347" s="95" t="n"/>
      <c r="N347" s="95" t="n"/>
      <c r="O347" s="95" t="n"/>
      <c r="P347" s="96" t="n"/>
    </row>
    <row r="348" ht="33" customFormat="1" customHeight="1" s="1">
      <c r="A348" s="53" t="n"/>
      <c r="B348" s="97" t="n"/>
      <c r="C348" s="97" t="n"/>
      <c r="D348" s="97" t="n"/>
      <c r="E348" s="95" t="n"/>
      <c r="F348" s="17" t="n"/>
      <c r="G348" s="97" t="n"/>
      <c r="H348" s="97" t="n"/>
      <c r="I348" s="95" t="n"/>
      <c r="J348" s="56" t="n"/>
      <c r="K348" s="57" t="n"/>
      <c r="L348" s="94" t="n"/>
      <c r="M348" s="95" t="n"/>
      <c r="N348" s="95" t="n"/>
      <c r="O348" s="95" t="n"/>
      <c r="P348" s="96" t="n"/>
    </row>
    <row r="349" ht="33" customFormat="1" customHeight="1" s="1">
      <c r="A349" s="53" t="n"/>
      <c r="B349" s="97" t="n"/>
      <c r="C349" s="97" t="n"/>
      <c r="D349" s="97" t="n"/>
      <c r="E349" s="95" t="n"/>
      <c r="F349" s="17" t="n"/>
      <c r="G349" s="97" t="n"/>
      <c r="H349" s="97" t="n"/>
      <c r="I349" s="95" t="n"/>
      <c r="J349" s="56" t="n"/>
      <c r="K349" s="57" t="n"/>
      <c r="L349" s="94" t="n"/>
      <c r="M349" s="95" t="n"/>
      <c r="N349" s="95" t="n"/>
      <c r="O349" s="95" t="n"/>
      <c r="P349" s="96" t="n"/>
    </row>
    <row r="350" ht="33" customFormat="1" customHeight="1" s="1">
      <c r="A350" s="53" t="n"/>
      <c r="B350" s="97" t="n"/>
      <c r="C350" s="97" t="n"/>
      <c r="D350" s="97" t="n"/>
      <c r="E350" s="95" t="n"/>
      <c r="F350" s="17" t="n"/>
      <c r="G350" s="97" t="n"/>
      <c r="H350" s="97" t="n"/>
      <c r="I350" s="95" t="n"/>
      <c r="J350" s="56" t="n"/>
      <c r="K350" s="57" t="n"/>
      <c r="L350" s="94" t="n"/>
      <c r="M350" s="95" t="n"/>
      <c r="N350" s="95" t="n"/>
      <c r="O350" s="95" t="n"/>
      <c r="P350" s="96" t="n"/>
    </row>
    <row r="351" ht="33" customFormat="1" customHeight="1" s="1">
      <c r="A351" s="53" t="n"/>
      <c r="B351" s="97" t="n"/>
      <c r="C351" s="97" t="n"/>
      <c r="D351" s="97" t="n"/>
      <c r="E351" s="95" t="n"/>
      <c r="F351" s="17" t="n"/>
      <c r="G351" s="97" t="n"/>
      <c r="H351" s="97" t="n"/>
      <c r="I351" s="95" t="n"/>
      <c r="J351" s="56" t="n"/>
      <c r="K351" s="57" t="n"/>
      <c r="L351" s="94" t="n"/>
      <c r="M351" s="95" t="n"/>
      <c r="N351" s="95" t="n"/>
      <c r="O351" s="95" t="n"/>
      <c r="P351" s="96" t="n"/>
    </row>
    <row r="352" ht="33" customFormat="1" customHeight="1" s="1">
      <c r="A352" s="53" t="n"/>
      <c r="B352" s="97" t="n"/>
      <c r="C352" s="97" t="n"/>
      <c r="D352" s="97" t="n"/>
      <c r="E352" s="95" t="n"/>
      <c r="F352" s="17" t="n"/>
      <c r="G352" s="97" t="n"/>
      <c r="H352" s="97" t="n"/>
      <c r="I352" s="95" t="n"/>
      <c r="J352" s="56" t="n"/>
      <c r="K352" s="57" t="n"/>
      <c r="L352" s="94" t="n"/>
      <c r="M352" s="95" t="n"/>
      <c r="N352" s="95" t="n"/>
      <c r="O352" s="95" t="n"/>
      <c r="P352" s="96" t="n"/>
    </row>
    <row r="353" ht="33" customFormat="1" customHeight="1" s="1">
      <c r="A353" s="53" t="n"/>
      <c r="B353" s="97" t="n"/>
      <c r="C353" s="97" t="n"/>
      <c r="D353" s="97" t="n"/>
      <c r="E353" s="95" t="n"/>
      <c r="F353" s="17" t="n"/>
      <c r="G353" s="97" t="n"/>
      <c r="H353" s="97" t="n"/>
      <c r="I353" s="95" t="n"/>
      <c r="J353" s="56" t="n"/>
      <c r="K353" s="57" t="n"/>
      <c r="L353" s="94" t="n"/>
      <c r="M353" s="95" t="n"/>
      <c r="N353" s="95" t="n"/>
      <c r="O353" s="95" t="n"/>
      <c r="P353" s="96" t="n"/>
    </row>
    <row r="354" ht="33" customFormat="1" customHeight="1" s="1">
      <c r="A354" s="53" t="n"/>
      <c r="B354" s="97" t="n"/>
      <c r="C354" s="97" t="n"/>
      <c r="D354" s="97" t="n"/>
      <c r="E354" s="95" t="n"/>
      <c r="F354" s="17" t="n"/>
      <c r="G354" s="97" t="n"/>
      <c r="H354" s="97" t="n"/>
      <c r="I354" s="95" t="n"/>
      <c r="J354" s="56" t="n"/>
      <c r="K354" s="57" t="n"/>
      <c r="L354" s="94" t="n"/>
      <c r="M354" s="95" t="n"/>
      <c r="N354" s="95" t="n"/>
      <c r="O354" s="95" t="n"/>
      <c r="P354" s="96" t="n"/>
    </row>
    <row r="355" ht="33" customFormat="1" customHeight="1" s="1">
      <c r="A355" s="53" t="n"/>
      <c r="B355" s="97" t="n"/>
      <c r="C355" s="97" t="n"/>
      <c r="D355" s="97" t="n"/>
      <c r="E355" s="95" t="n"/>
      <c r="F355" s="17" t="n"/>
      <c r="G355" s="97" t="n"/>
      <c r="H355" s="97" t="n"/>
      <c r="I355" s="95" t="n"/>
      <c r="J355" s="56" t="n"/>
      <c r="K355" s="57" t="n"/>
      <c r="L355" s="94" t="n"/>
      <c r="M355" s="95" t="n"/>
      <c r="N355" s="95" t="n"/>
      <c r="O355" s="95" t="n"/>
      <c r="P355" s="96" t="n"/>
    </row>
    <row r="356" ht="33" customFormat="1" customHeight="1" s="1">
      <c r="A356" s="53" t="n"/>
      <c r="B356" s="97" t="n"/>
      <c r="C356" s="97" t="n"/>
      <c r="D356" s="97" t="n"/>
      <c r="E356" s="95" t="n"/>
      <c r="F356" s="17" t="n"/>
      <c r="G356" s="97" t="n"/>
      <c r="H356" s="97" t="n"/>
      <c r="I356" s="95" t="n"/>
      <c r="J356" s="56" t="n"/>
      <c r="K356" s="57" t="n"/>
      <c r="L356" s="94" t="n"/>
      <c r="M356" s="95" t="n"/>
      <c r="N356" s="95" t="n"/>
      <c r="O356" s="95" t="n"/>
      <c r="P356" s="96" t="n"/>
    </row>
    <row r="357" ht="33" customFormat="1" customHeight="1" s="1">
      <c r="A357" s="53" t="n"/>
      <c r="B357" s="97" t="n"/>
      <c r="C357" s="97" t="n"/>
      <c r="D357" s="97" t="n"/>
      <c r="E357" s="95" t="n"/>
      <c r="F357" s="17" t="n"/>
      <c r="G357" s="97" t="n"/>
      <c r="H357" s="97" t="n"/>
      <c r="I357" s="95" t="n"/>
      <c r="J357" s="56" t="n"/>
      <c r="K357" s="57" t="n"/>
      <c r="L357" s="94" t="n"/>
      <c r="M357" s="95" t="n"/>
      <c r="N357" s="95" t="n"/>
      <c r="O357" s="95" t="n"/>
      <c r="P357" s="96" t="n"/>
    </row>
    <row r="358" ht="33" customFormat="1" customHeight="1" s="1">
      <c r="A358" s="53" t="n"/>
      <c r="B358" s="97" t="n"/>
      <c r="C358" s="97" t="n"/>
      <c r="D358" s="97" t="n"/>
      <c r="E358" s="95" t="n"/>
      <c r="F358" s="17" t="n"/>
      <c r="G358" s="97" t="n"/>
      <c r="H358" s="97" t="n"/>
      <c r="I358" s="95" t="n"/>
      <c r="J358" s="56" t="n"/>
      <c r="K358" s="57" t="n"/>
      <c r="L358" s="94" t="n"/>
      <c r="M358" s="95" t="n"/>
      <c r="N358" s="95" t="n"/>
      <c r="O358" s="95" t="n"/>
      <c r="P358" s="96" t="n"/>
    </row>
    <row r="359" ht="33" customFormat="1" customHeight="1" s="1">
      <c r="A359" s="53" t="n"/>
      <c r="B359" s="97" t="n"/>
      <c r="C359" s="97" t="n"/>
      <c r="D359" s="97" t="n"/>
      <c r="E359" s="95" t="n"/>
      <c r="F359" s="17" t="n"/>
      <c r="G359" s="97" t="n"/>
      <c r="H359" s="97" t="n"/>
      <c r="I359" s="95" t="n"/>
      <c r="J359" s="56" t="n"/>
      <c r="K359" s="57" t="n"/>
      <c r="L359" s="94" t="n"/>
      <c r="M359" s="95" t="n"/>
      <c r="N359" s="95" t="n"/>
      <c r="O359" s="95" t="n"/>
      <c r="P359" s="96" t="n"/>
    </row>
    <row r="360" ht="33" customFormat="1" customHeight="1" s="1">
      <c r="A360" s="53" t="n"/>
      <c r="B360" s="97" t="n"/>
      <c r="C360" s="97" t="n"/>
      <c r="D360" s="97" t="n"/>
      <c r="E360" s="95" t="n"/>
      <c r="F360" s="17" t="n"/>
      <c r="G360" s="97" t="n"/>
      <c r="H360" s="97" t="n"/>
      <c r="I360" s="95" t="n"/>
      <c r="J360" s="56" t="n"/>
      <c r="K360" s="57" t="n"/>
      <c r="L360" s="94" t="n"/>
      <c r="M360" s="95" t="n"/>
      <c r="N360" s="95" t="n"/>
      <c r="O360" s="95" t="n"/>
      <c r="P360" s="96" t="n"/>
    </row>
    <row r="361" ht="33" customFormat="1" customHeight="1" s="1">
      <c r="A361" s="53" t="n"/>
      <c r="B361" s="97" t="n"/>
      <c r="C361" s="97" t="n"/>
      <c r="D361" s="97" t="n"/>
      <c r="E361" s="95" t="n"/>
      <c r="F361" s="17" t="n"/>
      <c r="G361" s="97" t="n"/>
      <c r="H361" s="97" t="n"/>
      <c r="I361" s="95" t="n"/>
      <c r="J361" s="56" t="n"/>
      <c r="K361" s="57" t="n"/>
      <c r="L361" s="94" t="n"/>
      <c r="M361" s="95" t="n"/>
      <c r="N361" s="95" t="n"/>
      <c r="O361" s="95" t="n"/>
      <c r="P361" s="96" t="n"/>
    </row>
    <row r="362" ht="33" customFormat="1" customHeight="1" s="1">
      <c r="A362" s="53" t="n"/>
      <c r="B362" s="97" t="n"/>
      <c r="C362" s="97" t="n"/>
      <c r="D362" s="97" t="n"/>
      <c r="E362" s="95" t="n"/>
      <c r="F362" s="17" t="n"/>
      <c r="G362" s="97" t="n"/>
      <c r="H362" s="97" t="n"/>
      <c r="I362" s="95" t="n"/>
      <c r="J362" s="56" t="n"/>
      <c r="K362" s="57" t="n"/>
      <c r="L362" s="94" t="n"/>
      <c r="M362" s="95" t="n"/>
      <c r="N362" s="95" t="n"/>
      <c r="O362" s="95" t="n"/>
      <c r="P362" s="96" t="n"/>
    </row>
    <row r="363" ht="33" customFormat="1" customHeight="1" s="1">
      <c r="A363" s="53" t="n"/>
      <c r="B363" s="97" t="n"/>
      <c r="C363" s="97" t="n"/>
      <c r="D363" s="97" t="n"/>
      <c r="E363" s="95" t="n"/>
      <c r="F363" s="17" t="n"/>
      <c r="G363" s="97" t="n"/>
      <c r="H363" s="97" t="n"/>
      <c r="I363" s="95" t="n"/>
      <c r="J363" s="56" t="n"/>
      <c r="K363" s="57" t="n"/>
      <c r="L363" s="94" t="n"/>
      <c r="M363" s="95" t="n"/>
      <c r="N363" s="95" t="n"/>
      <c r="O363" s="95" t="n"/>
      <c r="P363" s="96" t="n"/>
    </row>
    <row r="364" ht="33" customFormat="1" customHeight="1" s="1">
      <c r="A364" s="53" t="n"/>
      <c r="B364" s="97" t="n"/>
      <c r="C364" s="97" t="n"/>
      <c r="D364" s="97" t="n"/>
      <c r="E364" s="95" t="n"/>
      <c r="F364" s="17" t="n"/>
      <c r="G364" s="97" t="n"/>
      <c r="H364" s="97" t="n"/>
      <c r="I364" s="95" t="n"/>
      <c r="J364" s="56" t="n"/>
      <c r="K364" s="57" t="n"/>
      <c r="L364" s="94" t="n"/>
      <c r="M364" s="95" t="n"/>
      <c r="N364" s="95" t="n"/>
      <c r="O364" s="95" t="n"/>
      <c r="P364" s="96" t="n"/>
    </row>
    <row r="365" ht="33" customFormat="1" customHeight="1" s="1">
      <c r="A365" s="53" t="n"/>
      <c r="B365" s="97" t="n"/>
      <c r="C365" s="97" t="n"/>
      <c r="D365" s="97" t="n"/>
      <c r="E365" s="95" t="n"/>
      <c r="F365" s="17" t="n"/>
      <c r="G365" s="97" t="n"/>
      <c r="H365" s="97" t="n"/>
      <c r="I365" s="95" t="n"/>
      <c r="J365" s="56" t="n"/>
      <c r="K365" s="57" t="n"/>
      <c r="L365" s="94" t="n"/>
      <c r="M365" s="95" t="n"/>
      <c r="N365" s="95" t="n"/>
      <c r="O365" s="95" t="n"/>
      <c r="P365" s="96" t="n"/>
    </row>
    <row r="366" ht="33" customFormat="1" customHeight="1" s="1">
      <c r="A366" s="53" t="n"/>
      <c r="B366" s="97" t="n"/>
      <c r="C366" s="97" t="n"/>
      <c r="D366" s="97" t="n"/>
      <c r="E366" s="95" t="n"/>
      <c r="F366" s="17" t="n"/>
      <c r="G366" s="97" t="n"/>
      <c r="H366" s="97" t="n"/>
      <c r="I366" s="95" t="n"/>
      <c r="J366" s="56" t="n"/>
      <c r="K366" s="57" t="n"/>
      <c r="L366" s="94" t="n"/>
      <c r="M366" s="95" t="n"/>
      <c r="N366" s="95" t="n"/>
      <c r="O366" s="95" t="n"/>
      <c r="P366" s="96" t="n"/>
    </row>
    <row r="367" ht="33" customFormat="1" customHeight="1" s="1">
      <c r="A367" s="53" t="n"/>
      <c r="B367" s="97" t="n"/>
      <c r="C367" s="97" t="n"/>
      <c r="D367" s="97" t="n"/>
      <c r="E367" s="95" t="n"/>
      <c r="F367" s="17" t="n"/>
      <c r="G367" s="97" t="n"/>
      <c r="H367" s="97" t="n"/>
      <c r="I367" s="95" t="n"/>
      <c r="J367" s="56" t="n"/>
      <c r="K367" s="57" t="n"/>
      <c r="L367" s="94" t="n"/>
      <c r="M367" s="95" t="n"/>
      <c r="N367" s="95" t="n"/>
      <c r="O367" s="95" t="n"/>
      <c r="P367" s="96" t="n"/>
    </row>
    <row r="368" ht="33" customFormat="1" customHeight="1" s="1">
      <c r="A368" s="53" t="n"/>
      <c r="B368" s="97" t="n"/>
      <c r="C368" s="97" t="n"/>
      <c r="D368" s="97" t="n"/>
      <c r="E368" s="95" t="n"/>
      <c r="F368" s="17" t="n"/>
      <c r="G368" s="97" t="n"/>
      <c r="H368" s="97" t="n"/>
      <c r="I368" s="95" t="n"/>
      <c r="J368" s="56" t="n"/>
      <c r="K368" s="57" t="n"/>
      <c r="L368" s="94" t="n"/>
      <c r="M368" s="95" t="n"/>
      <c r="N368" s="95" t="n"/>
      <c r="O368" s="95" t="n"/>
      <c r="P368" s="96" t="n"/>
    </row>
    <row r="369" ht="33" customFormat="1" customHeight="1" s="1">
      <c r="A369" s="53" t="n"/>
      <c r="B369" s="97" t="n"/>
      <c r="C369" s="97" t="n"/>
      <c r="D369" s="97" t="n"/>
      <c r="E369" s="95" t="n"/>
      <c r="F369" s="17" t="n"/>
      <c r="G369" s="97" t="n"/>
      <c r="H369" s="97" t="n"/>
      <c r="I369" s="95" t="n"/>
      <c r="J369" s="56" t="n"/>
      <c r="K369" s="57" t="n"/>
      <c r="L369" s="94" t="n"/>
      <c r="M369" s="95" t="n"/>
      <c r="N369" s="95" t="n"/>
      <c r="O369" s="95" t="n"/>
      <c r="P369" s="96" t="n"/>
    </row>
    <row r="370" ht="33" customFormat="1" customHeight="1" s="1">
      <c r="A370" s="53" t="n"/>
      <c r="B370" s="97" t="n"/>
      <c r="C370" s="97" t="n"/>
      <c r="D370" s="97" t="n"/>
      <c r="E370" s="95" t="n"/>
      <c r="F370" s="17" t="n"/>
      <c r="G370" s="97" t="n"/>
      <c r="H370" s="97" t="n"/>
      <c r="I370" s="95" t="n"/>
      <c r="J370" s="56" t="n"/>
      <c r="K370" s="57" t="n"/>
      <c r="L370" s="94" t="n"/>
      <c r="M370" s="95" t="n"/>
      <c r="N370" s="95" t="n"/>
      <c r="O370" s="95" t="n"/>
      <c r="P370" s="96" t="n"/>
    </row>
    <row r="371" ht="33" customFormat="1" customHeight="1" s="1">
      <c r="A371" s="53" t="n"/>
      <c r="B371" s="97" t="n"/>
      <c r="C371" s="97" t="n"/>
      <c r="D371" s="97" t="n"/>
      <c r="E371" s="95" t="n"/>
      <c r="F371" s="17" t="n"/>
      <c r="G371" s="97" t="n"/>
      <c r="H371" s="97" t="n"/>
      <c r="I371" s="95" t="n"/>
      <c r="J371" s="56" t="n"/>
      <c r="K371" s="57" t="n"/>
      <c r="L371" s="94" t="n"/>
      <c r="M371" s="95" t="n"/>
      <c r="N371" s="95" t="n"/>
      <c r="O371" s="95" t="n"/>
      <c r="P371" s="96" t="n"/>
    </row>
    <row r="372" ht="33" customFormat="1" customHeight="1" s="1">
      <c r="A372" s="53" t="n"/>
      <c r="B372" s="97" t="n"/>
      <c r="C372" s="97" t="n"/>
      <c r="D372" s="97" t="n"/>
      <c r="E372" s="95" t="n"/>
      <c r="F372" s="17" t="n"/>
      <c r="G372" s="97" t="n"/>
      <c r="H372" s="97" t="n"/>
      <c r="I372" s="95" t="n"/>
      <c r="J372" s="56" t="n"/>
      <c r="K372" s="57" t="n"/>
      <c r="L372" s="94" t="n"/>
      <c r="M372" s="95" t="n"/>
      <c r="N372" s="95" t="n"/>
      <c r="O372" s="95" t="n"/>
      <c r="P372" s="96" t="n"/>
    </row>
    <row r="373" ht="33" customFormat="1" customHeight="1" s="1">
      <c r="A373" s="53" t="n"/>
      <c r="B373" s="97" t="n"/>
      <c r="C373" s="97" t="n"/>
      <c r="D373" s="97" t="n"/>
      <c r="E373" s="95" t="n"/>
      <c r="F373" s="17" t="n"/>
      <c r="G373" s="97" t="n"/>
      <c r="H373" s="97" t="n"/>
      <c r="I373" s="95" t="n"/>
      <c r="J373" s="56" t="n"/>
      <c r="K373" s="57" t="n"/>
      <c r="L373" s="94" t="n"/>
      <c r="M373" s="95" t="n"/>
      <c r="N373" s="95" t="n"/>
      <c r="O373" s="95" t="n"/>
      <c r="P373" s="96" t="n"/>
    </row>
    <row r="374" ht="33" customFormat="1" customHeight="1" s="1">
      <c r="A374" s="53" t="n"/>
      <c r="B374" s="97" t="n"/>
      <c r="C374" s="97" t="n"/>
      <c r="D374" s="97" t="n"/>
      <c r="E374" s="95" t="n"/>
      <c r="F374" s="17" t="n"/>
      <c r="G374" s="97" t="n"/>
      <c r="H374" s="97" t="n"/>
      <c r="I374" s="95" t="n"/>
      <c r="J374" s="56" t="n"/>
      <c r="K374" s="57" t="n"/>
      <c r="L374" s="94" t="n"/>
      <c r="M374" s="95" t="n"/>
      <c r="N374" s="95" t="n"/>
      <c r="O374" s="95" t="n"/>
      <c r="P374" s="96" t="n"/>
    </row>
    <row r="375" ht="33" customFormat="1" customHeight="1" s="1">
      <c r="A375" s="53" t="n"/>
      <c r="B375" s="97" t="n"/>
      <c r="C375" s="97" t="n"/>
      <c r="D375" s="97" t="n"/>
      <c r="E375" s="95" t="n"/>
      <c r="F375" s="17" t="n"/>
      <c r="G375" s="97" t="n"/>
      <c r="H375" s="97" t="n"/>
      <c r="I375" s="95" t="n"/>
      <c r="J375" s="56" t="n"/>
      <c r="K375" s="57" t="n"/>
      <c r="L375" s="94" t="n"/>
      <c r="M375" s="95" t="n"/>
      <c r="N375" s="95" t="n"/>
      <c r="O375" s="95" t="n"/>
      <c r="P375" s="96" t="n"/>
    </row>
    <row r="376" ht="33" customFormat="1" customHeight="1" s="1">
      <c r="A376" s="53" t="n"/>
      <c r="B376" s="97" t="n"/>
      <c r="C376" s="97" t="n"/>
      <c r="D376" s="97" t="n"/>
      <c r="E376" s="95" t="n"/>
      <c r="F376" s="17" t="n"/>
      <c r="G376" s="97" t="n"/>
      <c r="H376" s="97" t="n"/>
      <c r="I376" s="95" t="n"/>
      <c r="J376" s="56" t="n"/>
      <c r="K376" s="57" t="n"/>
      <c r="L376" s="94" t="n"/>
      <c r="M376" s="95" t="n"/>
      <c r="N376" s="95" t="n"/>
      <c r="O376" s="95" t="n"/>
      <c r="P376" s="96" t="n"/>
    </row>
    <row r="377" ht="33" customFormat="1" customHeight="1" s="1">
      <c r="A377" s="53" t="n"/>
      <c r="B377" s="97" t="n"/>
      <c r="C377" s="97" t="n"/>
      <c r="D377" s="97" t="n"/>
      <c r="E377" s="95" t="n"/>
      <c r="F377" s="17" t="n"/>
      <c r="G377" s="97" t="n"/>
      <c r="H377" s="97" t="n"/>
      <c r="I377" s="95" t="n"/>
      <c r="J377" s="56" t="n"/>
      <c r="K377" s="57" t="n"/>
      <c r="L377" s="94" t="n"/>
      <c r="M377" s="95" t="n"/>
      <c r="N377" s="95" t="n"/>
      <c r="O377" s="95" t="n"/>
      <c r="P377" s="96" t="n"/>
    </row>
    <row r="378" ht="33" customFormat="1" customHeight="1" s="1">
      <c r="A378" s="53" t="n"/>
      <c r="B378" s="97" t="n"/>
      <c r="C378" s="97" t="n"/>
      <c r="D378" s="97" t="n"/>
      <c r="E378" s="95" t="n"/>
      <c r="F378" s="17" t="n"/>
      <c r="G378" s="97" t="n"/>
      <c r="H378" s="97" t="n"/>
      <c r="I378" s="95" t="n"/>
      <c r="J378" s="56" t="n"/>
      <c r="K378" s="57" t="n"/>
      <c r="L378" s="94" t="n"/>
      <c r="M378" s="95" t="n"/>
      <c r="N378" s="95" t="n"/>
      <c r="O378" s="95" t="n"/>
      <c r="P378" s="96" t="n"/>
    </row>
    <row r="379" ht="33" customFormat="1" customHeight="1" s="1">
      <c r="A379" s="53" t="n"/>
      <c r="B379" s="97" t="n"/>
      <c r="C379" s="97" t="n"/>
      <c r="D379" s="97" t="n"/>
      <c r="E379" s="95" t="n"/>
      <c r="F379" s="17" t="n"/>
      <c r="G379" s="97" t="n"/>
      <c r="H379" s="97" t="n"/>
      <c r="I379" s="95" t="n"/>
      <c r="J379" s="56" t="n"/>
      <c r="K379" s="57" t="n"/>
      <c r="L379" s="94" t="n"/>
      <c r="M379" s="95" t="n"/>
      <c r="N379" s="95" t="n"/>
      <c r="O379" s="95" t="n"/>
      <c r="P379" s="96" t="n"/>
    </row>
    <row r="380" ht="33" customFormat="1" customHeight="1" s="1">
      <c r="A380" s="53" t="n"/>
      <c r="B380" s="97" t="n"/>
      <c r="C380" s="97" t="n"/>
      <c r="D380" s="97" t="n"/>
      <c r="E380" s="95" t="n"/>
      <c r="F380" s="17" t="n"/>
      <c r="G380" s="97" t="n"/>
      <c r="H380" s="97" t="n"/>
      <c r="I380" s="95" t="n"/>
      <c r="J380" s="56" t="n"/>
      <c r="K380" s="57" t="n"/>
      <c r="L380" s="94" t="n"/>
      <c r="M380" s="95" t="n"/>
      <c r="N380" s="95" t="n"/>
      <c r="O380" s="95" t="n"/>
      <c r="P380" s="96" t="n"/>
    </row>
    <row r="381" ht="33" customFormat="1" customHeight="1" s="1">
      <c r="A381" s="53" t="n"/>
      <c r="B381" s="97" t="n"/>
      <c r="C381" s="97" t="n"/>
      <c r="D381" s="97" t="n"/>
      <c r="E381" s="95" t="n"/>
      <c r="F381" s="17" t="n"/>
      <c r="G381" s="97" t="n"/>
      <c r="H381" s="97" t="n"/>
      <c r="I381" s="95" t="n"/>
      <c r="J381" s="56" t="n"/>
      <c r="K381" s="57" t="n"/>
      <c r="L381" s="94" t="n"/>
      <c r="M381" s="95" t="n"/>
      <c r="N381" s="95" t="n"/>
      <c r="O381" s="95" t="n"/>
      <c r="P381" s="96" t="n"/>
    </row>
    <row r="382" ht="33" customFormat="1" customHeight="1" s="1">
      <c r="A382" s="53" t="n"/>
      <c r="B382" s="97" t="n"/>
      <c r="C382" s="97" t="n"/>
      <c r="D382" s="97" t="n"/>
      <c r="E382" s="95" t="n"/>
      <c r="F382" s="17" t="n"/>
      <c r="G382" s="97" t="n"/>
      <c r="H382" s="97" t="n"/>
      <c r="I382" s="95" t="n"/>
      <c r="J382" s="56" t="n"/>
      <c r="K382" s="57" t="n"/>
      <c r="L382" s="94" t="n"/>
      <c r="M382" s="95" t="n"/>
      <c r="N382" s="95" t="n"/>
      <c r="O382" s="95" t="n"/>
      <c r="P382" s="96" t="n"/>
    </row>
    <row r="383" ht="33" customFormat="1" customHeight="1" s="1">
      <c r="A383" s="53" t="n"/>
      <c r="B383" s="97" t="n"/>
      <c r="C383" s="97" t="n"/>
      <c r="D383" s="97" t="n"/>
      <c r="E383" s="95" t="n"/>
      <c r="F383" s="17" t="n"/>
      <c r="G383" s="97" t="n"/>
      <c r="H383" s="97" t="n"/>
      <c r="I383" s="95" t="n"/>
      <c r="J383" s="56" t="n"/>
      <c r="K383" s="57" t="n"/>
      <c r="L383" s="94" t="n"/>
      <c r="M383" s="95" t="n"/>
      <c r="N383" s="95" t="n"/>
      <c r="O383" s="95" t="n"/>
      <c r="P383" s="96" t="n"/>
    </row>
    <row r="384" ht="33" customFormat="1" customHeight="1" s="1">
      <c r="A384" s="53" t="n"/>
      <c r="B384" s="97" t="n"/>
      <c r="C384" s="97" t="n"/>
      <c r="D384" s="97" t="n"/>
      <c r="E384" s="95" t="n"/>
      <c r="F384" s="17" t="n"/>
      <c r="G384" s="97" t="n"/>
      <c r="H384" s="97" t="n"/>
      <c r="I384" s="95" t="n"/>
      <c r="J384" s="56" t="n"/>
      <c r="K384" s="57" t="n"/>
      <c r="L384" s="94" t="n"/>
      <c r="M384" s="95" t="n"/>
      <c r="N384" s="95" t="n"/>
      <c r="O384" s="95" t="n"/>
      <c r="P384" s="96" t="n"/>
    </row>
    <row r="385" ht="33" customFormat="1" customHeight="1" s="1">
      <c r="A385" s="53" t="n"/>
      <c r="B385" s="97" t="n"/>
      <c r="C385" s="97" t="n"/>
      <c r="D385" s="97" t="n"/>
      <c r="E385" s="95" t="n"/>
      <c r="F385" s="17" t="n"/>
      <c r="G385" s="97" t="n"/>
      <c r="H385" s="97" t="n"/>
      <c r="I385" s="95" t="n"/>
      <c r="J385" s="56" t="n"/>
      <c r="K385" s="57" t="n"/>
      <c r="L385" s="94" t="n"/>
      <c r="M385" s="95" t="n"/>
      <c r="N385" s="95" t="n"/>
      <c r="O385" s="95" t="n"/>
      <c r="P385" s="96" t="n"/>
    </row>
    <row r="386" ht="33" customFormat="1" customHeight="1" s="1">
      <c r="A386" s="53" t="n"/>
      <c r="B386" s="97" t="n"/>
      <c r="C386" s="97" t="n"/>
      <c r="D386" s="97" t="n"/>
      <c r="E386" s="95" t="n"/>
      <c r="F386" s="17" t="n"/>
      <c r="G386" s="97" t="n"/>
      <c r="H386" s="97" t="n"/>
      <c r="I386" s="95" t="n"/>
      <c r="J386" s="56" t="n"/>
      <c r="K386" s="57" t="n"/>
      <c r="L386" s="94" t="n"/>
      <c r="M386" s="95" t="n"/>
      <c r="N386" s="95" t="n"/>
      <c r="O386" s="95" t="n"/>
      <c r="P386" s="96" t="n"/>
    </row>
    <row r="387" ht="33" customFormat="1" customHeight="1" s="1">
      <c r="A387" s="53" t="n"/>
      <c r="B387" s="97" t="n"/>
      <c r="C387" s="97" t="n"/>
      <c r="D387" s="97" t="n"/>
      <c r="E387" s="95" t="n"/>
      <c r="F387" s="17" t="n"/>
      <c r="G387" s="97" t="n"/>
      <c r="H387" s="97" t="n"/>
      <c r="I387" s="95" t="n"/>
      <c r="J387" s="56" t="n"/>
      <c r="K387" s="57" t="n"/>
      <c r="L387" s="94" t="n"/>
      <c r="M387" s="95" t="n"/>
      <c r="N387" s="95" t="n"/>
      <c r="O387" s="95" t="n"/>
      <c r="P387" s="96" t="n"/>
    </row>
    <row r="388" ht="33" customFormat="1" customHeight="1" s="1">
      <c r="A388" s="53" t="n"/>
      <c r="B388" s="97" t="n"/>
      <c r="C388" s="97" t="n"/>
      <c r="D388" s="97" t="n"/>
      <c r="E388" s="95" t="n"/>
      <c r="F388" s="17" t="n"/>
      <c r="G388" s="97" t="n"/>
      <c r="H388" s="97" t="n"/>
      <c r="I388" s="95" t="n"/>
      <c r="J388" s="56" t="n"/>
      <c r="K388" s="57" t="n"/>
      <c r="L388" s="94" t="n"/>
      <c r="M388" s="95" t="n"/>
      <c r="N388" s="95" t="n"/>
      <c r="O388" s="95" t="n"/>
      <c r="P388" s="96" t="n"/>
    </row>
    <row r="389" ht="33" customFormat="1" customHeight="1" s="1">
      <c r="A389" s="53" t="n"/>
      <c r="B389" s="97" t="n"/>
      <c r="C389" s="97" t="n"/>
      <c r="D389" s="97" t="n"/>
      <c r="E389" s="95" t="n"/>
      <c r="F389" s="17" t="n"/>
      <c r="G389" s="97" t="n"/>
      <c r="H389" s="97" t="n"/>
      <c r="I389" s="95" t="n"/>
      <c r="J389" s="56" t="n"/>
      <c r="K389" s="57" t="n"/>
      <c r="L389" s="94" t="n"/>
      <c r="M389" s="95" t="n"/>
      <c r="N389" s="95" t="n"/>
      <c r="O389" s="95" t="n"/>
      <c r="P389" s="96" t="n"/>
    </row>
    <row r="390" ht="33" customFormat="1" customHeight="1" s="1">
      <c r="A390" s="53" t="n"/>
      <c r="B390" s="97" t="n"/>
      <c r="C390" s="97" t="n"/>
      <c r="D390" s="97" t="n"/>
      <c r="E390" s="95" t="n"/>
      <c r="F390" s="17" t="n"/>
      <c r="G390" s="97" t="n"/>
      <c r="H390" s="97" t="n"/>
      <c r="I390" s="95" t="n"/>
      <c r="J390" s="56" t="n"/>
      <c r="K390" s="57" t="n"/>
      <c r="L390" s="94" t="n"/>
      <c r="M390" s="95" t="n"/>
      <c r="N390" s="95" t="n"/>
      <c r="O390" s="95" t="n"/>
      <c r="P390" s="96" t="n"/>
    </row>
    <row r="391" ht="33" customFormat="1" customHeight="1" s="1">
      <c r="A391" s="53" t="n"/>
      <c r="B391" s="97" t="n"/>
      <c r="C391" s="97" t="n"/>
      <c r="D391" s="97" t="n"/>
      <c r="E391" s="95" t="n"/>
      <c r="F391" s="17" t="n"/>
      <c r="G391" s="97" t="n"/>
      <c r="H391" s="97" t="n"/>
      <c r="I391" s="95" t="n"/>
      <c r="J391" s="56" t="n"/>
      <c r="K391" s="57" t="n"/>
      <c r="L391" s="94" t="n"/>
      <c r="M391" s="95" t="n"/>
      <c r="N391" s="95" t="n"/>
      <c r="O391" s="95" t="n"/>
      <c r="P391" s="96" t="n"/>
    </row>
    <row r="392" ht="33" customFormat="1" customHeight="1" s="1">
      <c r="A392" s="53" t="n"/>
      <c r="B392" s="97" t="n"/>
      <c r="C392" s="97" t="n"/>
      <c r="D392" s="97" t="n"/>
      <c r="E392" s="95" t="n"/>
      <c r="F392" s="17" t="n"/>
      <c r="G392" s="97" t="n"/>
      <c r="H392" s="97" t="n"/>
      <c r="I392" s="95" t="n"/>
      <c r="J392" s="56" t="n"/>
      <c r="K392" s="57" t="n"/>
      <c r="L392" s="94" t="n"/>
      <c r="M392" s="95" t="n"/>
      <c r="N392" s="95" t="n"/>
      <c r="O392" s="95" t="n"/>
      <c r="P392" s="96" t="n"/>
    </row>
    <row r="393" ht="33" customFormat="1" customHeight="1" s="1">
      <c r="A393" s="53" t="n"/>
      <c r="B393" s="97" t="n"/>
      <c r="C393" s="97" t="n"/>
      <c r="D393" s="97" t="n"/>
      <c r="E393" s="95" t="n"/>
      <c r="F393" s="17" t="n"/>
      <c r="G393" s="97" t="n"/>
      <c r="H393" s="97" t="n"/>
      <c r="I393" s="95" t="n"/>
      <c r="J393" s="56" t="n"/>
      <c r="K393" s="57" t="n"/>
      <c r="L393" s="94" t="n"/>
      <c r="M393" s="95" t="n"/>
      <c r="N393" s="95" t="n"/>
      <c r="O393" s="95" t="n"/>
      <c r="P393" s="96" t="n"/>
    </row>
    <row r="394" ht="33" customFormat="1" customHeight="1" s="1">
      <c r="A394" s="53" t="n"/>
      <c r="B394" s="97" t="n"/>
      <c r="C394" s="97" t="n"/>
      <c r="D394" s="97" t="n"/>
      <c r="E394" s="95" t="n"/>
      <c r="F394" s="17" t="n"/>
      <c r="G394" s="97" t="n"/>
      <c r="H394" s="97" t="n"/>
      <c r="I394" s="95" t="n"/>
      <c r="J394" s="56" t="n"/>
      <c r="K394" s="57" t="n"/>
      <c r="L394" s="94" t="n"/>
      <c r="M394" s="95" t="n"/>
      <c r="N394" s="95" t="n"/>
      <c r="O394" s="95" t="n"/>
      <c r="P394" s="96" t="n"/>
    </row>
    <row r="395" ht="33" customFormat="1" customHeight="1" s="1">
      <c r="A395" s="53" t="n"/>
      <c r="B395" s="97" t="n"/>
      <c r="C395" s="97" t="n"/>
      <c r="D395" s="97" t="n"/>
      <c r="E395" s="95" t="n"/>
      <c r="F395" s="17" t="n"/>
      <c r="G395" s="97" t="n"/>
      <c r="H395" s="97" t="n"/>
      <c r="I395" s="95" t="n"/>
      <c r="J395" s="56" t="n"/>
      <c r="K395" s="57" t="n"/>
      <c r="L395" s="94" t="n"/>
      <c r="M395" s="95" t="n"/>
      <c r="N395" s="95" t="n"/>
      <c r="O395" s="95" t="n"/>
      <c r="P395" s="96" t="n"/>
    </row>
    <row r="396" ht="33" customFormat="1" customHeight="1" s="1">
      <c r="A396" s="53" t="n"/>
      <c r="B396" s="97" t="n"/>
      <c r="C396" s="97" t="n"/>
      <c r="D396" s="97" t="n"/>
      <c r="E396" s="95" t="n"/>
      <c r="F396" s="17" t="n"/>
      <c r="G396" s="97" t="n"/>
      <c r="H396" s="97" t="n"/>
      <c r="I396" s="95" t="n"/>
      <c r="J396" s="56" t="n"/>
      <c r="K396" s="57" t="n"/>
      <c r="L396" s="94" t="n"/>
      <c r="M396" s="95" t="n"/>
      <c r="N396" s="95" t="n"/>
      <c r="O396" s="95" t="n"/>
      <c r="P396" s="96" t="n"/>
    </row>
    <row r="397" ht="33" customFormat="1" customHeight="1" s="1">
      <c r="A397" s="53" t="n"/>
      <c r="B397" s="97" t="n"/>
      <c r="C397" s="97" t="n"/>
      <c r="D397" s="97" t="n"/>
      <c r="E397" s="95" t="n"/>
      <c r="F397" s="17" t="n"/>
      <c r="G397" s="97" t="n"/>
      <c r="H397" s="97" t="n"/>
      <c r="I397" s="95" t="n"/>
      <c r="J397" s="56" t="n"/>
      <c r="K397" s="57" t="n"/>
      <c r="L397" s="94" t="n"/>
      <c r="M397" s="95" t="n"/>
      <c r="N397" s="95" t="n"/>
      <c r="O397" s="95" t="n"/>
      <c r="P397" s="96" t="n"/>
    </row>
    <row r="398" ht="33" customFormat="1" customHeight="1" s="1">
      <c r="A398" s="53" t="n"/>
      <c r="B398" s="97" t="n"/>
      <c r="C398" s="97" t="n"/>
      <c r="D398" s="97" t="n"/>
      <c r="E398" s="95" t="n"/>
      <c r="F398" s="17" t="n"/>
      <c r="G398" s="97" t="n"/>
      <c r="H398" s="97" t="n"/>
      <c r="I398" s="95" t="n"/>
      <c r="J398" s="56" t="n"/>
      <c r="K398" s="57" t="n"/>
      <c r="L398" s="94" t="n"/>
      <c r="M398" s="95" t="n"/>
      <c r="N398" s="95" t="n"/>
      <c r="O398" s="95" t="n"/>
      <c r="P398" s="96" t="n"/>
    </row>
    <row r="399" ht="33" customFormat="1" customHeight="1" s="1">
      <c r="A399" s="53" t="n"/>
      <c r="B399" s="97" t="n"/>
      <c r="C399" s="97" t="n"/>
      <c r="D399" s="97" t="n"/>
      <c r="E399" s="95" t="n"/>
      <c r="F399" s="17" t="n"/>
      <c r="G399" s="97" t="n"/>
      <c r="H399" s="97" t="n"/>
      <c r="I399" s="95" t="n"/>
      <c r="J399" s="56" t="n"/>
      <c r="K399" s="57" t="n"/>
      <c r="L399" s="94" t="n"/>
      <c r="M399" s="95" t="n"/>
      <c r="N399" s="95" t="n"/>
      <c r="O399" s="95" t="n"/>
      <c r="P399" s="96" t="n"/>
    </row>
    <row r="400" ht="33" customFormat="1" customHeight="1" s="1">
      <c r="A400" s="53" t="n"/>
      <c r="B400" s="97" t="n"/>
      <c r="C400" s="97" t="n"/>
      <c r="D400" s="97" t="n"/>
      <c r="E400" s="95" t="n"/>
      <c r="F400" s="17" t="n"/>
      <c r="G400" s="97" t="n"/>
      <c r="H400" s="97" t="n"/>
      <c r="I400" s="95" t="n"/>
      <c r="J400" s="56" t="n"/>
      <c r="K400" s="57" t="n"/>
      <c r="L400" s="94" t="n"/>
      <c r="M400" s="95" t="n"/>
      <c r="N400" s="95" t="n"/>
      <c r="O400" s="95" t="n"/>
      <c r="P400" s="96" t="n"/>
    </row>
    <row r="401" ht="33" customFormat="1" customHeight="1" s="1">
      <c r="A401" s="53" t="n"/>
      <c r="B401" s="97" t="n"/>
      <c r="C401" s="97" t="n"/>
      <c r="D401" s="97" t="n"/>
      <c r="E401" s="95" t="n"/>
      <c r="F401" s="17" t="n"/>
      <c r="G401" s="97" t="n"/>
      <c r="H401" s="97" t="n"/>
      <c r="I401" s="95" t="n"/>
      <c r="J401" s="56" t="n"/>
      <c r="K401" s="57" t="n"/>
      <c r="L401" s="94" t="n"/>
      <c r="M401" s="95" t="n"/>
      <c r="N401" s="95" t="n"/>
      <c r="O401" s="95" t="n"/>
      <c r="P401" s="96" t="n"/>
    </row>
    <row r="402" ht="33" customFormat="1" customHeight="1" s="1">
      <c r="A402" s="53" t="n"/>
      <c r="B402" s="97" t="n"/>
      <c r="C402" s="97" t="n"/>
      <c r="D402" s="97" t="n"/>
      <c r="E402" s="95" t="n"/>
      <c r="F402" s="17" t="n"/>
      <c r="G402" s="97" t="n"/>
      <c r="H402" s="97" t="n"/>
      <c r="I402" s="95" t="n"/>
      <c r="J402" s="56" t="n"/>
      <c r="K402" s="57" t="n"/>
      <c r="L402" s="94" t="n"/>
      <c r="M402" s="95" t="n"/>
      <c r="N402" s="95" t="n"/>
      <c r="O402" s="95" t="n"/>
      <c r="P402" s="96" t="n"/>
    </row>
    <row r="403" ht="33" customFormat="1" customHeight="1" s="1">
      <c r="A403" s="53" t="n"/>
      <c r="B403" s="97" t="n"/>
      <c r="C403" s="97" t="n"/>
      <c r="D403" s="97" t="n"/>
      <c r="E403" s="95" t="n"/>
      <c r="F403" s="17" t="n"/>
      <c r="G403" s="97" t="n"/>
      <c r="H403" s="97" t="n"/>
      <c r="I403" s="95" t="n"/>
      <c r="J403" s="56" t="n"/>
      <c r="K403" s="57" t="n"/>
      <c r="L403" s="94" t="n"/>
      <c r="M403" s="95" t="n"/>
      <c r="N403" s="95" t="n"/>
      <c r="O403" s="95" t="n"/>
      <c r="P403" s="96" t="n"/>
    </row>
    <row r="404" ht="33" customFormat="1" customHeight="1" s="1">
      <c r="A404" s="53" t="n"/>
      <c r="B404" s="97" t="n"/>
      <c r="C404" s="97" t="n"/>
      <c r="D404" s="97" t="n"/>
      <c r="E404" s="95" t="n"/>
      <c r="F404" s="17" t="n"/>
      <c r="G404" s="97" t="n"/>
      <c r="H404" s="97" t="n"/>
      <c r="I404" s="95" t="n"/>
      <c r="J404" s="56" t="n"/>
      <c r="K404" s="57" t="n"/>
      <c r="L404" s="94" t="n"/>
      <c r="M404" s="95" t="n"/>
      <c r="N404" s="95" t="n"/>
      <c r="O404" s="95" t="n"/>
      <c r="P404" s="96" t="n"/>
    </row>
    <row r="405" ht="33" customFormat="1" customHeight="1" s="1">
      <c r="A405" s="53" t="n"/>
      <c r="B405" s="97" t="n"/>
      <c r="C405" s="97" t="n"/>
      <c r="D405" s="97" t="n"/>
      <c r="E405" s="95" t="n"/>
      <c r="F405" s="17" t="n"/>
      <c r="G405" s="97" t="n"/>
      <c r="H405" s="97" t="n"/>
      <c r="I405" s="95" t="n"/>
      <c r="J405" s="56" t="n"/>
      <c r="K405" s="57" t="n"/>
      <c r="L405" s="94" t="n"/>
      <c r="M405" s="95" t="n"/>
      <c r="N405" s="95" t="n"/>
      <c r="O405" s="95" t="n"/>
      <c r="P405" s="96" t="n"/>
    </row>
    <row r="406" ht="33" customFormat="1" customHeight="1" s="1">
      <c r="A406" s="53" t="n"/>
      <c r="B406" s="97" t="n"/>
      <c r="C406" s="97" t="n"/>
      <c r="D406" s="97" t="n"/>
      <c r="E406" s="95" t="n"/>
      <c r="F406" s="17" t="n"/>
      <c r="G406" s="97" t="n"/>
      <c r="H406" s="97" t="n"/>
      <c r="I406" s="95" t="n"/>
      <c r="J406" s="56" t="n"/>
      <c r="K406" s="57" t="n"/>
      <c r="L406" s="94" t="n"/>
      <c r="M406" s="95" t="n"/>
      <c r="N406" s="95" t="n"/>
      <c r="O406" s="95" t="n"/>
      <c r="P406" s="96" t="n"/>
    </row>
    <row r="407" ht="33" customFormat="1" customHeight="1" s="1">
      <c r="A407" s="53" t="n"/>
      <c r="B407" s="97" t="n"/>
      <c r="C407" s="97" t="n"/>
      <c r="D407" s="97" t="n"/>
      <c r="E407" s="95" t="n"/>
      <c r="F407" s="17" t="n"/>
      <c r="G407" s="97" t="n"/>
      <c r="H407" s="97" t="n"/>
      <c r="I407" s="95" t="n"/>
      <c r="J407" s="56" t="n"/>
      <c r="K407" s="57" t="n"/>
      <c r="L407" s="94" t="n"/>
      <c r="M407" s="95" t="n"/>
      <c r="N407" s="95" t="n"/>
      <c r="O407" s="95" t="n"/>
      <c r="P407" s="96" t="n"/>
    </row>
    <row r="408" ht="33" customFormat="1" customHeight="1" s="1">
      <c r="A408" s="53" t="n"/>
      <c r="B408" s="97" t="n"/>
      <c r="C408" s="97" t="n"/>
      <c r="D408" s="97" t="n"/>
      <c r="E408" s="95" t="n"/>
      <c r="F408" s="17" t="n"/>
      <c r="G408" s="97" t="n"/>
      <c r="H408" s="97" t="n"/>
      <c r="I408" s="95" t="n"/>
      <c r="J408" s="56" t="n"/>
      <c r="K408" s="57" t="n"/>
      <c r="L408" s="94" t="n"/>
      <c r="M408" s="95" t="n"/>
      <c r="N408" s="95" t="n"/>
      <c r="O408" s="95" t="n"/>
      <c r="P408" s="96" t="n"/>
    </row>
    <row r="409" ht="33" customFormat="1" customHeight="1" s="1">
      <c r="A409" s="53" t="n"/>
      <c r="B409" s="97" t="n"/>
      <c r="C409" s="97" t="n"/>
      <c r="D409" s="97" t="n"/>
      <c r="E409" s="95" t="n"/>
      <c r="F409" s="17" t="n"/>
      <c r="G409" s="97" t="n"/>
      <c r="H409" s="97" t="n"/>
      <c r="I409" s="95" t="n"/>
      <c r="J409" s="56" t="n"/>
      <c r="K409" s="57" t="n"/>
      <c r="L409" s="94" t="n"/>
      <c r="M409" s="95" t="n"/>
      <c r="N409" s="95" t="n"/>
      <c r="O409" s="95" t="n"/>
      <c r="P409" s="96" t="n"/>
    </row>
    <row r="410" ht="33" customFormat="1" customHeight="1" s="1">
      <c r="A410" s="53" t="n"/>
      <c r="B410" s="97" t="n"/>
      <c r="C410" s="97" t="n"/>
      <c r="D410" s="97" t="n"/>
      <c r="E410" s="95" t="n"/>
      <c r="F410" s="17" t="n"/>
      <c r="G410" s="97" t="n"/>
      <c r="H410" s="97" t="n"/>
      <c r="I410" s="95" t="n"/>
      <c r="J410" s="56" t="n"/>
      <c r="K410" s="57" t="n"/>
      <c r="L410" s="94" t="n"/>
      <c r="M410" s="95" t="n"/>
      <c r="N410" s="95" t="n"/>
      <c r="O410" s="95" t="n"/>
      <c r="P410" s="96" t="n"/>
    </row>
    <row r="411" ht="33" customFormat="1" customHeight="1" s="1">
      <c r="A411" s="53" t="n"/>
      <c r="B411" s="97" t="n"/>
      <c r="C411" s="97" t="n"/>
      <c r="D411" s="97" t="n"/>
      <c r="E411" s="95" t="n"/>
      <c r="F411" s="17" t="n"/>
      <c r="G411" s="97" t="n"/>
      <c r="H411" s="97" t="n"/>
      <c r="I411" s="95" t="n"/>
      <c r="J411" s="56" t="n"/>
      <c r="K411" s="57" t="n"/>
      <c r="L411" s="94" t="n"/>
      <c r="M411" s="95" t="n"/>
      <c r="N411" s="95" t="n"/>
      <c r="O411" s="95" t="n"/>
      <c r="P411" s="96" t="n"/>
    </row>
    <row r="412" ht="33" customFormat="1" customHeight="1" s="1">
      <c r="A412" s="53" t="n"/>
      <c r="B412" s="97" t="n"/>
      <c r="C412" s="97" t="n"/>
      <c r="D412" s="97" t="n"/>
      <c r="E412" s="95" t="n"/>
      <c r="F412" s="17" t="n"/>
      <c r="G412" s="97" t="n"/>
      <c r="H412" s="97" t="n"/>
      <c r="I412" s="95" t="n"/>
      <c r="J412" s="56" t="n"/>
      <c r="K412" s="57" t="n"/>
      <c r="L412" s="94" t="n"/>
      <c r="M412" s="95" t="n"/>
      <c r="N412" s="95" t="n"/>
      <c r="O412" s="95" t="n"/>
      <c r="P412" s="96" t="n"/>
    </row>
    <row r="413" ht="33" customFormat="1" customHeight="1" s="1">
      <c r="A413" s="53" t="n"/>
      <c r="B413" s="97" t="n"/>
      <c r="C413" s="97" t="n"/>
      <c r="D413" s="97" t="n"/>
      <c r="E413" s="95" t="n"/>
      <c r="F413" s="17" t="n"/>
      <c r="G413" s="97" t="n"/>
      <c r="H413" s="97" t="n"/>
      <c r="I413" s="95" t="n"/>
      <c r="J413" s="56" t="n"/>
      <c r="K413" s="57" t="n"/>
      <c r="L413" s="94" t="n"/>
      <c r="M413" s="95" t="n"/>
      <c r="N413" s="95" t="n"/>
      <c r="O413" s="95" t="n"/>
      <c r="P413" s="96" t="n"/>
    </row>
    <row r="414" ht="33" customFormat="1" customHeight="1" s="1">
      <c r="A414" s="53" t="n"/>
      <c r="B414" s="97" t="n"/>
      <c r="C414" s="97" t="n"/>
      <c r="D414" s="97" t="n"/>
      <c r="E414" s="95" t="n"/>
      <c r="F414" s="17" t="n"/>
      <c r="G414" s="97" t="n"/>
      <c r="H414" s="97" t="n"/>
      <c r="I414" s="95" t="n"/>
      <c r="J414" s="56" t="n"/>
      <c r="K414" s="57" t="n"/>
      <c r="L414" s="94" t="n"/>
      <c r="M414" s="95" t="n"/>
      <c r="N414" s="95" t="n"/>
      <c r="O414" s="95" t="n"/>
      <c r="P414" s="96" t="n"/>
    </row>
    <row r="415" ht="33" customFormat="1" customHeight="1" s="1">
      <c r="A415" s="53" t="n"/>
      <c r="B415" s="97" t="n"/>
      <c r="C415" s="97" t="n"/>
      <c r="D415" s="97" t="n"/>
      <c r="E415" s="95" t="n"/>
      <c r="F415" s="17" t="n"/>
      <c r="G415" s="97" t="n"/>
      <c r="H415" s="97" t="n"/>
      <c r="I415" s="95" t="n"/>
      <c r="J415" s="56" t="n"/>
      <c r="K415" s="57" t="n"/>
      <c r="L415" s="94" t="n"/>
      <c r="M415" s="95" t="n"/>
      <c r="N415" s="95" t="n"/>
      <c r="O415" s="95" t="n"/>
      <c r="P415" s="96" t="n"/>
    </row>
    <row r="416" ht="33" customFormat="1" customHeight="1" s="1">
      <c r="A416" s="53" t="n"/>
      <c r="B416" s="97" t="n"/>
      <c r="C416" s="97" t="n"/>
      <c r="D416" s="97" t="n"/>
      <c r="E416" s="95" t="n"/>
      <c r="F416" s="17" t="n"/>
      <c r="G416" s="97" t="n"/>
      <c r="H416" s="97" t="n"/>
      <c r="I416" s="95" t="n"/>
      <c r="J416" s="56" t="n"/>
      <c r="K416" s="57" t="n"/>
      <c r="L416" s="94" t="n"/>
      <c r="M416" s="95" t="n"/>
      <c r="N416" s="95" t="n"/>
      <c r="O416" s="95" t="n"/>
      <c r="P416" s="96" t="n"/>
    </row>
    <row r="417" ht="33" customFormat="1" customHeight="1" s="1">
      <c r="A417" s="53" t="n"/>
      <c r="B417" s="97" t="n"/>
      <c r="C417" s="97" t="n"/>
      <c r="D417" s="97" t="n"/>
      <c r="E417" s="95" t="n"/>
      <c r="F417" s="17" t="n"/>
      <c r="G417" s="97" t="n"/>
      <c r="H417" s="97" t="n"/>
      <c r="I417" s="95" t="n"/>
      <c r="J417" s="56" t="n"/>
      <c r="K417" s="57" t="n"/>
      <c r="L417" s="94" t="n"/>
      <c r="M417" s="95" t="n"/>
      <c r="N417" s="95" t="n"/>
      <c r="O417" s="95" t="n"/>
      <c r="P417" s="96" t="n"/>
    </row>
    <row r="418" ht="33" customFormat="1" customHeight="1" s="1">
      <c r="A418" s="53" t="n"/>
      <c r="B418" s="97" t="n"/>
      <c r="C418" s="97" t="n"/>
      <c r="D418" s="97" t="n"/>
      <c r="E418" s="95" t="n"/>
      <c r="F418" s="17" t="n"/>
      <c r="G418" s="97" t="n"/>
      <c r="H418" s="97" t="n"/>
      <c r="I418" s="95" t="n"/>
      <c r="J418" s="56" t="n"/>
      <c r="K418" s="57" t="n"/>
      <c r="L418" s="94" t="n"/>
      <c r="M418" s="95" t="n"/>
      <c r="N418" s="95" t="n"/>
      <c r="O418" s="95" t="n"/>
      <c r="P418" s="96" t="n"/>
    </row>
    <row r="419" ht="33" customFormat="1" customHeight="1" s="1">
      <c r="A419" s="53" t="n"/>
      <c r="B419" s="97" t="n"/>
      <c r="C419" s="97" t="n"/>
      <c r="D419" s="97" t="n"/>
      <c r="E419" s="95" t="n"/>
      <c r="F419" s="17" t="n"/>
      <c r="G419" s="97" t="n"/>
      <c r="H419" s="97" t="n"/>
      <c r="I419" s="95" t="n"/>
      <c r="J419" s="56" t="n"/>
      <c r="K419" s="57" t="n"/>
      <c r="L419" s="94" t="n"/>
      <c r="M419" s="95" t="n"/>
      <c r="N419" s="95" t="n"/>
      <c r="O419" s="95" t="n"/>
      <c r="P419" s="96" t="n"/>
    </row>
    <row r="420" ht="33" customFormat="1" customHeight="1" s="1">
      <c r="A420" s="53" t="n"/>
      <c r="B420" s="97" t="n"/>
      <c r="C420" s="97" t="n"/>
      <c r="D420" s="97" t="n"/>
      <c r="E420" s="95" t="n"/>
      <c r="F420" s="17" t="n"/>
      <c r="G420" s="97" t="n"/>
      <c r="H420" s="97" t="n"/>
      <c r="I420" s="95" t="n"/>
      <c r="J420" s="56" t="n"/>
      <c r="K420" s="57" t="n"/>
      <c r="L420" s="94" t="n"/>
      <c r="M420" s="95" t="n"/>
      <c r="N420" s="95" t="n"/>
      <c r="O420" s="95" t="n"/>
      <c r="P420" s="96" t="n"/>
    </row>
    <row r="421" ht="33" customFormat="1" customHeight="1" s="1">
      <c r="A421" s="53" t="n"/>
      <c r="B421" s="97" t="n"/>
      <c r="C421" s="97" t="n"/>
      <c r="D421" s="97" t="n"/>
      <c r="E421" s="95" t="n"/>
      <c r="F421" s="17" t="n"/>
      <c r="G421" s="97" t="n"/>
      <c r="H421" s="97" t="n"/>
      <c r="I421" s="95" t="n"/>
      <c r="J421" s="56" t="n"/>
      <c r="K421" s="57" t="n"/>
      <c r="L421" s="94" t="n"/>
      <c r="M421" s="95" t="n"/>
      <c r="N421" s="95" t="n"/>
      <c r="O421" s="95" t="n"/>
      <c r="P421" s="96" t="n"/>
    </row>
    <row r="422" ht="33" customFormat="1" customHeight="1" s="1">
      <c r="A422" s="53" t="n"/>
      <c r="B422" s="97" t="n"/>
      <c r="C422" s="97" t="n"/>
      <c r="D422" s="97" t="n"/>
      <c r="E422" s="95" t="n"/>
      <c r="F422" s="17" t="n"/>
      <c r="G422" s="97" t="n"/>
      <c r="H422" s="97" t="n"/>
      <c r="I422" s="95" t="n"/>
      <c r="J422" s="56" t="n"/>
      <c r="K422" s="57" t="n"/>
      <c r="L422" s="94" t="n"/>
      <c r="M422" s="95" t="n"/>
      <c r="N422" s="95" t="n"/>
      <c r="O422" s="95" t="n"/>
      <c r="P422" s="96" t="n"/>
    </row>
    <row r="423" ht="33" customFormat="1" customHeight="1" s="1">
      <c r="A423" s="53" t="n"/>
      <c r="B423" s="97" t="n"/>
      <c r="C423" s="97" t="n"/>
      <c r="D423" s="97" t="n"/>
      <c r="E423" s="95" t="n"/>
      <c r="F423" s="17" t="n"/>
      <c r="G423" s="97" t="n"/>
      <c r="H423" s="97" t="n"/>
      <c r="I423" s="95" t="n"/>
      <c r="J423" s="56" t="n"/>
      <c r="K423" s="57" t="n"/>
      <c r="L423" s="94" t="n"/>
      <c r="M423" s="95" t="n"/>
      <c r="N423" s="95" t="n"/>
      <c r="O423" s="95" t="n"/>
      <c r="P423" s="96" t="n"/>
    </row>
    <row r="424" ht="33" customFormat="1" customHeight="1" s="1">
      <c r="A424" s="53" t="n"/>
      <c r="B424" s="97" t="n"/>
      <c r="C424" s="97" t="n"/>
      <c r="D424" s="97" t="n"/>
      <c r="E424" s="95" t="n"/>
      <c r="F424" s="17" t="n"/>
      <c r="G424" s="97" t="n"/>
      <c r="H424" s="97" t="n"/>
      <c r="I424" s="95" t="n"/>
      <c r="J424" s="56" t="n"/>
      <c r="K424" s="57" t="n"/>
      <c r="L424" s="94" t="n"/>
      <c r="M424" s="95" t="n"/>
      <c r="N424" s="95" t="n"/>
      <c r="O424" s="95" t="n"/>
      <c r="P424" s="96" t="n"/>
    </row>
    <row r="425" ht="33" customFormat="1" customHeight="1" s="1">
      <c r="A425" s="53" t="n"/>
      <c r="B425" s="97" t="n"/>
      <c r="C425" s="97" t="n"/>
      <c r="D425" s="97" t="n"/>
      <c r="E425" s="95" t="n"/>
      <c r="F425" s="17" t="n"/>
      <c r="G425" s="97" t="n"/>
      <c r="H425" s="97" t="n"/>
      <c r="I425" s="95" t="n"/>
      <c r="J425" s="56" t="n"/>
      <c r="K425" s="57" t="n"/>
      <c r="L425" s="94" t="n"/>
      <c r="M425" s="95" t="n"/>
      <c r="N425" s="95" t="n"/>
      <c r="O425" s="95" t="n"/>
      <c r="P425" s="96" t="n"/>
    </row>
    <row r="426" ht="33" customFormat="1" customHeight="1" s="1">
      <c r="A426" s="53" t="n"/>
      <c r="B426" s="97" t="n"/>
      <c r="C426" s="97" t="n"/>
      <c r="D426" s="97" t="n"/>
      <c r="E426" s="95" t="n"/>
      <c r="F426" s="17" t="n"/>
      <c r="G426" s="97" t="n"/>
      <c r="H426" s="97" t="n"/>
      <c r="I426" s="95" t="n"/>
      <c r="J426" s="56" t="n"/>
      <c r="K426" s="57" t="n"/>
      <c r="L426" s="94" t="n"/>
      <c r="M426" s="95" t="n"/>
      <c r="N426" s="95" t="n"/>
      <c r="O426" s="95" t="n"/>
      <c r="P426" s="96" t="n"/>
    </row>
    <row r="427" ht="33" customFormat="1" customHeight="1" s="1">
      <c r="A427" s="53" t="n"/>
      <c r="B427" s="97" t="n"/>
      <c r="C427" s="97" t="n"/>
      <c r="D427" s="97" t="n"/>
      <c r="E427" s="95" t="n"/>
      <c r="F427" s="17" t="n"/>
      <c r="G427" s="97" t="n"/>
      <c r="H427" s="97" t="n"/>
      <c r="I427" s="95" t="n"/>
      <c r="J427" s="56" t="n"/>
      <c r="K427" s="57" t="n"/>
      <c r="L427" s="94" t="n"/>
      <c r="M427" s="95" t="n"/>
      <c r="N427" s="95" t="n"/>
      <c r="O427" s="95" t="n"/>
      <c r="P427" s="96" t="n"/>
    </row>
    <row r="428" ht="33" customFormat="1" customHeight="1" s="1">
      <c r="A428" s="53" t="n"/>
      <c r="B428" s="97" t="n"/>
      <c r="C428" s="97" t="n"/>
      <c r="D428" s="97" t="n"/>
      <c r="E428" s="95" t="n"/>
      <c r="F428" s="17" t="n"/>
      <c r="G428" s="97" t="n"/>
      <c r="H428" s="97" t="n"/>
      <c r="I428" s="95" t="n"/>
      <c r="J428" s="56" t="n"/>
      <c r="K428" s="57" t="n"/>
      <c r="L428" s="94" t="n"/>
      <c r="M428" s="95" t="n"/>
      <c r="N428" s="95" t="n"/>
      <c r="O428" s="95" t="n"/>
      <c r="P428" s="96" t="n"/>
    </row>
    <row r="429" ht="33" customFormat="1" customHeight="1" s="1">
      <c r="A429" s="53" t="n"/>
      <c r="B429" s="97" t="n"/>
      <c r="C429" s="97" t="n"/>
      <c r="D429" s="97" t="n"/>
      <c r="E429" s="95" t="n"/>
      <c r="F429" s="17" t="n"/>
      <c r="G429" s="97" t="n"/>
      <c r="H429" s="97" t="n"/>
      <c r="I429" s="95" t="n"/>
      <c r="J429" s="56" t="n"/>
      <c r="K429" s="57" t="n"/>
      <c r="L429" s="94" t="n"/>
      <c r="M429" s="95" t="n"/>
      <c r="N429" s="95" t="n"/>
      <c r="O429" s="95" t="n"/>
      <c r="P429" s="96" t="n"/>
    </row>
    <row r="430" ht="33" customFormat="1" customHeight="1" s="1">
      <c r="A430" s="53" t="n"/>
      <c r="B430" s="97" t="n"/>
      <c r="C430" s="97" t="n"/>
      <c r="D430" s="97" t="n"/>
      <c r="E430" s="95" t="n"/>
      <c r="F430" s="17" t="n"/>
      <c r="G430" s="97" t="n"/>
      <c r="H430" s="97" t="n"/>
      <c r="I430" s="95" t="n"/>
      <c r="J430" s="56" t="n"/>
      <c r="K430" s="57" t="n"/>
      <c r="L430" s="94" t="n"/>
      <c r="M430" s="95" t="n"/>
      <c r="N430" s="95" t="n"/>
      <c r="O430" s="95" t="n"/>
      <c r="P430" s="96" t="n"/>
    </row>
    <row r="431" ht="33" customFormat="1" customHeight="1" s="1">
      <c r="A431" s="53" t="n"/>
      <c r="B431" s="97" t="n"/>
      <c r="C431" s="97" t="n"/>
      <c r="D431" s="97" t="n"/>
      <c r="E431" s="95" t="n"/>
      <c r="F431" s="17" t="n"/>
      <c r="G431" s="97" t="n"/>
      <c r="H431" s="97" t="n"/>
      <c r="I431" s="95" t="n"/>
      <c r="J431" s="56" t="n"/>
      <c r="K431" s="57" t="n"/>
      <c r="L431" s="94" t="n"/>
      <c r="M431" s="95" t="n"/>
      <c r="N431" s="95" t="n"/>
      <c r="O431" s="95" t="n"/>
      <c r="P431" s="96" t="n"/>
    </row>
    <row r="432" ht="33" customFormat="1" customHeight="1" s="1">
      <c r="A432" s="53" t="n"/>
      <c r="B432" s="97" t="n"/>
      <c r="C432" s="97" t="n"/>
      <c r="D432" s="97" t="n"/>
      <c r="E432" s="95" t="n"/>
      <c r="F432" s="17" t="n"/>
      <c r="G432" s="97" t="n"/>
      <c r="H432" s="97" t="n"/>
      <c r="I432" s="95" t="n"/>
      <c r="J432" s="56" t="n"/>
      <c r="K432" s="57" t="n"/>
      <c r="L432" s="94" t="n"/>
      <c r="M432" s="95" t="n"/>
      <c r="N432" s="95" t="n"/>
      <c r="O432" s="95" t="n"/>
      <c r="P432" s="96" t="n"/>
    </row>
    <row r="433" ht="33" customFormat="1" customHeight="1" s="1">
      <c r="A433" s="53" t="n"/>
      <c r="B433" s="97" t="n"/>
      <c r="C433" s="97" t="n"/>
      <c r="D433" s="97" t="n"/>
      <c r="E433" s="95" t="n"/>
      <c r="F433" s="17" t="n"/>
      <c r="G433" s="97" t="n"/>
      <c r="H433" s="97" t="n"/>
      <c r="I433" s="95" t="n"/>
      <c r="J433" s="56" t="n"/>
      <c r="K433" s="57" t="n"/>
      <c r="L433" s="94" t="n"/>
      <c r="M433" s="95" t="n"/>
      <c r="N433" s="95" t="n"/>
      <c r="O433" s="95" t="n"/>
      <c r="P433" s="96" t="n"/>
    </row>
    <row r="434" ht="33" customFormat="1" customHeight="1" s="1">
      <c r="A434" s="53" t="n"/>
      <c r="B434" s="97" t="n"/>
      <c r="C434" s="97" t="n"/>
      <c r="D434" s="97" t="n"/>
      <c r="E434" s="95" t="n"/>
      <c r="F434" s="17" t="n"/>
      <c r="G434" s="97" t="n"/>
      <c r="H434" s="97" t="n"/>
      <c r="I434" s="95" t="n"/>
      <c r="J434" s="56" t="n"/>
      <c r="K434" s="57" t="n"/>
      <c r="L434" s="94" t="n"/>
      <c r="M434" s="95" t="n"/>
      <c r="N434" s="95" t="n"/>
      <c r="O434" s="95" t="n"/>
      <c r="P434" s="96" t="n"/>
    </row>
    <row r="435" ht="33" customFormat="1" customHeight="1" s="1">
      <c r="A435" s="53" t="n"/>
      <c r="B435" s="97" t="n"/>
      <c r="C435" s="97" t="n"/>
      <c r="D435" s="97" t="n"/>
      <c r="E435" s="95" t="n"/>
      <c r="F435" s="17" t="n"/>
      <c r="G435" s="97" t="n"/>
      <c r="H435" s="97" t="n"/>
      <c r="I435" s="95" t="n"/>
      <c r="J435" s="56" t="n"/>
      <c r="K435" s="57" t="n"/>
      <c r="L435" s="94" t="n"/>
      <c r="M435" s="95" t="n"/>
      <c r="N435" s="95" t="n"/>
      <c r="O435" s="95" t="n"/>
      <c r="P435" s="96" t="n"/>
    </row>
    <row r="436" ht="33" customFormat="1" customHeight="1" s="1">
      <c r="A436" s="53" t="n"/>
      <c r="B436" s="97" t="n"/>
      <c r="C436" s="97" t="n"/>
      <c r="D436" s="97" t="n"/>
      <c r="E436" s="95" t="n"/>
      <c r="F436" s="17" t="n"/>
      <c r="G436" s="97" t="n"/>
      <c r="H436" s="97" t="n"/>
      <c r="I436" s="95" t="n"/>
      <c r="J436" s="56" t="n"/>
      <c r="K436" s="57" t="n"/>
      <c r="L436" s="94" t="n"/>
      <c r="M436" s="95" t="n"/>
      <c r="N436" s="95" t="n"/>
      <c r="O436" s="95" t="n"/>
      <c r="P436" s="96" t="n"/>
    </row>
    <row r="437" ht="33" customFormat="1" customHeight="1" s="1">
      <c r="A437" s="53" t="n"/>
      <c r="B437" s="97" t="n"/>
      <c r="C437" s="97" t="n"/>
      <c r="D437" s="97" t="n"/>
      <c r="E437" s="95" t="n"/>
      <c r="F437" s="17" t="n"/>
      <c r="G437" s="97" t="n"/>
      <c r="H437" s="97" t="n"/>
      <c r="I437" s="95" t="n"/>
      <c r="J437" s="56" t="n"/>
      <c r="K437" s="57" t="n"/>
      <c r="L437" s="94" t="n"/>
      <c r="M437" s="95" t="n"/>
      <c r="N437" s="95" t="n"/>
      <c r="O437" s="95" t="n"/>
      <c r="P437" s="96" t="n"/>
    </row>
    <row r="438" ht="33" customFormat="1" customHeight="1" s="1">
      <c r="A438" s="53" t="n"/>
      <c r="B438" s="97" t="n"/>
      <c r="C438" s="97" t="n"/>
      <c r="D438" s="97" t="n"/>
      <c r="E438" s="95" t="n"/>
      <c r="F438" s="17" t="n"/>
      <c r="G438" s="97" t="n"/>
      <c r="H438" s="97" t="n"/>
      <c r="I438" s="95" t="n"/>
      <c r="J438" s="56" t="n"/>
      <c r="K438" s="57" t="n"/>
      <c r="L438" s="94" t="n"/>
      <c r="M438" s="95" t="n"/>
      <c r="N438" s="95" t="n"/>
      <c r="O438" s="95" t="n"/>
      <c r="P438" s="96" t="n"/>
    </row>
    <row r="439" ht="33" customFormat="1" customHeight="1" s="1">
      <c r="A439" s="53" t="n"/>
      <c r="B439" s="97" t="n"/>
      <c r="C439" s="97" t="n"/>
      <c r="D439" s="97" t="n"/>
      <c r="E439" s="95" t="n"/>
      <c r="F439" s="17" t="n"/>
      <c r="G439" s="97" t="n"/>
      <c r="H439" s="97" t="n"/>
      <c r="I439" s="95" t="n"/>
      <c r="J439" s="56" t="n"/>
      <c r="K439" s="57" t="n"/>
      <c r="L439" s="94" t="n"/>
      <c r="M439" s="95" t="n"/>
      <c r="N439" s="95" t="n"/>
      <c r="O439" s="95" t="n"/>
      <c r="P439" s="96" t="n"/>
    </row>
    <row r="440" ht="33" customFormat="1" customHeight="1" s="1">
      <c r="A440" s="53" t="n"/>
      <c r="B440" s="97" t="n"/>
      <c r="C440" s="97" t="n"/>
      <c r="D440" s="97" t="n"/>
      <c r="E440" s="95" t="n"/>
      <c r="F440" s="17" t="n"/>
      <c r="G440" s="97" t="n"/>
      <c r="H440" s="97" t="n"/>
      <c r="I440" s="95" t="n"/>
      <c r="J440" s="56" t="n"/>
      <c r="K440" s="57" t="n"/>
      <c r="L440" s="94" t="n"/>
      <c r="M440" s="95" t="n"/>
      <c r="N440" s="95" t="n"/>
      <c r="O440" s="95" t="n"/>
      <c r="P440" s="96" t="n"/>
    </row>
    <row r="441" ht="33" customFormat="1" customHeight="1" s="1">
      <c r="A441" s="53" t="n"/>
      <c r="B441" s="97" t="n"/>
      <c r="C441" s="97" t="n"/>
      <c r="D441" s="97" t="n"/>
      <c r="E441" s="95" t="n"/>
      <c r="F441" s="17" t="n"/>
      <c r="G441" s="97" t="n"/>
      <c r="H441" s="97" t="n"/>
      <c r="I441" s="95" t="n"/>
      <c r="J441" s="56" t="n"/>
      <c r="K441" s="57" t="n"/>
      <c r="L441" s="94" t="n"/>
      <c r="M441" s="95" t="n"/>
      <c r="N441" s="95" t="n"/>
      <c r="O441" s="95" t="n"/>
      <c r="P441" s="96" t="n"/>
    </row>
    <row r="442" ht="33" customFormat="1" customHeight="1" s="1">
      <c r="A442" s="53" t="n"/>
      <c r="B442" s="97" t="n"/>
      <c r="C442" s="97" t="n"/>
      <c r="D442" s="97" t="n"/>
      <c r="E442" s="95" t="n"/>
      <c r="F442" s="17" t="n"/>
      <c r="G442" s="97" t="n"/>
      <c r="H442" s="97" t="n"/>
      <c r="I442" s="95" t="n"/>
      <c r="J442" s="56" t="n"/>
      <c r="K442" s="57" t="n"/>
      <c r="L442" s="94" t="n"/>
      <c r="M442" s="95" t="n"/>
      <c r="N442" s="95" t="n"/>
      <c r="O442" s="95" t="n"/>
      <c r="P442" s="96" t="n"/>
    </row>
    <row r="443" ht="33" customFormat="1" customHeight="1" s="1">
      <c r="A443" s="53" t="n"/>
      <c r="B443" s="97" t="n"/>
      <c r="C443" s="97" t="n"/>
      <c r="D443" s="97" t="n"/>
      <c r="E443" s="95" t="n"/>
      <c r="F443" s="17" t="n"/>
      <c r="G443" s="97" t="n"/>
      <c r="H443" s="97" t="n"/>
      <c r="I443" s="95" t="n"/>
      <c r="J443" s="56" t="n"/>
      <c r="K443" s="57" t="n"/>
      <c r="L443" s="94" t="n"/>
      <c r="M443" s="95" t="n"/>
      <c r="N443" s="95" t="n"/>
      <c r="O443" s="95" t="n"/>
      <c r="P443" s="96" t="n"/>
    </row>
    <row r="444" ht="33" customFormat="1" customHeight="1" s="1">
      <c r="A444" s="53" t="n"/>
      <c r="B444" s="97" t="n"/>
      <c r="C444" s="97" t="n"/>
      <c r="D444" s="97" t="n"/>
      <c r="E444" s="95" t="n"/>
      <c r="F444" s="17" t="n"/>
      <c r="G444" s="97" t="n"/>
      <c r="H444" s="97" t="n"/>
      <c r="I444" s="95" t="n"/>
      <c r="J444" s="56" t="n"/>
      <c r="K444" s="57" t="n"/>
      <c r="L444" s="94" t="n"/>
      <c r="M444" s="95" t="n"/>
      <c r="N444" s="95" t="n"/>
      <c r="O444" s="95" t="n"/>
      <c r="P444" s="96" t="n"/>
    </row>
    <row r="445" ht="33" customFormat="1" customHeight="1" s="1">
      <c r="A445" s="53" t="n"/>
      <c r="B445" s="97" t="n"/>
      <c r="C445" s="97" t="n"/>
      <c r="D445" s="97" t="n"/>
      <c r="E445" s="95" t="n"/>
      <c r="F445" s="17" t="n"/>
      <c r="G445" s="97" t="n"/>
      <c r="H445" s="97" t="n"/>
      <c r="I445" s="95" t="n"/>
      <c r="J445" s="56" t="n"/>
      <c r="K445" s="57" t="n"/>
      <c r="L445" s="94" t="n"/>
      <c r="M445" s="95" t="n"/>
      <c r="N445" s="95" t="n"/>
      <c r="O445" s="95" t="n"/>
      <c r="P445" s="96" t="n"/>
    </row>
    <row r="446" ht="33" customFormat="1" customHeight="1" s="1">
      <c r="A446" s="53" t="n"/>
      <c r="B446" s="97" t="n"/>
      <c r="C446" s="97" t="n"/>
      <c r="D446" s="97" t="n"/>
      <c r="E446" s="95" t="n"/>
      <c r="F446" s="17" t="n"/>
      <c r="G446" s="97" t="n"/>
      <c r="H446" s="97" t="n"/>
      <c r="I446" s="95" t="n"/>
      <c r="J446" s="56" t="n"/>
      <c r="K446" s="57" t="n"/>
      <c r="L446" s="94" t="n"/>
      <c r="M446" s="95" t="n"/>
      <c r="N446" s="95" t="n"/>
      <c r="O446" s="95" t="n"/>
      <c r="P446" s="96" t="n"/>
    </row>
    <row r="447" ht="33" customFormat="1" customHeight="1" s="1">
      <c r="A447" s="53" t="n"/>
      <c r="B447" s="97" t="n"/>
      <c r="C447" s="97" t="n"/>
      <c r="D447" s="97" t="n"/>
      <c r="E447" s="95" t="n"/>
      <c r="F447" s="17" t="n"/>
      <c r="G447" s="97" t="n"/>
      <c r="H447" s="97" t="n"/>
      <c r="I447" s="95" t="n"/>
      <c r="J447" s="56" t="n"/>
      <c r="K447" s="57" t="n"/>
      <c r="L447" s="94" t="n"/>
      <c r="M447" s="95" t="n"/>
      <c r="N447" s="95" t="n"/>
      <c r="O447" s="95" t="n"/>
      <c r="P447" s="96" t="n"/>
    </row>
    <row r="448" ht="33" customFormat="1" customHeight="1" s="1">
      <c r="A448" s="53" t="n"/>
      <c r="B448" s="97" t="n"/>
      <c r="C448" s="97" t="n"/>
      <c r="D448" s="97" t="n"/>
      <c r="E448" s="95" t="n"/>
      <c r="F448" s="17" t="n"/>
      <c r="G448" s="97" t="n"/>
      <c r="H448" s="97" t="n"/>
      <c r="I448" s="95" t="n"/>
      <c r="J448" s="56" t="n"/>
      <c r="K448" s="57" t="n"/>
      <c r="L448" s="94" t="n"/>
      <c r="M448" s="95" t="n"/>
      <c r="N448" s="95" t="n"/>
      <c r="O448" s="95" t="n"/>
      <c r="P448" s="96" t="n"/>
    </row>
    <row r="449" ht="33" customFormat="1" customHeight="1" s="1">
      <c r="A449" s="53" t="n"/>
      <c r="B449" s="97" t="n"/>
      <c r="C449" s="97" t="n"/>
      <c r="D449" s="97" t="n"/>
      <c r="E449" s="95" t="n"/>
      <c r="F449" s="17" t="n"/>
      <c r="G449" s="97" t="n"/>
      <c r="H449" s="97" t="n"/>
      <c r="I449" s="95" t="n"/>
      <c r="J449" s="56" t="n"/>
      <c r="K449" s="57" t="n"/>
      <c r="L449" s="94" t="n"/>
      <c r="M449" s="95" t="n"/>
      <c r="N449" s="95" t="n"/>
      <c r="O449" s="95" t="n"/>
      <c r="P449" s="96" t="n"/>
    </row>
    <row r="450" ht="33" customFormat="1" customHeight="1" s="1">
      <c r="A450" s="53" t="n"/>
      <c r="B450" s="97" t="n"/>
      <c r="C450" s="97" t="n"/>
      <c r="D450" s="97" t="n"/>
      <c r="E450" s="95" t="n"/>
      <c r="F450" s="17" t="n"/>
      <c r="G450" s="97" t="n"/>
      <c r="H450" s="97" t="n"/>
      <c r="I450" s="95" t="n"/>
      <c r="J450" s="56" t="n"/>
      <c r="K450" s="57" t="n"/>
      <c r="L450" s="94" t="n"/>
      <c r="M450" s="95" t="n"/>
      <c r="N450" s="95" t="n"/>
      <c r="O450" s="95" t="n"/>
      <c r="P450" s="96" t="n"/>
    </row>
    <row r="451" ht="33" customFormat="1" customHeight="1" s="1">
      <c r="A451" s="53" t="n"/>
      <c r="B451" s="97" t="n"/>
      <c r="C451" s="97" t="n"/>
      <c r="D451" s="97" t="n"/>
      <c r="E451" s="95" t="n"/>
      <c r="F451" s="17" t="n"/>
      <c r="G451" s="97" t="n"/>
      <c r="H451" s="97" t="n"/>
      <c r="I451" s="95" t="n"/>
      <c r="J451" s="56" t="n"/>
      <c r="K451" s="57" t="n"/>
      <c r="L451" s="94" t="n"/>
      <c r="M451" s="95" t="n"/>
      <c r="N451" s="95" t="n"/>
      <c r="O451" s="95" t="n"/>
      <c r="P451" s="96" t="n"/>
    </row>
    <row r="452" ht="33" customFormat="1" customHeight="1" s="1">
      <c r="A452" s="53" t="n"/>
      <c r="B452" s="97" t="n"/>
      <c r="C452" s="97" t="n"/>
      <c r="D452" s="97" t="n"/>
      <c r="E452" s="95" t="n"/>
      <c r="F452" s="17" t="n"/>
      <c r="G452" s="97" t="n"/>
      <c r="H452" s="97" t="n"/>
      <c r="I452" s="95" t="n"/>
      <c r="J452" s="56" t="n"/>
      <c r="K452" s="57" t="n"/>
      <c r="L452" s="94" t="n"/>
      <c r="M452" s="95" t="n"/>
      <c r="N452" s="95" t="n"/>
      <c r="O452" s="95" t="n"/>
      <c r="P452" s="96" t="n"/>
    </row>
    <row r="453" ht="33" customFormat="1" customHeight="1" s="1">
      <c r="A453" s="53" t="n"/>
      <c r="B453" s="97" t="n"/>
      <c r="C453" s="97" t="n"/>
      <c r="D453" s="97" t="n"/>
      <c r="E453" s="95" t="n"/>
      <c r="F453" s="17" t="n"/>
      <c r="G453" s="97" t="n"/>
      <c r="H453" s="97" t="n"/>
      <c r="I453" s="95" t="n"/>
      <c r="J453" s="56" t="n"/>
      <c r="K453" s="57" t="n"/>
      <c r="L453" s="94" t="n"/>
      <c r="M453" s="95" t="n"/>
      <c r="N453" s="95" t="n"/>
      <c r="O453" s="95" t="n"/>
      <c r="P453" s="96" t="n"/>
    </row>
    <row r="454" ht="33" customFormat="1" customHeight="1" s="1">
      <c r="A454" s="53" t="n"/>
      <c r="B454" s="97" t="n"/>
      <c r="C454" s="97" t="n"/>
      <c r="D454" s="97" t="n"/>
      <c r="E454" s="95" t="n"/>
      <c r="F454" s="17" t="n"/>
      <c r="G454" s="97" t="n"/>
      <c r="H454" s="97" t="n"/>
      <c r="I454" s="95" t="n"/>
      <c r="J454" s="56" t="n"/>
      <c r="K454" s="57" t="n"/>
      <c r="L454" s="94" t="n"/>
      <c r="M454" s="95" t="n"/>
      <c r="N454" s="95" t="n"/>
      <c r="O454" s="95" t="n"/>
      <c r="P454" s="96" t="n"/>
    </row>
    <row r="455" ht="33" customFormat="1" customHeight="1" s="1">
      <c r="A455" s="53" t="n"/>
      <c r="B455" s="97" t="n"/>
      <c r="C455" s="97" t="n"/>
      <c r="D455" s="97" t="n"/>
      <c r="E455" s="95" t="n"/>
      <c r="F455" s="17" t="n"/>
      <c r="G455" s="97" t="n"/>
      <c r="H455" s="97" t="n"/>
      <c r="I455" s="95" t="n"/>
      <c r="J455" s="56" t="n"/>
      <c r="K455" s="57" t="n"/>
      <c r="L455" s="94" t="n"/>
      <c r="M455" s="95" t="n"/>
      <c r="N455" s="95" t="n"/>
      <c r="O455" s="95" t="n"/>
      <c r="P455" s="96" t="n"/>
    </row>
    <row r="456" ht="33" customFormat="1" customHeight="1" s="1">
      <c r="A456" s="53" t="n"/>
      <c r="B456" s="97" t="n"/>
      <c r="C456" s="97" t="n"/>
      <c r="D456" s="97" t="n"/>
      <c r="E456" s="95" t="n"/>
      <c r="F456" s="17" t="n"/>
      <c r="G456" s="97" t="n"/>
      <c r="H456" s="97" t="n"/>
      <c r="I456" s="95" t="n"/>
      <c r="J456" s="56" t="n"/>
      <c r="K456" s="57" t="n"/>
      <c r="L456" s="94" t="n"/>
      <c r="M456" s="95" t="n"/>
      <c r="N456" s="95" t="n"/>
      <c r="O456" s="95" t="n"/>
      <c r="P456" s="96" t="n"/>
    </row>
    <row r="457" ht="33" customFormat="1" customHeight="1" s="1">
      <c r="A457" s="53" t="n"/>
      <c r="B457" s="97" t="n"/>
      <c r="C457" s="97" t="n"/>
      <c r="D457" s="97" t="n"/>
      <c r="E457" s="95" t="n"/>
      <c r="F457" s="17" t="n"/>
      <c r="G457" s="97" t="n"/>
      <c r="H457" s="97" t="n"/>
      <c r="I457" s="95" t="n"/>
      <c r="J457" s="56" t="n"/>
      <c r="K457" s="57" t="n"/>
      <c r="L457" s="94" t="n"/>
      <c r="M457" s="95" t="n"/>
      <c r="N457" s="95" t="n"/>
      <c r="O457" s="95" t="n"/>
      <c r="P457" s="96" t="n"/>
    </row>
    <row r="458" ht="33" customFormat="1" customHeight="1" s="1">
      <c r="A458" s="53" t="n"/>
      <c r="B458" s="97" t="n"/>
      <c r="C458" s="97" t="n"/>
      <c r="D458" s="97" t="n"/>
      <c r="E458" s="95" t="n"/>
      <c r="F458" s="17" t="n"/>
      <c r="G458" s="97" t="n"/>
      <c r="H458" s="97" t="n"/>
      <c r="I458" s="95" t="n"/>
      <c r="J458" s="56" t="n"/>
      <c r="K458" s="57" t="n"/>
      <c r="L458" s="94" t="n"/>
      <c r="M458" s="95" t="n"/>
      <c r="N458" s="95" t="n"/>
      <c r="O458" s="95" t="n"/>
      <c r="P458" s="96" t="n"/>
    </row>
    <row r="459" ht="33" customFormat="1" customHeight="1" s="1">
      <c r="A459" s="53" t="n"/>
      <c r="B459" s="97" t="n"/>
      <c r="C459" s="97" t="n"/>
      <c r="D459" s="97" t="n"/>
      <c r="E459" s="95" t="n"/>
      <c r="F459" s="17" t="n"/>
      <c r="G459" s="97" t="n"/>
      <c r="H459" s="97" t="n"/>
      <c r="I459" s="95" t="n"/>
      <c r="J459" s="56" t="n"/>
      <c r="K459" s="57" t="n"/>
      <c r="L459" s="94" t="n"/>
      <c r="M459" s="95" t="n"/>
      <c r="N459" s="95" t="n"/>
      <c r="O459" s="95" t="n"/>
      <c r="P459" s="96" t="n"/>
    </row>
    <row r="460" ht="33" customFormat="1" customHeight="1" s="1">
      <c r="A460" s="53" t="n"/>
      <c r="B460" s="97" t="n"/>
      <c r="C460" s="97" t="n"/>
      <c r="D460" s="97" t="n"/>
      <c r="E460" s="95" t="n"/>
      <c r="F460" s="17" t="n"/>
      <c r="G460" s="97" t="n"/>
      <c r="H460" s="97" t="n"/>
      <c r="I460" s="95" t="n"/>
      <c r="J460" s="56" t="n"/>
      <c r="K460" s="57" t="n"/>
      <c r="L460" s="94" t="n"/>
      <c r="M460" s="95" t="n"/>
      <c r="N460" s="95" t="n"/>
      <c r="O460" s="95" t="n"/>
      <c r="P460" s="96" t="n"/>
    </row>
    <row r="461" ht="33" customFormat="1" customHeight="1" s="1">
      <c r="A461" s="53" t="n"/>
      <c r="B461" s="97" t="n"/>
      <c r="C461" s="97" t="n"/>
      <c r="D461" s="97" t="n"/>
      <c r="E461" s="95" t="n"/>
      <c r="F461" s="17" t="n"/>
      <c r="G461" s="97" t="n"/>
      <c r="H461" s="97" t="n"/>
      <c r="I461" s="95" t="n"/>
      <c r="J461" s="56" t="n"/>
      <c r="K461" s="57" t="n"/>
      <c r="L461" s="94" t="n"/>
      <c r="M461" s="95" t="n"/>
      <c r="N461" s="95" t="n"/>
      <c r="O461" s="95" t="n"/>
      <c r="P461" s="96" t="n"/>
    </row>
    <row r="462" ht="33" customFormat="1" customHeight="1" s="1">
      <c r="A462" s="53" t="n"/>
      <c r="B462" s="97" t="n"/>
      <c r="C462" s="97" t="n"/>
      <c r="D462" s="97" t="n"/>
      <c r="E462" s="95" t="n"/>
      <c r="F462" s="17" t="n"/>
      <c r="G462" s="97" t="n"/>
      <c r="H462" s="97" t="n"/>
      <c r="I462" s="95" t="n"/>
      <c r="J462" s="56" t="n"/>
      <c r="K462" s="57" t="n"/>
      <c r="L462" s="94" t="n"/>
      <c r="M462" s="95" t="n"/>
      <c r="N462" s="95" t="n"/>
      <c r="O462" s="95" t="n"/>
      <c r="P462" s="96" t="n"/>
    </row>
    <row r="463" ht="33" customFormat="1" customHeight="1" s="1">
      <c r="A463" s="53" t="n"/>
      <c r="B463" s="97" t="n"/>
      <c r="C463" s="97" t="n"/>
      <c r="D463" s="97" t="n"/>
      <c r="E463" s="95" t="n"/>
      <c r="F463" s="17" t="n"/>
      <c r="G463" s="97" t="n"/>
      <c r="H463" s="97" t="n"/>
      <c r="I463" s="95" t="n"/>
      <c r="J463" s="56" t="n"/>
      <c r="K463" s="57" t="n"/>
      <c r="L463" s="94" t="n"/>
      <c r="M463" s="95" t="n"/>
      <c r="N463" s="95" t="n"/>
      <c r="O463" s="95" t="n"/>
      <c r="P463" s="96" t="n"/>
    </row>
    <row r="464" ht="33" customFormat="1" customHeight="1" s="1">
      <c r="A464" s="53" t="n"/>
      <c r="B464" s="97" t="n"/>
      <c r="C464" s="97" t="n"/>
      <c r="D464" s="97" t="n"/>
      <c r="E464" s="95" t="n"/>
      <c r="F464" s="17" t="n"/>
      <c r="G464" s="97" t="n"/>
      <c r="H464" s="97" t="n"/>
      <c r="I464" s="95" t="n"/>
      <c r="J464" s="56" t="n"/>
      <c r="K464" s="57" t="n"/>
      <c r="L464" s="94" t="n"/>
      <c r="M464" s="95" t="n"/>
      <c r="N464" s="95" t="n"/>
      <c r="O464" s="95" t="n"/>
      <c r="P464" s="96" t="n"/>
    </row>
    <row r="465" ht="33" customFormat="1" customHeight="1" s="1">
      <c r="A465" s="53" t="n"/>
      <c r="B465" s="97" t="n"/>
      <c r="C465" s="97" t="n"/>
      <c r="D465" s="97" t="n"/>
      <c r="E465" s="95" t="n"/>
      <c r="F465" s="17" t="n"/>
      <c r="G465" s="97" t="n"/>
      <c r="H465" s="97" t="n"/>
      <c r="I465" s="95" t="n"/>
      <c r="J465" s="56" t="n"/>
      <c r="K465" s="57" t="n"/>
      <c r="L465" s="94" t="n"/>
      <c r="M465" s="95" t="n"/>
      <c r="N465" s="95" t="n"/>
      <c r="O465" s="95" t="n"/>
      <c r="P465" s="96" t="n"/>
    </row>
    <row r="466" ht="33" customFormat="1" customHeight="1" s="1">
      <c r="A466" s="53" t="n"/>
      <c r="B466" s="97" t="n"/>
      <c r="C466" s="97" t="n"/>
      <c r="D466" s="97" t="n"/>
      <c r="E466" s="95" t="n"/>
      <c r="F466" s="17" t="n"/>
      <c r="G466" s="97" t="n"/>
      <c r="H466" s="97" t="n"/>
      <c r="I466" s="95" t="n"/>
      <c r="J466" s="56" t="n"/>
      <c r="K466" s="57" t="n"/>
      <c r="L466" s="94" t="n"/>
      <c r="M466" s="95" t="n"/>
      <c r="N466" s="95" t="n"/>
      <c r="O466" s="95" t="n"/>
      <c r="P466" s="96" t="n"/>
    </row>
    <row r="467" ht="33" customFormat="1" customHeight="1" s="1">
      <c r="A467" s="53" t="n"/>
      <c r="B467" s="97" t="n"/>
      <c r="C467" s="97" t="n"/>
      <c r="D467" s="97" t="n"/>
      <c r="E467" s="95" t="n"/>
      <c r="F467" s="17" t="n"/>
      <c r="G467" s="97" t="n"/>
      <c r="H467" s="97" t="n"/>
      <c r="I467" s="95" t="n"/>
      <c r="J467" s="56" t="n"/>
      <c r="K467" s="57" t="n"/>
      <c r="L467" s="94" t="n"/>
      <c r="M467" s="95" t="n"/>
      <c r="N467" s="95" t="n"/>
      <c r="O467" s="95" t="n"/>
      <c r="P467" s="96" t="n"/>
    </row>
    <row r="468" ht="33" customFormat="1" customHeight="1" s="1">
      <c r="A468" s="53" t="n"/>
      <c r="B468" s="97" t="n"/>
      <c r="C468" s="97" t="n"/>
      <c r="D468" s="97" t="n"/>
      <c r="E468" s="95" t="n"/>
      <c r="F468" s="17" t="n"/>
      <c r="G468" s="97" t="n"/>
      <c r="H468" s="97" t="n"/>
      <c r="I468" s="95" t="n"/>
      <c r="J468" s="56" t="n"/>
      <c r="K468" s="57" t="n"/>
      <c r="L468" s="94" t="n"/>
      <c r="M468" s="95" t="n"/>
      <c r="N468" s="95" t="n"/>
      <c r="O468" s="95" t="n"/>
      <c r="P468" s="96" t="n"/>
    </row>
    <row r="469" ht="33" customFormat="1" customHeight="1" s="1">
      <c r="A469" s="53" t="n"/>
      <c r="B469" s="97" t="n"/>
      <c r="C469" s="97" t="n"/>
      <c r="D469" s="97" t="n"/>
      <c r="E469" s="95" t="n"/>
      <c r="F469" s="17" t="n"/>
      <c r="G469" s="97" t="n"/>
      <c r="H469" s="97" t="n"/>
      <c r="I469" s="95" t="n"/>
      <c r="J469" s="56" t="n"/>
      <c r="K469" s="57" t="n"/>
      <c r="L469" s="94" t="n"/>
      <c r="M469" s="95" t="n"/>
      <c r="N469" s="95" t="n"/>
      <c r="O469" s="95" t="n"/>
      <c r="P469" s="96" t="n"/>
    </row>
    <row r="470" ht="33" customFormat="1" customHeight="1" s="1">
      <c r="A470" s="53" t="n"/>
      <c r="B470" s="97" t="n"/>
      <c r="C470" s="97" t="n"/>
      <c r="D470" s="97" t="n"/>
      <c r="E470" s="95" t="n"/>
      <c r="F470" s="17" t="n"/>
      <c r="G470" s="97" t="n"/>
      <c r="H470" s="97" t="n"/>
      <c r="I470" s="95" t="n"/>
      <c r="J470" s="56" t="n"/>
      <c r="K470" s="57" t="n"/>
      <c r="L470" s="94" t="n"/>
      <c r="M470" s="95" t="n"/>
      <c r="N470" s="95" t="n"/>
      <c r="O470" s="95" t="n"/>
      <c r="P470" s="96" t="n"/>
    </row>
    <row r="471" ht="33" customFormat="1" customHeight="1" s="1">
      <c r="A471" s="53" t="n"/>
      <c r="B471" s="97" t="n"/>
      <c r="C471" s="97" t="n"/>
      <c r="D471" s="97" t="n"/>
      <c r="E471" s="95" t="n"/>
      <c r="F471" s="17" t="n"/>
      <c r="G471" s="97" t="n"/>
      <c r="H471" s="97" t="n"/>
      <c r="I471" s="95" t="n"/>
      <c r="J471" s="56" t="n"/>
      <c r="K471" s="57" t="n"/>
      <c r="L471" s="94" t="n"/>
      <c r="M471" s="95" t="n"/>
      <c r="N471" s="95" t="n"/>
      <c r="O471" s="95" t="n"/>
      <c r="P471" s="96" t="n"/>
    </row>
    <row r="472" ht="33" customFormat="1" customHeight="1" s="1">
      <c r="A472" s="53" t="n"/>
      <c r="B472" s="97" t="n"/>
      <c r="C472" s="97" t="n"/>
      <c r="D472" s="97" t="n"/>
      <c r="E472" s="95" t="n"/>
      <c r="F472" s="17" t="n"/>
      <c r="G472" s="97" t="n"/>
      <c r="H472" s="97" t="n"/>
      <c r="I472" s="95" t="n"/>
      <c r="J472" s="56" t="n"/>
      <c r="K472" s="57" t="n"/>
      <c r="L472" s="94" t="n"/>
      <c r="M472" s="95" t="n"/>
      <c r="N472" s="95" t="n"/>
      <c r="O472" s="95" t="n"/>
      <c r="P472" s="96" t="n"/>
    </row>
    <row r="473" ht="33" customFormat="1" customHeight="1" s="1">
      <c r="A473" s="53" t="n"/>
      <c r="B473" s="97" t="n"/>
      <c r="C473" s="97" t="n"/>
      <c r="D473" s="97" t="n"/>
      <c r="E473" s="95" t="n"/>
      <c r="F473" s="17" t="n"/>
      <c r="G473" s="97" t="n"/>
      <c r="H473" s="97" t="n"/>
      <c r="I473" s="95" t="n"/>
      <c r="J473" s="56" t="n"/>
      <c r="K473" s="57" t="n"/>
      <c r="L473" s="94" t="n"/>
      <c r="M473" s="95" t="n"/>
      <c r="N473" s="95" t="n"/>
      <c r="O473" s="95" t="n"/>
      <c r="P473" s="96" t="n"/>
    </row>
    <row r="474" ht="33" customFormat="1" customHeight="1" s="1">
      <c r="A474" s="53" t="n"/>
      <c r="B474" s="97" t="n"/>
      <c r="C474" s="97" t="n"/>
      <c r="D474" s="97" t="n"/>
      <c r="E474" s="95" t="n"/>
      <c r="F474" s="17" t="n"/>
      <c r="G474" s="97" t="n"/>
      <c r="H474" s="97" t="n"/>
      <c r="I474" s="95" t="n"/>
      <c r="J474" s="56" t="n"/>
      <c r="K474" s="57" t="n"/>
      <c r="L474" s="94" t="n"/>
      <c r="M474" s="95" t="n"/>
      <c r="N474" s="95" t="n"/>
      <c r="O474" s="95" t="n"/>
      <c r="P474" s="96" t="n"/>
    </row>
    <row r="475" ht="33" customFormat="1" customHeight="1" s="1">
      <c r="A475" s="53" t="n"/>
      <c r="B475" s="97" t="n"/>
      <c r="C475" s="97" t="n"/>
      <c r="D475" s="97" t="n"/>
      <c r="E475" s="95" t="n"/>
      <c r="F475" s="17" t="n"/>
      <c r="G475" s="97" t="n"/>
      <c r="H475" s="97" t="n"/>
      <c r="I475" s="95" t="n"/>
      <c r="J475" s="56" t="n"/>
      <c r="K475" s="57" t="n"/>
      <c r="L475" s="94" t="n"/>
      <c r="M475" s="95" t="n"/>
      <c r="N475" s="95" t="n"/>
      <c r="O475" s="95" t="n"/>
      <c r="P475" s="96" t="n"/>
    </row>
    <row r="476" ht="33" customFormat="1" customHeight="1" s="1">
      <c r="A476" s="53" t="n"/>
      <c r="B476" s="97" t="n"/>
      <c r="C476" s="97" t="n"/>
      <c r="D476" s="97" t="n"/>
      <c r="E476" s="95" t="n"/>
      <c r="F476" s="17" t="n"/>
      <c r="G476" s="97" t="n"/>
      <c r="H476" s="97" t="n"/>
      <c r="I476" s="95" t="n"/>
      <c r="J476" s="56" t="n"/>
      <c r="K476" s="57" t="n"/>
      <c r="L476" s="94" t="n"/>
      <c r="M476" s="95" t="n"/>
      <c r="N476" s="95" t="n"/>
      <c r="O476" s="95" t="n"/>
      <c r="P476" s="96" t="n"/>
    </row>
    <row r="477" ht="33" customFormat="1" customHeight="1" s="1">
      <c r="A477" s="53" t="n"/>
      <c r="B477" s="97" t="n"/>
      <c r="C477" s="97" t="n"/>
      <c r="D477" s="97" t="n"/>
      <c r="E477" s="95" t="n"/>
      <c r="F477" s="17" t="n"/>
      <c r="G477" s="97" t="n"/>
      <c r="H477" s="97" t="n"/>
      <c r="I477" s="95" t="n"/>
      <c r="J477" s="56" t="n"/>
      <c r="K477" s="57" t="n"/>
      <c r="L477" s="94" t="n"/>
      <c r="M477" s="95" t="n"/>
      <c r="N477" s="95" t="n"/>
      <c r="O477" s="95" t="n"/>
      <c r="P477" s="96" t="n"/>
    </row>
    <row r="478" ht="33" customFormat="1" customHeight="1" s="1">
      <c r="A478" s="53" t="n"/>
      <c r="B478" s="97" t="n"/>
      <c r="C478" s="97" t="n"/>
      <c r="D478" s="97" t="n"/>
      <c r="E478" s="95" t="n"/>
      <c r="F478" s="17" t="n"/>
      <c r="G478" s="97" t="n"/>
      <c r="H478" s="97" t="n"/>
      <c r="I478" s="95" t="n"/>
      <c r="J478" s="56" t="n"/>
      <c r="K478" s="57" t="n"/>
      <c r="L478" s="94" t="n"/>
      <c r="M478" s="95" t="n"/>
      <c r="N478" s="95" t="n"/>
      <c r="O478" s="95" t="n"/>
      <c r="P478" s="96" t="n"/>
    </row>
    <row r="479" ht="33" customFormat="1" customHeight="1" s="1">
      <c r="A479" s="53" t="n"/>
      <c r="B479" s="97" t="n"/>
      <c r="C479" s="97" t="n"/>
      <c r="D479" s="97" t="n"/>
      <c r="E479" s="95" t="n"/>
      <c r="F479" s="17" t="n"/>
      <c r="G479" s="97" t="n"/>
      <c r="H479" s="97" t="n"/>
      <c r="I479" s="95" t="n"/>
      <c r="J479" s="56" t="n"/>
      <c r="K479" s="57" t="n"/>
      <c r="L479" s="94" t="n"/>
      <c r="M479" s="95" t="n"/>
      <c r="N479" s="95" t="n"/>
      <c r="O479" s="95" t="n"/>
      <c r="P479" s="96" t="n"/>
    </row>
    <row r="480" ht="33" customFormat="1" customHeight="1" s="1">
      <c r="A480" s="53" t="n"/>
      <c r="B480" s="97" t="n"/>
      <c r="C480" s="97" t="n"/>
      <c r="D480" s="97" t="n"/>
      <c r="E480" s="95" t="n"/>
      <c r="F480" s="17" t="n"/>
      <c r="G480" s="97" t="n"/>
      <c r="H480" s="97" t="n"/>
      <c r="I480" s="95" t="n"/>
      <c r="J480" s="56" t="n"/>
      <c r="K480" s="57" t="n"/>
      <c r="L480" s="94" t="n"/>
      <c r="M480" s="95" t="n"/>
      <c r="N480" s="95" t="n"/>
      <c r="O480" s="95" t="n"/>
      <c r="P480" s="96" t="n"/>
    </row>
    <row r="481" ht="33" customFormat="1" customHeight="1" s="1">
      <c r="A481" s="53" t="n"/>
      <c r="B481" s="97" t="n"/>
      <c r="C481" s="97" t="n"/>
      <c r="D481" s="97" t="n"/>
      <c r="E481" s="95" t="n"/>
      <c r="F481" s="17" t="n"/>
      <c r="G481" s="97" t="n"/>
      <c r="H481" s="97" t="n"/>
      <c r="I481" s="95" t="n"/>
      <c r="J481" s="56" t="n"/>
      <c r="K481" s="57" t="n"/>
      <c r="L481" s="94" t="n"/>
      <c r="M481" s="95" t="n"/>
      <c r="N481" s="95" t="n"/>
      <c r="O481" s="95" t="n"/>
      <c r="P481" s="96" t="n"/>
    </row>
    <row r="482" ht="33" customFormat="1" customHeight="1" s="1">
      <c r="A482" s="53" t="n"/>
      <c r="B482" s="97" t="n"/>
      <c r="C482" s="97" t="n"/>
      <c r="D482" s="97" t="n"/>
      <c r="E482" s="95" t="n"/>
      <c r="F482" s="17" t="n"/>
      <c r="G482" s="97" t="n"/>
      <c r="H482" s="97" t="n"/>
      <c r="I482" s="95" t="n"/>
      <c r="J482" s="56" t="n"/>
      <c r="K482" s="57" t="n"/>
      <c r="L482" s="94" t="n"/>
      <c r="M482" s="95" t="n"/>
      <c r="N482" s="95" t="n"/>
      <c r="O482" s="95" t="n"/>
      <c r="P482" s="96" t="n"/>
    </row>
    <row r="483" ht="33" customFormat="1" customHeight="1" s="1">
      <c r="A483" s="53" t="n"/>
      <c r="B483" s="97" t="n"/>
      <c r="C483" s="97" t="n"/>
      <c r="D483" s="97" t="n"/>
      <c r="E483" s="95" t="n"/>
      <c r="F483" s="17" t="n"/>
      <c r="G483" s="97" t="n"/>
      <c r="H483" s="97" t="n"/>
      <c r="I483" s="95" t="n"/>
      <c r="J483" s="56" t="n"/>
      <c r="K483" s="57" t="n"/>
      <c r="L483" s="94" t="n"/>
      <c r="M483" s="95" t="n"/>
      <c r="N483" s="95" t="n"/>
      <c r="O483" s="95" t="n"/>
      <c r="P483" s="96" t="n"/>
    </row>
    <row r="484" ht="33" customFormat="1" customHeight="1" s="1">
      <c r="A484" s="53" t="n"/>
      <c r="B484" s="97" t="n"/>
      <c r="C484" s="97" t="n"/>
      <c r="D484" s="97" t="n"/>
      <c r="E484" s="95" t="n"/>
      <c r="F484" s="17" t="n"/>
      <c r="G484" s="97" t="n"/>
      <c r="H484" s="97" t="n"/>
      <c r="I484" s="95" t="n"/>
      <c r="J484" s="56" t="n"/>
      <c r="K484" s="57" t="n"/>
      <c r="L484" s="94" t="n"/>
      <c r="M484" s="95" t="n"/>
      <c r="N484" s="95" t="n"/>
      <c r="O484" s="95" t="n"/>
      <c r="P484" s="96" t="n"/>
    </row>
    <row r="485" ht="33" customFormat="1" customHeight="1" s="1">
      <c r="A485" s="53" t="n"/>
      <c r="B485" s="97" t="n"/>
      <c r="C485" s="97" t="n"/>
      <c r="D485" s="97" t="n"/>
      <c r="E485" s="95" t="n"/>
      <c r="F485" s="17" t="n"/>
      <c r="G485" s="97" t="n"/>
      <c r="H485" s="97" t="n"/>
      <c r="I485" s="95" t="n"/>
      <c r="J485" s="56" t="n"/>
      <c r="K485" s="57" t="n"/>
      <c r="L485" s="94" t="n"/>
      <c r="M485" s="95" t="n"/>
      <c r="N485" s="95" t="n"/>
      <c r="O485" s="95" t="n"/>
      <c r="P485" s="96" t="n"/>
    </row>
    <row r="486" ht="33" customFormat="1" customHeight="1" s="1">
      <c r="A486" s="53" t="n"/>
      <c r="B486" s="97" t="n"/>
      <c r="C486" s="97" t="n"/>
      <c r="D486" s="97" t="n"/>
      <c r="E486" s="95" t="n"/>
      <c r="F486" s="17" t="n"/>
      <c r="G486" s="97" t="n"/>
      <c r="H486" s="97" t="n"/>
      <c r="I486" s="95" t="n"/>
      <c r="J486" s="56" t="n"/>
      <c r="K486" s="57" t="n"/>
      <c r="L486" s="94" t="n"/>
      <c r="M486" s="95" t="n"/>
      <c r="N486" s="95" t="n"/>
      <c r="O486" s="95" t="n"/>
      <c r="P486" s="96" t="n"/>
    </row>
    <row r="487" ht="33" customFormat="1" customHeight="1" s="1">
      <c r="A487" s="53" t="n"/>
      <c r="B487" s="97" t="n"/>
      <c r="C487" s="97" t="n"/>
      <c r="D487" s="97" t="n"/>
      <c r="E487" s="95" t="n"/>
      <c r="F487" s="17" t="n"/>
      <c r="G487" s="97" t="n"/>
      <c r="H487" s="97" t="n"/>
      <c r="I487" s="95" t="n"/>
      <c r="J487" s="56" t="n"/>
      <c r="K487" s="57" t="n"/>
      <c r="L487" s="94" t="n"/>
      <c r="M487" s="95" t="n"/>
      <c r="N487" s="95" t="n"/>
      <c r="O487" s="95" t="n"/>
      <c r="P487" s="96" t="n"/>
    </row>
    <row r="488" ht="33" customFormat="1" customHeight="1" s="1">
      <c r="A488" s="53" t="n"/>
      <c r="B488" s="97" t="n"/>
      <c r="C488" s="97" t="n"/>
      <c r="D488" s="97" t="n"/>
      <c r="E488" s="95" t="n"/>
      <c r="F488" s="17" t="n"/>
      <c r="G488" s="97" t="n"/>
      <c r="H488" s="97" t="n"/>
      <c r="I488" s="95" t="n"/>
      <c r="J488" s="56" t="n"/>
      <c r="K488" s="57" t="n"/>
      <c r="L488" s="94" t="n"/>
      <c r="M488" s="95" t="n"/>
      <c r="N488" s="95" t="n"/>
      <c r="O488" s="95" t="n"/>
      <c r="P488" s="96" t="n"/>
    </row>
    <row r="489" ht="33" customFormat="1" customHeight="1" s="1">
      <c r="A489" s="53" t="n"/>
      <c r="B489" s="97" t="n"/>
      <c r="C489" s="97" t="n"/>
      <c r="D489" s="97" t="n"/>
      <c r="E489" s="95" t="n"/>
      <c r="F489" s="17" t="n"/>
      <c r="G489" s="97" t="n"/>
      <c r="H489" s="97" t="n"/>
      <c r="I489" s="95" t="n"/>
      <c r="J489" s="56" t="n"/>
      <c r="K489" s="57" t="n"/>
      <c r="L489" s="94" t="n"/>
      <c r="M489" s="95" t="n"/>
      <c r="N489" s="95" t="n"/>
      <c r="O489" s="95" t="n"/>
      <c r="P489" s="96" t="n"/>
    </row>
    <row r="490" ht="33" customFormat="1" customHeight="1" s="1">
      <c r="A490" s="53" t="n"/>
      <c r="B490" s="97" t="n"/>
      <c r="C490" s="97" t="n"/>
      <c r="D490" s="97" t="n"/>
      <c r="E490" s="95" t="n"/>
      <c r="F490" s="17" t="n"/>
      <c r="G490" s="97" t="n"/>
      <c r="H490" s="97" t="n"/>
      <c r="I490" s="95" t="n"/>
      <c r="J490" s="56" t="n"/>
      <c r="K490" s="57" t="n"/>
      <c r="L490" s="94" t="n"/>
      <c r="M490" s="95" t="n"/>
      <c r="N490" s="95" t="n"/>
      <c r="O490" s="95" t="n"/>
      <c r="P490" s="96" t="n"/>
    </row>
    <row r="491" ht="33" customFormat="1" customHeight="1" s="1">
      <c r="A491" s="53" t="n"/>
      <c r="B491" s="97" t="n"/>
      <c r="C491" s="97" t="n"/>
      <c r="D491" s="97" t="n"/>
      <c r="E491" s="95" t="n"/>
      <c r="F491" s="17" t="n"/>
      <c r="G491" s="97" t="n"/>
      <c r="H491" s="97" t="n"/>
      <c r="I491" s="95" t="n"/>
      <c r="J491" s="56" t="n"/>
      <c r="K491" s="57" t="n"/>
      <c r="L491" s="94" t="n"/>
      <c r="M491" s="95" t="n"/>
      <c r="N491" s="95" t="n"/>
      <c r="O491" s="95" t="n"/>
      <c r="P491" s="96" t="n"/>
    </row>
    <row r="492" ht="33" customFormat="1" customHeight="1" s="1">
      <c r="A492" s="53" t="n"/>
      <c r="B492" s="97" t="n"/>
      <c r="C492" s="97" t="n"/>
      <c r="D492" s="97" t="n"/>
      <c r="E492" s="95" t="n"/>
      <c r="F492" s="17" t="n"/>
      <c r="G492" s="97" t="n"/>
      <c r="H492" s="97" t="n"/>
      <c r="I492" s="95" t="n"/>
      <c r="J492" s="56" t="n"/>
      <c r="K492" s="57" t="n"/>
      <c r="L492" s="94" t="n"/>
      <c r="M492" s="95" t="n"/>
      <c r="N492" s="95" t="n"/>
      <c r="O492" s="95" t="n"/>
      <c r="P492" s="96" t="n"/>
    </row>
    <row r="493" ht="33" customFormat="1" customHeight="1" s="1">
      <c r="A493" s="53" t="n"/>
      <c r="B493" s="97" t="n"/>
      <c r="C493" s="97" t="n"/>
      <c r="D493" s="97" t="n"/>
      <c r="E493" s="95" t="n"/>
      <c r="F493" s="17" t="n"/>
      <c r="G493" s="97" t="n"/>
      <c r="H493" s="97" t="n"/>
      <c r="I493" s="95" t="n"/>
      <c r="J493" s="56" t="n"/>
      <c r="K493" s="57" t="n"/>
      <c r="L493" s="94" t="n"/>
      <c r="M493" s="95" t="n"/>
      <c r="N493" s="95" t="n"/>
      <c r="O493" s="95" t="n"/>
      <c r="P493" s="96" t="n"/>
    </row>
    <row r="494" ht="33" customFormat="1" customHeight="1" s="1">
      <c r="A494" s="53" t="n"/>
      <c r="B494" s="97" t="n"/>
      <c r="C494" s="97" t="n"/>
      <c r="D494" s="97" t="n"/>
      <c r="E494" s="95" t="n"/>
      <c r="F494" s="17" t="n"/>
      <c r="G494" s="97" t="n"/>
      <c r="H494" s="97" t="n"/>
      <c r="I494" s="95" t="n"/>
      <c r="J494" s="56" t="n"/>
      <c r="K494" s="57" t="n"/>
      <c r="L494" s="94" t="n"/>
      <c r="M494" s="95" t="n"/>
      <c r="N494" s="95" t="n"/>
      <c r="O494" s="95" t="n"/>
      <c r="P494" s="96" t="n"/>
    </row>
    <row r="495" ht="33" customFormat="1" customHeight="1" s="1">
      <c r="A495" s="53" t="n"/>
      <c r="B495" s="97" t="n"/>
      <c r="C495" s="97" t="n"/>
      <c r="D495" s="97" t="n"/>
      <c r="E495" s="95" t="n"/>
      <c r="F495" s="17" t="n"/>
      <c r="G495" s="97" t="n"/>
      <c r="H495" s="97" t="n"/>
      <c r="I495" s="95" t="n"/>
      <c r="J495" s="56" t="n"/>
      <c r="K495" s="57" t="n"/>
      <c r="L495" s="94" t="n"/>
      <c r="M495" s="95" t="n"/>
      <c r="N495" s="95" t="n"/>
      <c r="O495" s="95" t="n"/>
      <c r="P495" s="96" t="n"/>
    </row>
    <row r="496" ht="33" customFormat="1" customHeight="1" s="1">
      <c r="A496" s="53" t="n"/>
      <c r="B496" s="97" t="n"/>
      <c r="C496" s="97" t="n"/>
      <c r="D496" s="97" t="n"/>
      <c r="E496" s="95" t="n"/>
      <c r="F496" s="17" t="n"/>
      <c r="G496" s="97" t="n"/>
      <c r="H496" s="97" t="n"/>
      <c r="I496" s="95" t="n"/>
      <c r="J496" s="56" t="n"/>
      <c r="K496" s="57" t="n"/>
      <c r="L496" s="94" t="n"/>
      <c r="M496" s="95" t="n"/>
      <c r="N496" s="95" t="n"/>
      <c r="O496" s="95" t="n"/>
      <c r="P496" s="96" t="n"/>
    </row>
    <row r="497" ht="33" customFormat="1" customHeight="1" s="1">
      <c r="A497" s="53" t="n"/>
      <c r="B497" s="97" t="n"/>
      <c r="C497" s="97" t="n"/>
      <c r="D497" s="97" t="n"/>
      <c r="E497" s="95" t="n"/>
      <c r="F497" s="17" t="n"/>
      <c r="G497" s="97" t="n"/>
      <c r="H497" s="97" t="n"/>
      <c r="I497" s="95" t="n"/>
      <c r="J497" s="56" t="n"/>
      <c r="K497" s="57" t="n"/>
      <c r="L497" s="94" t="n"/>
      <c r="M497" s="95" t="n"/>
      <c r="N497" s="95" t="n"/>
      <c r="O497" s="95" t="n"/>
      <c r="P497" s="96" t="n"/>
    </row>
    <row r="498" ht="33" customFormat="1" customHeight="1" s="1">
      <c r="A498" s="53" t="n"/>
      <c r="B498" s="97" t="n"/>
      <c r="C498" s="97" t="n"/>
      <c r="D498" s="97" t="n"/>
      <c r="E498" s="95" t="n"/>
      <c r="F498" s="17" t="n"/>
      <c r="G498" s="97" t="n"/>
      <c r="H498" s="97" t="n"/>
      <c r="I498" s="95" t="n"/>
      <c r="J498" s="56" t="n"/>
      <c r="K498" s="57" t="n"/>
      <c r="L498" s="94" t="n"/>
      <c r="M498" s="95" t="n"/>
      <c r="N498" s="95" t="n"/>
      <c r="O498" s="95" t="n"/>
      <c r="P498" s="96" t="n"/>
    </row>
    <row r="499" ht="33" customFormat="1" customHeight="1" s="1">
      <c r="A499" s="53" t="n"/>
      <c r="B499" s="97" t="n"/>
      <c r="C499" s="97" t="n"/>
      <c r="D499" s="97" t="n"/>
      <c r="E499" s="95" t="n"/>
      <c r="F499" s="17" t="n"/>
      <c r="G499" s="97" t="n"/>
      <c r="H499" s="97" t="n"/>
      <c r="I499" s="95" t="n"/>
      <c r="J499" s="56" t="n"/>
      <c r="K499" s="57" t="n"/>
      <c r="L499" s="94" t="n"/>
      <c r="M499" s="95" t="n"/>
      <c r="N499" s="95" t="n"/>
      <c r="O499" s="95" t="n"/>
      <c r="P499" s="96" t="n"/>
    </row>
    <row r="500" ht="33" customFormat="1" customHeight="1" s="1">
      <c r="A500" s="53" t="n"/>
      <c r="B500" s="97" t="n"/>
      <c r="C500" s="97" t="n"/>
      <c r="D500" s="97" t="n"/>
      <c r="E500" s="95" t="n"/>
      <c r="F500" s="17" t="n"/>
      <c r="G500" s="97" t="n"/>
      <c r="H500" s="97" t="n"/>
      <c r="I500" s="95" t="n"/>
      <c r="J500" s="56" t="n"/>
      <c r="K500" s="57" t="n"/>
      <c r="L500" s="94" t="n"/>
      <c r="M500" s="95" t="n"/>
      <c r="N500" s="95" t="n"/>
      <c r="O500" s="95" t="n"/>
      <c r="P500" s="96" t="n"/>
    </row>
    <row r="501" ht="33" customFormat="1" customHeight="1" s="1">
      <c r="A501" s="53" t="n"/>
      <c r="B501" s="97" t="n"/>
      <c r="C501" s="97" t="n"/>
      <c r="D501" s="97" t="n"/>
      <c r="E501" s="95" t="n"/>
      <c r="F501" s="17" t="n"/>
      <c r="G501" s="97" t="n"/>
      <c r="H501" s="97" t="n"/>
      <c r="I501" s="95" t="n"/>
      <c r="J501" s="56" t="n"/>
      <c r="K501" s="57" t="n"/>
      <c r="L501" s="94" t="n"/>
      <c r="M501" s="95" t="n"/>
      <c r="N501" s="95" t="n"/>
      <c r="O501" s="95" t="n"/>
      <c r="P501" s="96" t="n"/>
    </row>
    <row r="502" ht="33" customFormat="1" customHeight="1" s="1">
      <c r="A502" s="53" t="n"/>
      <c r="B502" s="97" t="n"/>
      <c r="C502" s="97" t="n"/>
      <c r="D502" s="97" t="n"/>
      <c r="E502" s="95" t="n"/>
      <c r="F502" s="17" t="n"/>
      <c r="G502" s="97" t="n"/>
      <c r="H502" s="97" t="n"/>
      <c r="I502" s="95" t="n"/>
      <c r="J502" s="56" t="n"/>
      <c r="K502" s="57" t="n"/>
      <c r="L502" s="94" t="n"/>
      <c r="M502" s="95" t="n"/>
      <c r="N502" s="95" t="n"/>
      <c r="O502" s="95" t="n"/>
      <c r="P502" s="96" t="n"/>
    </row>
    <row r="503" ht="33" customFormat="1" customHeight="1" s="1">
      <c r="A503" s="53" t="n"/>
      <c r="B503" s="97" t="n"/>
      <c r="C503" s="97" t="n"/>
      <c r="D503" s="97" t="n"/>
      <c r="E503" s="95" t="n"/>
      <c r="F503" s="17" t="n"/>
      <c r="G503" s="97" t="n"/>
      <c r="H503" s="97" t="n"/>
      <c r="I503" s="95" t="n"/>
      <c r="J503" s="56" t="n"/>
      <c r="K503" s="57" t="n"/>
      <c r="L503" s="94" t="n"/>
      <c r="M503" s="95" t="n"/>
      <c r="N503" s="95" t="n"/>
      <c r="O503" s="95" t="n"/>
      <c r="P503" s="96" t="n"/>
    </row>
    <row r="504" ht="33" customFormat="1" customHeight="1" s="1">
      <c r="A504" s="53" t="n"/>
      <c r="B504" s="97" t="n"/>
      <c r="C504" s="97" t="n"/>
      <c r="D504" s="97" t="n"/>
      <c r="E504" s="95" t="n"/>
      <c r="F504" s="17" t="n"/>
      <c r="G504" s="97" t="n"/>
      <c r="H504" s="97" t="n"/>
      <c r="I504" s="95" t="n"/>
      <c r="J504" s="56" t="n"/>
      <c r="K504" s="57" t="n"/>
      <c r="L504" s="94" t="n"/>
      <c r="M504" s="95" t="n"/>
      <c r="N504" s="95" t="n"/>
      <c r="O504" s="95" t="n"/>
      <c r="P504" s="96" t="n"/>
    </row>
    <row r="505" ht="33" customFormat="1" customHeight="1" s="1">
      <c r="A505" s="53" t="n"/>
      <c r="B505" s="97" t="n"/>
      <c r="C505" s="97" t="n"/>
      <c r="D505" s="97" t="n"/>
      <c r="E505" s="95" t="n"/>
      <c r="F505" s="17" t="n"/>
      <c r="G505" s="97" t="n"/>
      <c r="H505" s="97" t="n"/>
      <c r="I505" s="95" t="n"/>
      <c r="J505" s="56" t="n"/>
      <c r="K505" s="57" t="n"/>
      <c r="L505" s="94" t="n"/>
      <c r="M505" s="95" t="n"/>
      <c r="N505" s="95" t="n"/>
      <c r="O505" s="95" t="n"/>
      <c r="P505" s="96" t="n"/>
    </row>
    <row r="506" ht="33" customFormat="1" customHeight="1" s="1">
      <c r="A506" s="53" t="n"/>
      <c r="B506" s="97" t="n"/>
      <c r="C506" s="97" t="n"/>
      <c r="D506" s="97" t="n"/>
      <c r="E506" s="95" t="n"/>
      <c r="F506" s="17" t="n"/>
      <c r="G506" s="97" t="n"/>
      <c r="H506" s="97" t="n"/>
      <c r="I506" s="95" t="n"/>
      <c r="J506" s="56" t="n"/>
      <c r="K506" s="57" t="n"/>
      <c r="L506" s="94" t="n"/>
      <c r="M506" s="95" t="n"/>
      <c r="N506" s="95" t="n"/>
      <c r="O506" s="95" t="n"/>
      <c r="P506" s="96" t="n"/>
    </row>
    <row r="507" ht="33" customFormat="1" customHeight="1" s="1">
      <c r="A507" s="53" t="n"/>
      <c r="B507" s="97" t="n"/>
      <c r="C507" s="97" t="n"/>
      <c r="D507" s="97" t="n"/>
      <c r="E507" s="95" t="n"/>
      <c r="F507" s="17" t="n"/>
      <c r="G507" s="97" t="n"/>
      <c r="H507" s="97" t="n"/>
      <c r="I507" s="95" t="n"/>
      <c r="J507" s="56" t="n"/>
      <c r="K507" s="57" t="n"/>
      <c r="L507" s="94" t="n"/>
      <c r="M507" s="95" t="n"/>
      <c r="N507" s="95" t="n"/>
      <c r="O507" s="95" t="n"/>
      <c r="P507" s="96" t="n"/>
    </row>
    <row r="508" ht="33" customFormat="1" customHeight="1" s="1">
      <c r="A508" s="53" t="n"/>
      <c r="B508" s="97" t="n"/>
      <c r="C508" s="97" t="n"/>
      <c r="D508" s="97" t="n"/>
      <c r="E508" s="95" t="n"/>
      <c r="F508" s="17" t="n"/>
      <c r="G508" s="97" t="n"/>
      <c r="H508" s="97" t="n"/>
      <c r="I508" s="95" t="n"/>
      <c r="J508" s="56" t="n"/>
      <c r="K508" s="57" t="n"/>
      <c r="L508" s="94" t="n"/>
      <c r="M508" s="95" t="n"/>
      <c r="N508" s="95" t="n"/>
      <c r="O508" s="95" t="n"/>
      <c r="P508" s="96" t="n"/>
    </row>
    <row r="509" ht="33" customFormat="1" customHeight="1" s="1">
      <c r="A509" s="53" t="n"/>
      <c r="B509" s="97" t="n"/>
      <c r="C509" s="97" t="n"/>
      <c r="D509" s="97" t="n"/>
      <c r="E509" s="95" t="n"/>
      <c r="F509" s="17" t="n"/>
      <c r="G509" s="97" t="n"/>
      <c r="H509" s="97" t="n"/>
      <c r="I509" s="95" t="n"/>
      <c r="J509" s="56" t="n"/>
      <c r="K509" s="57" t="n"/>
      <c r="L509" s="94" t="n"/>
      <c r="M509" s="95" t="n"/>
      <c r="N509" s="95" t="n"/>
      <c r="O509" s="95" t="n"/>
      <c r="P509" s="96" t="n"/>
    </row>
    <row r="510" ht="33" customFormat="1" customHeight="1" s="1">
      <c r="A510" s="53" t="n"/>
      <c r="B510" s="97" t="n"/>
      <c r="C510" s="97" t="n"/>
      <c r="D510" s="97" t="n"/>
      <c r="E510" s="95" t="n"/>
      <c r="F510" s="17" t="n"/>
      <c r="G510" s="97" t="n"/>
      <c r="H510" s="97" t="n"/>
      <c r="I510" s="95" t="n"/>
      <c r="J510" s="56" t="n"/>
      <c r="K510" s="57" t="n"/>
      <c r="L510" s="94" t="n"/>
      <c r="M510" s="95" t="n"/>
      <c r="N510" s="95" t="n"/>
      <c r="O510" s="95" t="n"/>
      <c r="P510" s="96" t="n"/>
    </row>
    <row r="511" ht="33" customFormat="1" customHeight="1" s="1">
      <c r="A511" s="53" t="n"/>
      <c r="B511" s="97" t="n"/>
      <c r="C511" s="97" t="n"/>
      <c r="D511" s="97" t="n"/>
      <c r="E511" s="95" t="n"/>
      <c r="F511" s="17" t="n"/>
      <c r="G511" s="97" t="n"/>
      <c r="H511" s="97" t="n"/>
      <c r="I511" s="95" t="n"/>
      <c r="J511" s="56" t="n"/>
      <c r="K511" s="57" t="n"/>
      <c r="L511" s="94" t="n"/>
      <c r="M511" s="95" t="n"/>
      <c r="N511" s="95" t="n"/>
      <c r="O511" s="95" t="n"/>
      <c r="P511" s="96" t="n"/>
    </row>
    <row r="512" ht="33" customFormat="1" customHeight="1" s="1">
      <c r="A512" s="53" t="n"/>
      <c r="B512" s="97" t="n"/>
      <c r="C512" s="97" t="n"/>
      <c r="D512" s="97" t="n"/>
      <c r="E512" s="95" t="n"/>
      <c r="F512" s="17" t="n"/>
      <c r="G512" s="97" t="n"/>
      <c r="H512" s="97" t="n"/>
      <c r="I512" s="95" t="n"/>
      <c r="J512" s="56" t="n"/>
      <c r="K512" s="57" t="n"/>
      <c r="L512" s="94" t="n"/>
      <c r="M512" s="95" t="n"/>
      <c r="N512" s="95" t="n"/>
      <c r="O512" s="95" t="n"/>
      <c r="P512" s="96" t="n"/>
    </row>
    <row r="513" ht="33" customFormat="1" customHeight="1" s="1">
      <c r="A513" s="53" t="n"/>
      <c r="B513" s="97" t="n"/>
      <c r="C513" s="97" t="n"/>
      <c r="D513" s="97" t="n"/>
      <c r="E513" s="95" t="n"/>
      <c r="F513" s="17" t="n"/>
      <c r="G513" s="97" t="n"/>
      <c r="H513" s="97" t="n"/>
      <c r="I513" s="95" t="n"/>
      <c r="J513" s="56" t="n"/>
      <c r="K513" s="57" t="n"/>
      <c r="L513" s="94" t="n"/>
      <c r="M513" s="95" t="n"/>
      <c r="N513" s="95" t="n"/>
      <c r="O513" s="95" t="n"/>
      <c r="P513" s="96" t="n"/>
    </row>
    <row r="514" ht="33" customFormat="1" customHeight="1" s="1">
      <c r="A514" s="53" t="n"/>
      <c r="B514" s="97" t="n"/>
      <c r="C514" s="97" t="n"/>
      <c r="D514" s="97" t="n"/>
      <c r="E514" s="95" t="n"/>
      <c r="F514" s="17" t="n"/>
      <c r="G514" s="97" t="n"/>
      <c r="H514" s="97" t="n"/>
      <c r="I514" s="95" t="n"/>
      <c r="J514" s="56" t="n"/>
      <c r="K514" s="57" t="n"/>
      <c r="L514" s="94" t="n"/>
      <c r="M514" s="95" t="n"/>
      <c r="N514" s="95" t="n"/>
      <c r="O514" s="95" t="n"/>
      <c r="P514" s="96" t="n"/>
    </row>
    <row r="515" ht="33" customFormat="1" customHeight="1" s="1">
      <c r="A515" s="53" t="n"/>
      <c r="B515" s="97" t="n"/>
      <c r="C515" s="97" t="n"/>
      <c r="D515" s="97" t="n"/>
      <c r="E515" s="95" t="n"/>
      <c r="F515" s="17" t="n"/>
      <c r="G515" s="97" t="n"/>
      <c r="H515" s="97" t="n"/>
      <c r="I515" s="95" t="n"/>
      <c r="J515" s="56" t="n"/>
      <c r="K515" s="57" t="n"/>
      <c r="L515" s="94" t="n"/>
      <c r="M515" s="95" t="n"/>
      <c r="N515" s="95" t="n"/>
      <c r="O515" s="95" t="n"/>
      <c r="P515" s="96" t="n"/>
    </row>
    <row r="516" ht="33" customFormat="1" customHeight="1" s="1">
      <c r="A516" s="53" t="n"/>
      <c r="B516" s="97" t="n"/>
      <c r="C516" s="97" t="n"/>
      <c r="D516" s="97" t="n"/>
      <c r="E516" s="95" t="n"/>
      <c r="F516" s="17" t="n"/>
      <c r="G516" s="97" t="n"/>
      <c r="H516" s="97" t="n"/>
      <c r="I516" s="95" t="n"/>
      <c r="J516" s="56" t="n"/>
      <c r="K516" s="57" t="n"/>
      <c r="L516" s="94" t="n"/>
      <c r="M516" s="95" t="n"/>
      <c r="N516" s="95" t="n"/>
      <c r="O516" s="95" t="n"/>
      <c r="P516" s="96" t="n"/>
    </row>
    <row r="517" ht="33" customFormat="1" customHeight="1" s="1">
      <c r="A517" s="53" t="n"/>
      <c r="B517" s="97" t="n"/>
      <c r="C517" s="97" t="n"/>
      <c r="D517" s="97" t="n"/>
      <c r="E517" s="95" t="n"/>
      <c r="F517" s="17" t="n"/>
      <c r="G517" s="97" t="n"/>
      <c r="H517" s="97" t="n"/>
      <c r="I517" s="95" t="n"/>
      <c r="J517" s="56" t="n"/>
      <c r="K517" s="57" t="n"/>
      <c r="L517" s="94" t="n"/>
      <c r="M517" s="95" t="n"/>
      <c r="N517" s="95" t="n"/>
      <c r="O517" s="95" t="n"/>
      <c r="P517" s="96" t="n"/>
    </row>
    <row r="518" ht="33" customFormat="1" customHeight="1" s="1">
      <c r="A518" s="53" t="n"/>
      <c r="B518" s="97" t="n"/>
      <c r="C518" s="97" t="n"/>
      <c r="D518" s="97" t="n"/>
      <c r="E518" s="95" t="n"/>
      <c r="F518" s="17" t="n"/>
      <c r="G518" s="97" t="n"/>
      <c r="H518" s="97" t="n"/>
      <c r="I518" s="95" t="n"/>
      <c r="J518" s="56" t="n"/>
      <c r="K518" s="57" t="n"/>
      <c r="L518" s="94" t="n"/>
      <c r="M518" s="95" t="n"/>
      <c r="N518" s="95" t="n"/>
      <c r="O518" s="95" t="n"/>
      <c r="P518" s="96" t="n"/>
    </row>
    <row r="519" ht="33" customFormat="1" customHeight="1" s="1">
      <c r="A519" s="53" t="n"/>
      <c r="B519" s="97" t="n"/>
      <c r="C519" s="97" t="n"/>
      <c r="D519" s="97" t="n"/>
      <c r="E519" s="95" t="n"/>
      <c r="F519" s="17" t="n"/>
      <c r="G519" s="97" t="n"/>
      <c r="H519" s="97" t="n"/>
      <c r="I519" s="95" t="n"/>
      <c r="J519" s="56" t="n"/>
      <c r="K519" s="57" t="n"/>
      <c r="L519" s="94" t="n"/>
      <c r="M519" s="95" t="n"/>
      <c r="N519" s="95" t="n"/>
      <c r="O519" s="95" t="n"/>
      <c r="P519" s="96" t="n"/>
    </row>
    <row r="520" ht="33" customFormat="1" customHeight="1" s="1">
      <c r="A520" s="53" t="n"/>
      <c r="B520" s="97" t="n"/>
      <c r="C520" s="97" t="n"/>
      <c r="D520" s="97" t="n"/>
      <c r="E520" s="95" t="n"/>
      <c r="F520" s="17" t="n"/>
      <c r="G520" s="97" t="n"/>
      <c r="H520" s="97" t="n"/>
      <c r="I520" s="95" t="n"/>
      <c r="J520" s="56" t="n"/>
      <c r="K520" s="57" t="n"/>
      <c r="L520" s="94" t="n"/>
      <c r="M520" s="95" t="n"/>
      <c r="N520" s="95" t="n"/>
      <c r="O520" s="95" t="n"/>
      <c r="P520" s="96" t="n"/>
    </row>
    <row r="521" ht="33" customFormat="1" customHeight="1" s="1">
      <c r="A521" s="53" t="n"/>
      <c r="B521" s="97" t="n"/>
      <c r="C521" s="97" t="n"/>
      <c r="D521" s="97" t="n"/>
      <c r="E521" s="95" t="n"/>
      <c r="F521" s="17" t="n"/>
      <c r="G521" s="97" t="n"/>
      <c r="H521" s="97" t="n"/>
      <c r="I521" s="95" t="n"/>
      <c r="J521" s="56" t="n"/>
      <c r="K521" s="57" t="n"/>
      <c r="L521" s="94" t="n"/>
      <c r="M521" s="95" t="n"/>
      <c r="N521" s="95" t="n"/>
      <c r="O521" s="95" t="n"/>
      <c r="P521" s="96" t="n"/>
    </row>
    <row r="522" ht="33" customFormat="1" customHeight="1" s="1">
      <c r="A522" s="53" t="n"/>
      <c r="B522" s="97" t="n"/>
      <c r="C522" s="97" t="n"/>
      <c r="D522" s="97" t="n"/>
      <c r="E522" s="95" t="n"/>
      <c r="F522" s="17" t="n"/>
      <c r="G522" s="97" t="n"/>
      <c r="H522" s="97" t="n"/>
      <c r="I522" s="95" t="n"/>
      <c r="J522" s="56" t="n"/>
      <c r="K522" s="57" t="n"/>
      <c r="L522" s="94" t="n"/>
      <c r="M522" s="95" t="n"/>
      <c r="N522" s="95" t="n"/>
      <c r="O522" s="95" t="n"/>
      <c r="P522" s="96" t="n"/>
    </row>
    <row r="523" ht="33" customFormat="1" customHeight="1" s="1">
      <c r="A523" s="53" t="n"/>
      <c r="B523" s="97" t="n"/>
      <c r="C523" s="97" t="n"/>
      <c r="D523" s="97" t="n"/>
      <c r="E523" s="95" t="n"/>
      <c r="F523" s="17" t="n"/>
      <c r="G523" s="97" t="n"/>
      <c r="H523" s="97" t="n"/>
      <c r="I523" s="95" t="n"/>
      <c r="J523" s="56" t="n"/>
      <c r="K523" s="57" t="n"/>
      <c r="L523" s="94" t="n"/>
      <c r="M523" s="95" t="n"/>
      <c r="N523" s="95" t="n"/>
      <c r="O523" s="95" t="n"/>
      <c r="P523" s="96" t="n"/>
    </row>
    <row r="524" ht="33" customFormat="1" customHeight="1" s="1">
      <c r="A524" s="53" t="n"/>
      <c r="B524" s="97" t="n"/>
      <c r="C524" s="97" t="n"/>
      <c r="D524" s="97" t="n"/>
      <c r="E524" s="95" t="n"/>
      <c r="F524" s="17" t="n"/>
      <c r="G524" s="97" t="n"/>
      <c r="H524" s="97" t="n"/>
      <c r="I524" s="95" t="n"/>
      <c r="J524" s="56" t="n"/>
      <c r="K524" s="57" t="n"/>
      <c r="L524" s="94" t="n"/>
      <c r="M524" s="95" t="n"/>
      <c r="N524" s="95" t="n"/>
      <c r="O524" s="95" t="n"/>
      <c r="P524" s="96" t="n"/>
    </row>
    <row r="525" ht="33" customFormat="1" customHeight="1" s="1">
      <c r="A525" s="53" t="n"/>
      <c r="B525" s="97" t="n"/>
      <c r="C525" s="97" t="n"/>
      <c r="D525" s="97" t="n"/>
      <c r="E525" s="95" t="n"/>
      <c r="F525" s="17" t="n"/>
      <c r="G525" s="97" t="n"/>
      <c r="H525" s="97" t="n"/>
      <c r="I525" s="95" t="n"/>
      <c r="J525" s="56" t="n"/>
      <c r="K525" s="57" t="n"/>
      <c r="L525" s="94" t="n"/>
      <c r="M525" s="95" t="n"/>
      <c r="N525" s="95" t="n"/>
      <c r="O525" s="95" t="n"/>
      <c r="P525" s="96" t="n"/>
    </row>
    <row r="526" ht="33" customFormat="1" customHeight="1" s="1">
      <c r="A526" s="53" t="n"/>
      <c r="B526" s="97" t="n"/>
      <c r="C526" s="97" t="n"/>
      <c r="D526" s="97" t="n"/>
      <c r="E526" s="95" t="n"/>
      <c r="F526" s="17" t="n"/>
      <c r="G526" s="97" t="n"/>
      <c r="H526" s="97" t="n"/>
      <c r="I526" s="95" t="n"/>
      <c r="J526" s="56" t="n"/>
      <c r="K526" s="57" t="n"/>
      <c r="L526" s="94" t="n"/>
      <c r="M526" s="95" t="n"/>
      <c r="N526" s="95" t="n"/>
      <c r="O526" s="95" t="n"/>
      <c r="P526" s="96" t="n"/>
    </row>
    <row r="527" ht="33" customFormat="1" customHeight="1" s="1">
      <c r="A527" s="53" t="n"/>
      <c r="B527" s="97" t="n"/>
      <c r="C527" s="97" t="n"/>
      <c r="D527" s="97" t="n"/>
      <c r="E527" s="95" t="n"/>
      <c r="F527" s="17" t="n"/>
      <c r="G527" s="97" t="n"/>
      <c r="H527" s="97" t="n"/>
      <c r="I527" s="95" t="n"/>
      <c r="J527" s="56" t="n"/>
      <c r="K527" s="57" t="n"/>
      <c r="L527" s="94" t="n"/>
      <c r="M527" s="95" t="n"/>
      <c r="N527" s="95" t="n"/>
      <c r="O527" s="95" t="n"/>
      <c r="P527" s="96" t="n"/>
    </row>
    <row r="528" ht="33" customFormat="1" customHeight="1" s="1">
      <c r="A528" s="53" t="n"/>
      <c r="B528" s="97" t="n"/>
      <c r="C528" s="97" t="n"/>
      <c r="D528" s="97" t="n"/>
      <c r="E528" s="95" t="n"/>
      <c r="F528" s="17" t="n"/>
      <c r="G528" s="97" t="n"/>
      <c r="H528" s="97" t="n"/>
      <c r="I528" s="95" t="n"/>
      <c r="J528" s="56" t="n"/>
      <c r="K528" s="57" t="n"/>
      <c r="L528" s="94" t="n"/>
      <c r="M528" s="95" t="n"/>
      <c r="N528" s="95" t="n"/>
      <c r="O528" s="95" t="n"/>
      <c r="P528" s="96" t="n"/>
    </row>
    <row r="529" ht="33" customFormat="1" customHeight="1" s="1">
      <c r="A529" s="53" t="n"/>
      <c r="B529" s="97" t="n"/>
      <c r="C529" s="97" t="n"/>
      <c r="D529" s="97" t="n"/>
      <c r="E529" s="95" t="n"/>
      <c r="F529" s="17" t="n"/>
      <c r="G529" s="97" t="n"/>
      <c r="H529" s="97" t="n"/>
      <c r="I529" s="95" t="n"/>
      <c r="J529" s="56" t="n"/>
      <c r="K529" s="57" t="n"/>
      <c r="L529" s="94" t="n"/>
      <c r="M529" s="95" t="n"/>
      <c r="N529" s="95" t="n"/>
      <c r="O529" s="95" t="n"/>
      <c r="P529" s="96" t="n"/>
    </row>
    <row r="530" ht="33" customFormat="1" customHeight="1" s="1">
      <c r="A530" s="53" t="n"/>
      <c r="B530" s="97" t="n"/>
      <c r="C530" s="97" t="n"/>
      <c r="D530" s="97" t="n"/>
      <c r="E530" s="95" t="n"/>
      <c r="F530" s="17" t="n"/>
      <c r="G530" s="97" t="n"/>
      <c r="H530" s="97" t="n"/>
      <c r="I530" s="95" t="n"/>
      <c r="J530" s="56" t="n"/>
      <c r="K530" s="57" t="n"/>
      <c r="L530" s="94" t="n"/>
      <c r="M530" s="95" t="n"/>
      <c r="N530" s="95" t="n"/>
      <c r="O530" s="95" t="n"/>
      <c r="P530" s="96" t="n"/>
    </row>
    <row r="531" ht="33" customFormat="1" customHeight="1" s="1">
      <c r="A531" s="53" t="n"/>
      <c r="B531" s="97" t="n"/>
      <c r="C531" s="97" t="n"/>
      <c r="D531" s="97" t="n"/>
      <c r="E531" s="95" t="n"/>
      <c r="F531" s="17" t="n"/>
      <c r="G531" s="97" t="n"/>
      <c r="H531" s="97" t="n"/>
      <c r="I531" s="95" t="n"/>
      <c r="J531" s="56" t="n"/>
      <c r="K531" s="57" t="n"/>
      <c r="L531" s="94" t="n"/>
      <c r="M531" s="95" t="n"/>
      <c r="N531" s="95" t="n"/>
      <c r="O531" s="95" t="n"/>
      <c r="P531" s="96" t="n"/>
    </row>
    <row r="532" ht="33" customFormat="1" customHeight="1" s="1">
      <c r="A532" s="53" t="n"/>
      <c r="B532" s="97" t="n"/>
      <c r="C532" s="97" t="n"/>
      <c r="D532" s="97" t="n"/>
      <c r="E532" s="95" t="n"/>
      <c r="F532" s="17" t="n"/>
      <c r="G532" s="97" t="n"/>
      <c r="H532" s="97" t="n"/>
      <c r="I532" s="95" t="n"/>
      <c r="J532" s="56" t="n"/>
      <c r="K532" s="57" t="n"/>
      <c r="L532" s="94" t="n"/>
      <c r="M532" s="95" t="n"/>
      <c r="N532" s="95" t="n"/>
      <c r="O532" s="95" t="n"/>
      <c r="P532" s="96" t="n"/>
    </row>
    <row r="533" ht="33" customFormat="1" customHeight="1" s="1">
      <c r="A533" s="53" t="n"/>
      <c r="B533" s="97" t="n"/>
      <c r="C533" s="97" t="n"/>
      <c r="D533" s="97" t="n"/>
      <c r="E533" s="95" t="n"/>
      <c r="F533" s="17" t="n"/>
      <c r="G533" s="97" t="n"/>
      <c r="H533" s="97" t="n"/>
      <c r="I533" s="95" t="n"/>
      <c r="J533" s="56" t="n"/>
      <c r="K533" s="57" t="n"/>
      <c r="L533" s="94" t="n"/>
      <c r="M533" s="95" t="n"/>
      <c r="N533" s="95" t="n"/>
      <c r="O533" s="95" t="n"/>
      <c r="P533" s="96" t="n"/>
    </row>
    <row r="534" ht="33" customFormat="1" customHeight="1" s="1">
      <c r="A534" s="53" t="n"/>
      <c r="B534" s="97" t="n"/>
      <c r="C534" s="97" t="n"/>
      <c r="D534" s="97" t="n"/>
      <c r="E534" s="95" t="n"/>
      <c r="F534" s="17" t="n"/>
      <c r="G534" s="97" t="n"/>
      <c r="H534" s="97" t="n"/>
      <c r="I534" s="95" t="n"/>
      <c r="J534" s="56" t="n"/>
      <c r="K534" s="57" t="n"/>
      <c r="L534" s="94" t="n"/>
      <c r="M534" s="95" t="n"/>
      <c r="N534" s="95" t="n"/>
      <c r="O534" s="95" t="n"/>
      <c r="P534" s="96" t="n"/>
    </row>
    <row r="535" ht="33" customFormat="1" customHeight="1" s="1">
      <c r="A535" s="53" t="n"/>
      <c r="B535" s="97" t="n"/>
      <c r="C535" s="97" t="n"/>
      <c r="D535" s="97" t="n"/>
      <c r="E535" s="95" t="n"/>
      <c r="F535" s="17" t="n"/>
      <c r="G535" s="97" t="n"/>
      <c r="H535" s="97" t="n"/>
      <c r="I535" s="95" t="n"/>
      <c r="J535" s="56" t="n"/>
      <c r="K535" s="57" t="n"/>
      <c r="L535" s="94" t="n"/>
      <c r="M535" s="95" t="n"/>
      <c r="N535" s="95" t="n"/>
      <c r="O535" s="95" t="n"/>
      <c r="P535" s="96" t="n"/>
    </row>
    <row r="536" ht="33" customFormat="1" customHeight="1" s="1">
      <c r="A536" s="53" t="n"/>
      <c r="B536" s="97" t="n"/>
      <c r="C536" s="97" t="n"/>
      <c r="D536" s="97" t="n"/>
      <c r="E536" s="95" t="n"/>
      <c r="F536" s="17" t="n"/>
      <c r="G536" s="97" t="n"/>
      <c r="H536" s="97" t="n"/>
      <c r="I536" s="95" t="n"/>
      <c r="J536" s="56" t="n"/>
      <c r="K536" s="57" t="n"/>
      <c r="L536" s="94" t="n"/>
      <c r="M536" s="95" t="n"/>
      <c r="N536" s="95" t="n"/>
      <c r="O536" s="95" t="n"/>
      <c r="P536" s="96" t="n"/>
    </row>
    <row r="537" ht="33" customFormat="1" customHeight="1" s="1">
      <c r="A537" s="53" t="n"/>
      <c r="B537" s="97" t="n"/>
      <c r="C537" s="97" t="n"/>
      <c r="D537" s="97" t="n"/>
      <c r="E537" s="95" t="n"/>
      <c r="F537" s="17" t="n"/>
      <c r="G537" s="97" t="n"/>
      <c r="H537" s="97" t="n"/>
      <c r="I537" s="95" t="n"/>
      <c r="J537" s="56" t="n"/>
      <c r="K537" s="57" t="n"/>
      <c r="L537" s="94" t="n"/>
      <c r="M537" s="95" t="n"/>
      <c r="N537" s="95" t="n"/>
      <c r="O537" s="95" t="n"/>
      <c r="P537" s="96" t="n"/>
    </row>
    <row r="538" ht="33" customFormat="1" customHeight="1" s="1">
      <c r="A538" s="53" t="n"/>
      <c r="B538" s="97" t="n"/>
      <c r="C538" s="97" t="n"/>
      <c r="D538" s="97" t="n"/>
      <c r="E538" s="95" t="n"/>
      <c r="F538" s="17" t="n"/>
      <c r="G538" s="97" t="n"/>
      <c r="H538" s="97" t="n"/>
      <c r="I538" s="95" t="n"/>
      <c r="J538" s="56" t="n"/>
      <c r="K538" s="57" t="n"/>
      <c r="L538" s="94" t="n"/>
      <c r="M538" s="95" t="n"/>
      <c r="N538" s="95" t="n"/>
      <c r="O538" s="95" t="n"/>
      <c r="P538" s="96" t="n"/>
    </row>
    <row r="539" ht="33" customFormat="1" customHeight="1" s="1">
      <c r="A539" s="53" t="n"/>
      <c r="B539" s="97" t="n"/>
      <c r="C539" s="97" t="n"/>
      <c r="D539" s="97" t="n"/>
      <c r="E539" s="95" t="n"/>
      <c r="F539" s="17" t="n"/>
      <c r="G539" s="97" t="n"/>
      <c r="H539" s="97" t="n"/>
      <c r="I539" s="95" t="n"/>
      <c r="J539" s="56" t="n"/>
      <c r="K539" s="57" t="n"/>
      <c r="L539" s="94" t="n"/>
      <c r="M539" s="95" t="n"/>
      <c r="N539" s="95" t="n"/>
      <c r="O539" s="95" t="n"/>
      <c r="P539" s="96" t="n"/>
    </row>
    <row r="540" ht="33" customFormat="1" customHeight="1" s="1">
      <c r="A540" s="53" t="n"/>
      <c r="B540" s="97" t="n"/>
      <c r="C540" s="97" t="n"/>
      <c r="D540" s="97" t="n"/>
      <c r="E540" s="95" t="n"/>
      <c r="F540" s="17" t="n"/>
      <c r="G540" s="97" t="n"/>
      <c r="H540" s="97" t="n"/>
      <c r="I540" s="95" t="n"/>
      <c r="J540" s="56" t="n"/>
      <c r="K540" s="57" t="n"/>
      <c r="L540" s="94" t="n"/>
      <c r="M540" s="95" t="n"/>
      <c r="N540" s="95" t="n"/>
      <c r="O540" s="95" t="n"/>
      <c r="P540" s="96" t="n"/>
    </row>
    <row r="541" ht="33" customFormat="1" customHeight="1" s="1">
      <c r="A541" s="53" t="n"/>
      <c r="B541" s="97" t="n"/>
      <c r="C541" s="97" t="n"/>
      <c r="D541" s="97" t="n"/>
      <c r="E541" s="95" t="n"/>
      <c r="F541" s="17" t="n"/>
      <c r="G541" s="97" t="n"/>
      <c r="H541" s="97" t="n"/>
      <c r="I541" s="95" t="n"/>
      <c r="J541" s="56" t="n"/>
      <c r="K541" s="57" t="n"/>
      <c r="L541" s="94" t="n"/>
      <c r="M541" s="95" t="n"/>
      <c r="N541" s="95" t="n"/>
      <c r="O541" s="95" t="n"/>
      <c r="P541" s="96" t="n"/>
    </row>
    <row r="542" ht="33" customFormat="1" customHeight="1" s="1">
      <c r="A542" s="53" t="n"/>
      <c r="B542" s="97" t="n"/>
      <c r="C542" s="97" t="n"/>
      <c r="D542" s="97" t="n"/>
      <c r="E542" s="95" t="n"/>
      <c r="F542" s="17" t="n"/>
      <c r="G542" s="97" t="n"/>
      <c r="H542" s="97" t="n"/>
      <c r="I542" s="95" t="n"/>
      <c r="J542" s="56" t="n"/>
      <c r="K542" s="57" t="n"/>
      <c r="L542" s="94" t="n"/>
      <c r="M542" s="95" t="n"/>
      <c r="N542" s="95" t="n"/>
      <c r="O542" s="95" t="n"/>
      <c r="P542" s="96" t="n"/>
    </row>
    <row r="543" ht="33" customFormat="1" customHeight="1" s="1">
      <c r="A543" s="53" t="n"/>
      <c r="B543" s="97" t="n"/>
      <c r="C543" s="97" t="n"/>
      <c r="D543" s="97" t="n"/>
      <c r="E543" s="95" t="n"/>
      <c r="F543" s="17" t="n"/>
      <c r="G543" s="97" t="n"/>
      <c r="H543" s="97" t="n"/>
      <c r="I543" s="95" t="n"/>
      <c r="J543" s="56" t="n"/>
      <c r="K543" s="57" t="n"/>
      <c r="L543" s="94" t="n"/>
      <c r="M543" s="95" t="n"/>
      <c r="N543" s="95" t="n"/>
      <c r="O543" s="95" t="n"/>
      <c r="P543" s="96" t="n"/>
    </row>
    <row r="544" ht="33" customFormat="1" customHeight="1" s="1">
      <c r="A544" s="53" t="n"/>
      <c r="B544" s="97" t="n"/>
      <c r="C544" s="97" t="n"/>
      <c r="D544" s="97" t="n"/>
      <c r="E544" s="95" t="n"/>
      <c r="F544" s="17" t="n"/>
      <c r="G544" s="97" t="n"/>
      <c r="H544" s="97" t="n"/>
      <c r="I544" s="95" t="n"/>
      <c r="J544" s="56" t="n"/>
      <c r="K544" s="57" t="n"/>
      <c r="L544" s="94" t="n"/>
      <c r="M544" s="95" t="n"/>
      <c r="N544" s="95" t="n"/>
      <c r="O544" s="95" t="n"/>
      <c r="P544" s="96" t="n"/>
    </row>
    <row r="545" ht="33" customFormat="1" customHeight="1" s="1">
      <c r="A545" s="53" t="n"/>
      <c r="B545" s="97" t="n"/>
      <c r="C545" s="97" t="n"/>
      <c r="D545" s="97" t="n"/>
      <c r="E545" s="95" t="n"/>
      <c r="F545" s="17" t="n"/>
      <c r="G545" s="97" t="n"/>
      <c r="H545" s="97" t="n"/>
      <c r="I545" s="95" t="n"/>
      <c r="J545" s="56" t="n"/>
      <c r="K545" s="57" t="n"/>
      <c r="L545" s="94" t="n"/>
      <c r="M545" s="95" t="n"/>
      <c r="N545" s="95" t="n"/>
      <c r="O545" s="95" t="n"/>
      <c r="P545" s="96" t="n"/>
    </row>
    <row r="546" ht="33" customFormat="1" customHeight="1" s="1">
      <c r="A546" s="53" t="n"/>
      <c r="B546" s="97" t="n"/>
      <c r="C546" s="97" t="n"/>
      <c r="D546" s="97" t="n"/>
      <c r="E546" s="95" t="n"/>
      <c r="F546" s="17" t="n"/>
      <c r="G546" s="97" t="n"/>
      <c r="H546" s="97" t="n"/>
      <c r="I546" s="95" t="n"/>
      <c r="J546" s="56" t="n"/>
      <c r="K546" s="57" t="n"/>
      <c r="L546" s="94" t="n"/>
      <c r="M546" s="95" t="n"/>
      <c r="N546" s="95" t="n"/>
      <c r="O546" s="95" t="n"/>
      <c r="P546" s="96" t="n"/>
    </row>
    <row r="547" ht="33" customFormat="1" customHeight="1" s="1">
      <c r="A547" s="53" t="n"/>
      <c r="B547" s="97" t="n"/>
      <c r="C547" s="97" t="n"/>
      <c r="D547" s="97" t="n"/>
      <c r="E547" s="95" t="n"/>
      <c r="F547" s="17" t="n"/>
      <c r="G547" s="97" t="n"/>
      <c r="H547" s="97" t="n"/>
      <c r="I547" s="95" t="n"/>
      <c r="J547" s="56" t="n"/>
      <c r="K547" s="57" t="n"/>
      <c r="L547" s="94" t="n"/>
      <c r="M547" s="95" t="n"/>
      <c r="N547" s="95" t="n"/>
      <c r="O547" s="95" t="n"/>
      <c r="P547" s="96" t="n"/>
    </row>
    <row r="548" ht="33" customFormat="1" customHeight="1" s="1">
      <c r="A548" s="53" t="n"/>
      <c r="B548" s="97" t="n"/>
      <c r="C548" s="97" t="n"/>
      <c r="D548" s="97" t="n"/>
      <c r="E548" s="95" t="n"/>
      <c r="F548" s="17" t="n"/>
      <c r="G548" s="97" t="n"/>
      <c r="H548" s="97" t="n"/>
      <c r="I548" s="95" t="n"/>
      <c r="J548" s="56" t="n"/>
      <c r="K548" s="57" t="n"/>
      <c r="L548" s="94" t="n"/>
      <c r="M548" s="95" t="n"/>
      <c r="N548" s="95" t="n"/>
      <c r="O548" s="95" t="n"/>
      <c r="P548" s="96" t="n"/>
    </row>
    <row r="549" ht="33" customFormat="1" customHeight="1" s="1">
      <c r="A549" s="53" t="n"/>
      <c r="B549" s="97" t="n"/>
      <c r="C549" s="97" t="n"/>
      <c r="D549" s="97" t="n"/>
      <c r="E549" s="95" t="n"/>
      <c r="F549" s="17" t="n"/>
      <c r="G549" s="97" t="n"/>
      <c r="H549" s="97" t="n"/>
      <c r="I549" s="95" t="n"/>
      <c r="J549" s="56" t="n"/>
      <c r="K549" s="57" t="n"/>
      <c r="L549" s="94" t="n"/>
      <c r="M549" s="95" t="n"/>
      <c r="N549" s="95" t="n"/>
      <c r="O549" s="95" t="n"/>
      <c r="P549" s="96" t="n"/>
    </row>
    <row r="550" ht="33" customFormat="1" customHeight="1" s="1">
      <c r="A550" s="53" t="n"/>
      <c r="B550" s="97" t="n"/>
      <c r="C550" s="97" t="n"/>
      <c r="D550" s="97" t="n"/>
      <c r="E550" s="95" t="n"/>
      <c r="F550" s="17" t="n"/>
      <c r="G550" s="97" t="n"/>
      <c r="H550" s="97" t="n"/>
      <c r="I550" s="95" t="n"/>
      <c r="J550" s="56" t="n"/>
      <c r="K550" s="57" t="n"/>
      <c r="L550" s="94" t="n"/>
      <c r="M550" s="95" t="n"/>
      <c r="N550" s="95" t="n"/>
      <c r="O550" s="95" t="n"/>
      <c r="P550" s="96" t="n"/>
    </row>
    <row r="551" ht="33" customFormat="1" customHeight="1" s="1">
      <c r="A551" s="53" t="n"/>
      <c r="B551" s="97" t="n"/>
      <c r="C551" s="97" t="n"/>
      <c r="D551" s="97" t="n"/>
      <c r="E551" s="95" t="n"/>
      <c r="F551" s="17" t="n"/>
      <c r="G551" s="97" t="n"/>
      <c r="H551" s="97" t="n"/>
      <c r="I551" s="95" t="n"/>
      <c r="J551" s="56" t="n"/>
      <c r="K551" s="57" t="n"/>
      <c r="L551" s="94" t="n"/>
      <c r="M551" s="95" t="n"/>
      <c r="N551" s="95" t="n"/>
      <c r="O551" s="95" t="n"/>
      <c r="P551" s="96" t="n"/>
    </row>
    <row r="552" ht="33" customFormat="1" customHeight="1" s="1">
      <c r="A552" s="53" t="n"/>
      <c r="B552" s="97" t="n"/>
      <c r="C552" s="97" t="n"/>
      <c r="D552" s="97" t="n"/>
      <c r="E552" s="95" t="n"/>
      <c r="F552" s="17" t="n"/>
      <c r="G552" s="97" t="n"/>
      <c r="H552" s="97" t="n"/>
      <c r="I552" s="95" t="n"/>
      <c r="J552" s="56" t="n"/>
      <c r="K552" s="57" t="n"/>
      <c r="L552" s="94" t="n"/>
      <c r="M552" s="95" t="n"/>
      <c r="N552" s="95" t="n"/>
      <c r="O552" s="95" t="n"/>
      <c r="P552" s="96" t="n"/>
    </row>
    <row r="553" ht="33" customFormat="1" customHeight="1" s="1">
      <c r="A553" s="53" t="n"/>
      <c r="B553" s="97" t="n"/>
      <c r="C553" s="97" t="n"/>
      <c r="D553" s="97" t="n"/>
      <c r="E553" s="95" t="n"/>
      <c r="F553" s="17" t="n"/>
      <c r="G553" s="97" t="n"/>
      <c r="H553" s="97" t="n"/>
      <c r="I553" s="95" t="n"/>
      <c r="J553" s="56" t="n"/>
      <c r="K553" s="57" t="n"/>
      <c r="L553" s="94" t="n"/>
      <c r="M553" s="95" t="n"/>
      <c r="N553" s="95" t="n"/>
      <c r="O553" s="95" t="n"/>
      <c r="P553" s="96" t="n"/>
    </row>
    <row r="554" ht="33" customFormat="1" customHeight="1" s="1">
      <c r="A554" s="53" t="n"/>
      <c r="B554" s="97" t="n"/>
      <c r="C554" s="97" t="n"/>
      <c r="D554" s="97" t="n"/>
      <c r="E554" s="95" t="n"/>
      <c r="F554" s="17" t="n"/>
      <c r="G554" s="97" t="n"/>
      <c r="H554" s="97" t="n"/>
      <c r="I554" s="95" t="n"/>
      <c r="J554" s="56" t="n"/>
      <c r="K554" s="57" t="n"/>
      <c r="L554" s="94" t="n"/>
      <c r="M554" s="95" t="n"/>
      <c r="N554" s="95" t="n"/>
      <c r="O554" s="95" t="n"/>
      <c r="P554" s="96" t="n"/>
    </row>
    <row r="555" ht="33" customFormat="1" customHeight="1" s="1">
      <c r="A555" s="53" t="n"/>
      <c r="B555" s="97" t="n"/>
      <c r="C555" s="97" t="n"/>
      <c r="D555" s="97" t="n"/>
      <c r="E555" s="95" t="n"/>
      <c r="F555" s="17" t="n"/>
      <c r="G555" s="97" t="n"/>
      <c r="H555" s="97" t="n"/>
      <c r="I555" s="95" t="n"/>
      <c r="J555" s="56" t="n"/>
      <c r="K555" s="57" t="n"/>
      <c r="L555" s="94" t="n"/>
      <c r="M555" s="95" t="n"/>
      <c r="N555" s="95" t="n"/>
      <c r="O555" s="95" t="n"/>
      <c r="P555" s="96" t="n"/>
    </row>
    <row r="556" ht="33" customFormat="1" customHeight="1" s="1">
      <c r="A556" s="53" t="n"/>
      <c r="B556" s="97" t="n"/>
      <c r="C556" s="97" t="n"/>
      <c r="D556" s="97" t="n"/>
      <c r="E556" s="95" t="n"/>
      <c r="F556" s="17" t="n"/>
      <c r="G556" s="97" t="n"/>
      <c r="H556" s="97" t="n"/>
      <c r="I556" s="95" t="n"/>
      <c r="J556" s="56" t="n"/>
      <c r="K556" s="57" t="n"/>
      <c r="L556" s="94" t="n"/>
      <c r="M556" s="95" t="n"/>
      <c r="N556" s="95" t="n"/>
      <c r="O556" s="95" t="n"/>
      <c r="P556" s="96" t="n"/>
    </row>
    <row r="557" ht="33" customFormat="1" customHeight="1" s="1">
      <c r="A557" s="53" t="n"/>
      <c r="B557" s="97" t="n"/>
      <c r="C557" s="97" t="n"/>
      <c r="D557" s="97" t="n"/>
      <c r="E557" s="95" t="n"/>
      <c r="F557" s="17" t="n"/>
      <c r="G557" s="97" t="n"/>
      <c r="H557" s="97" t="n"/>
      <c r="I557" s="95" t="n"/>
      <c r="J557" s="56" t="n"/>
      <c r="K557" s="57" t="n"/>
      <c r="L557" s="94" t="n"/>
      <c r="M557" s="95" t="n"/>
      <c r="N557" s="95" t="n"/>
      <c r="O557" s="95" t="n"/>
      <c r="P557" s="96" t="n"/>
    </row>
    <row r="558" ht="33" customFormat="1" customHeight="1" s="1">
      <c r="A558" s="53" t="n"/>
      <c r="B558" s="97" t="n"/>
      <c r="C558" s="97" t="n"/>
      <c r="D558" s="97" t="n"/>
      <c r="E558" s="95" t="n"/>
      <c r="F558" s="17" t="n"/>
      <c r="G558" s="97" t="n"/>
      <c r="H558" s="97" t="n"/>
      <c r="I558" s="95" t="n"/>
      <c r="J558" s="56" t="n"/>
      <c r="K558" s="57" t="n"/>
      <c r="L558" s="94" t="n"/>
      <c r="M558" s="95" t="n"/>
      <c r="N558" s="95" t="n"/>
      <c r="O558" s="95" t="n"/>
      <c r="P558" s="96" t="n"/>
    </row>
    <row r="559" ht="33" customFormat="1" customHeight="1" s="1">
      <c r="A559" s="53" t="n"/>
      <c r="B559" s="97" t="n"/>
      <c r="C559" s="97" t="n"/>
      <c r="D559" s="97" t="n"/>
      <c r="E559" s="95" t="n"/>
      <c r="F559" s="17" t="n"/>
      <c r="G559" s="97" t="n"/>
      <c r="H559" s="97" t="n"/>
      <c r="I559" s="95" t="n"/>
      <c r="J559" s="56" t="n"/>
      <c r="K559" s="57" t="n"/>
      <c r="L559" s="94" t="n"/>
      <c r="M559" s="95" t="n"/>
      <c r="N559" s="95" t="n"/>
      <c r="O559" s="95" t="n"/>
      <c r="P559" s="96" t="n"/>
    </row>
    <row r="560" ht="33" customFormat="1" customHeight="1" s="1">
      <c r="A560" s="53" t="n"/>
      <c r="B560" s="97" t="n"/>
      <c r="C560" s="97" t="n"/>
      <c r="D560" s="97" t="n"/>
      <c r="E560" s="95" t="n"/>
      <c r="F560" s="17" t="n"/>
      <c r="G560" s="97" t="n"/>
      <c r="H560" s="97" t="n"/>
      <c r="I560" s="95" t="n"/>
      <c r="J560" s="56" t="n"/>
      <c r="K560" s="57" t="n"/>
      <c r="L560" s="94" t="n"/>
      <c r="M560" s="95" t="n"/>
      <c r="N560" s="95" t="n"/>
      <c r="O560" s="95" t="n"/>
      <c r="P560" s="96" t="n"/>
    </row>
    <row r="561" ht="33" customFormat="1" customHeight="1" s="1">
      <c r="A561" s="53" t="n"/>
      <c r="B561" s="97" t="n"/>
      <c r="C561" s="97" t="n"/>
      <c r="D561" s="97" t="n"/>
      <c r="E561" s="95" t="n"/>
      <c r="F561" s="17" t="n"/>
      <c r="G561" s="97" t="n"/>
      <c r="H561" s="97" t="n"/>
      <c r="I561" s="95" t="n"/>
      <c r="J561" s="56" t="n"/>
      <c r="K561" s="57" t="n"/>
      <c r="L561" s="94" t="n"/>
      <c r="M561" s="95" t="n"/>
      <c r="N561" s="95" t="n"/>
      <c r="O561" s="95" t="n"/>
      <c r="P561" s="96" t="n"/>
    </row>
    <row r="562" ht="33" customFormat="1" customHeight="1" s="1">
      <c r="A562" s="53" t="n"/>
      <c r="B562" s="97" t="n"/>
      <c r="C562" s="97" t="n"/>
      <c r="D562" s="97" t="n"/>
      <c r="E562" s="95" t="n"/>
      <c r="F562" s="17" t="n"/>
      <c r="G562" s="97" t="n"/>
      <c r="H562" s="97" t="n"/>
      <c r="I562" s="95" t="n"/>
      <c r="J562" s="56" t="n"/>
      <c r="K562" s="57" t="n"/>
      <c r="L562" s="94" t="n"/>
      <c r="M562" s="95" t="n"/>
      <c r="N562" s="95" t="n"/>
      <c r="O562" s="95" t="n"/>
      <c r="P562" s="96" t="n"/>
    </row>
    <row r="563" ht="33" customFormat="1" customHeight="1" s="1">
      <c r="A563" s="53" t="n"/>
      <c r="B563" s="97" t="n"/>
      <c r="C563" s="97" t="n"/>
      <c r="D563" s="97" t="n"/>
      <c r="E563" s="95" t="n"/>
      <c r="F563" s="17" t="n"/>
      <c r="G563" s="97" t="n"/>
      <c r="H563" s="97" t="n"/>
      <c r="I563" s="95" t="n"/>
      <c r="J563" s="56" t="n"/>
      <c r="K563" s="57" t="n"/>
      <c r="L563" s="94" t="n"/>
      <c r="M563" s="95" t="n"/>
      <c r="N563" s="95" t="n"/>
      <c r="O563" s="95" t="n"/>
      <c r="P563" s="96" t="n"/>
    </row>
    <row r="564" ht="33" customFormat="1" customHeight="1" s="1">
      <c r="A564" s="53" t="n"/>
      <c r="B564" s="97" t="n"/>
      <c r="C564" s="97" t="n"/>
      <c r="D564" s="97" t="n"/>
      <c r="E564" s="95" t="n"/>
      <c r="F564" s="17" t="n"/>
      <c r="G564" s="97" t="n"/>
      <c r="H564" s="97" t="n"/>
      <c r="I564" s="95" t="n"/>
      <c r="J564" s="56" t="n"/>
      <c r="K564" s="57" t="n"/>
      <c r="L564" s="94" t="n"/>
      <c r="M564" s="95" t="n"/>
      <c r="N564" s="95" t="n"/>
      <c r="O564" s="95" t="n"/>
      <c r="P564" s="96" t="n"/>
    </row>
    <row r="565" ht="33" customFormat="1" customHeight="1" s="1">
      <c r="A565" s="53" t="n"/>
      <c r="B565" s="97" t="n"/>
      <c r="C565" s="97" t="n"/>
      <c r="D565" s="97" t="n"/>
      <c r="E565" s="95" t="n"/>
      <c r="F565" s="17" t="n"/>
      <c r="G565" s="97" t="n"/>
      <c r="H565" s="97" t="n"/>
      <c r="I565" s="95" t="n"/>
      <c r="J565" s="56" t="n"/>
      <c r="K565" s="57" t="n"/>
      <c r="L565" s="94" t="n"/>
      <c r="M565" s="95" t="n"/>
      <c r="N565" s="95" t="n"/>
      <c r="O565" s="95" t="n"/>
      <c r="P565" s="96" t="n"/>
    </row>
    <row r="566" ht="33" customFormat="1" customHeight="1" s="1">
      <c r="A566" s="53" t="n"/>
      <c r="B566" s="97" t="n"/>
      <c r="C566" s="97" t="n"/>
      <c r="D566" s="97" t="n"/>
      <c r="E566" s="95" t="n"/>
      <c r="F566" s="17" t="n"/>
      <c r="G566" s="97" t="n"/>
      <c r="H566" s="97" t="n"/>
      <c r="I566" s="95" t="n"/>
      <c r="J566" s="56" t="n"/>
      <c r="K566" s="57" t="n"/>
      <c r="L566" s="94" t="n"/>
      <c r="M566" s="95" t="n"/>
      <c r="N566" s="95" t="n"/>
      <c r="O566" s="95" t="n"/>
      <c r="P566" s="96" t="n"/>
    </row>
    <row r="567" ht="33" customFormat="1" customHeight="1" s="1">
      <c r="A567" s="53" t="n"/>
      <c r="B567" s="97" t="n"/>
      <c r="C567" s="97" t="n"/>
      <c r="D567" s="97" t="n"/>
      <c r="E567" s="95" t="n"/>
      <c r="F567" s="17" t="n"/>
      <c r="G567" s="97" t="n"/>
      <c r="H567" s="97" t="n"/>
      <c r="I567" s="95" t="n"/>
      <c r="J567" s="56" t="n"/>
      <c r="K567" s="57" t="n"/>
      <c r="L567" s="94" t="n"/>
      <c r="M567" s="95" t="n"/>
      <c r="N567" s="95" t="n"/>
      <c r="O567" s="95" t="n"/>
      <c r="P567" s="96" t="n"/>
    </row>
    <row r="568" ht="33" customFormat="1" customHeight="1" s="1">
      <c r="A568" s="53" t="n"/>
      <c r="B568" s="97" t="n"/>
      <c r="C568" s="97" t="n"/>
      <c r="D568" s="97" t="n"/>
      <c r="E568" s="95" t="n"/>
      <c r="F568" s="17" t="n"/>
      <c r="G568" s="97" t="n"/>
      <c r="H568" s="97" t="n"/>
      <c r="I568" s="95" t="n"/>
      <c r="J568" s="56" t="n"/>
      <c r="K568" s="57" t="n"/>
      <c r="L568" s="94" t="n"/>
      <c r="M568" s="95" t="n"/>
      <c r="N568" s="95" t="n"/>
      <c r="O568" s="95" t="n"/>
      <c r="P568" s="96" t="n"/>
    </row>
    <row r="569" ht="33" customFormat="1" customHeight="1" s="1">
      <c r="A569" s="53" t="n"/>
      <c r="B569" s="97" t="n"/>
      <c r="C569" s="97" t="n"/>
      <c r="D569" s="97" t="n"/>
      <c r="E569" s="95" t="n"/>
      <c r="F569" s="17" t="n"/>
      <c r="G569" s="97" t="n"/>
      <c r="H569" s="97" t="n"/>
      <c r="I569" s="95" t="n"/>
      <c r="J569" s="56" t="n"/>
      <c r="K569" s="57" t="n"/>
      <c r="L569" s="94" t="n"/>
      <c r="M569" s="95" t="n"/>
      <c r="N569" s="95" t="n"/>
      <c r="O569" s="95" t="n"/>
      <c r="P569" s="96" t="n"/>
    </row>
    <row r="570" ht="33" customFormat="1" customHeight="1" s="1">
      <c r="A570" s="53" t="n"/>
      <c r="B570" s="97" t="n"/>
      <c r="C570" s="97" t="n"/>
      <c r="D570" s="97" t="n"/>
      <c r="E570" s="95" t="n"/>
      <c r="F570" s="17" t="n"/>
      <c r="G570" s="97" t="n"/>
      <c r="H570" s="97" t="n"/>
      <c r="I570" s="95" t="n"/>
      <c r="J570" s="56" t="n"/>
      <c r="K570" s="57" t="n"/>
      <c r="L570" s="94" t="n"/>
      <c r="M570" s="95" t="n"/>
      <c r="N570" s="95" t="n"/>
      <c r="O570" s="95" t="n"/>
      <c r="P570" s="96" t="n"/>
    </row>
    <row r="571" ht="33" customFormat="1" customHeight="1" s="1">
      <c r="A571" s="53" t="n"/>
      <c r="B571" s="97" t="n"/>
      <c r="C571" s="97" t="n"/>
      <c r="D571" s="97" t="n"/>
      <c r="E571" s="95" t="n"/>
      <c r="F571" s="17" t="n"/>
      <c r="G571" s="97" t="n"/>
      <c r="H571" s="97" t="n"/>
      <c r="I571" s="95" t="n"/>
      <c r="J571" s="56" t="n"/>
      <c r="K571" s="57" t="n"/>
      <c r="L571" s="94" t="n"/>
      <c r="M571" s="95" t="n"/>
      <c r="N571" s="95" t="n"/>
      <c r="O571" s="95" t="n"/>
      <c r="P571" s="96" t="n"/>
    </row>
    <row r="572" ht="33" customFormat="1" customHeight="1" s="1">
      <c r="A572" s="53" t="n"/>
      <c r="B572" s="97" t="n"/>
      <c r="C572" s="97" t="n"/>
      <c r="D572" s="97" t="n"/>
      <c r="E572" s="95" t="n"/>
      <c r="F572" s="17" t="n"/>
      <c r="G572" s="97" t="n"/>
      <c r="H572" s="97" t="n"/>
      <c r="I572" s="95" t="n"/>
      <c r="J572" s="56" t="n"/>
      <c r="K572" s="57" t="n"/>
      <c r="L572" s="94" t="n"/>
      <c r="M572" s="95" t="n"/>
      <c r="N572" s="95" t="n"/>
      <c r="O572" s="95" t="n"/>
      <c r="P572" s="96" t="n"/>
    </row>
    <row r="573" ht="33" customFormat="1" customHeight="1" s="1">
      <c r="A573" s="53" t="n"/>
      <c r="B573" s="97" t="n"/>
      <c r="C573" s="97" t="n"/>
      <c r="D573" s="97" t="n"/>
      <c r="E573" s="95" t="n"/>
      <c r="F573" s="17" t="n"/>
      <c r="G573" s="97" t="n"/>
      <c r="H573" s="97" t="n"/>
      <c r="I573" s="95" t="n"/>
      <c r="J573" s="56" t="n"/>
      <c r="K573" s="57" t="n"/>
      <c r="L573" s="94" t="n"/>
      <c r="M573" s="95" t="n"/>
      <c r="N573" s="95" t="n"/>
      <c r="O573" s="95" t="n"/>
      <c r="P573" s="96" t="n"/>
    </row>
    <row r="574" ht="33" customFormat="1" customHeight="1" s="1">
      <c r="A574" s="53" t="n"/>
      <c r="B574" s="97" t="n"/>
      <c r="C574" s="97" t="n"/>
      <c r="D574" s="97" t="n"/>
      <c r="E574" s="95" t="n"/>
      <c r="F574" s="17" t="n"/>
      <c r="G574" s="97" t="n"/>
      <c r="H574" s="97" t="n"/>
      <c r="I574" s="95" t="n"/>
      <c r="J574" s="56" t="n"/>
      <c r="K574" s="57" t="n"/>
      <c r="L574" s="94" t="n"/>
      <c r="M574" s="95" t="n"/>
      <c r="N574" s="95" t="n"/>
      <c r="O574" s="95" t="n"/>
      <c r="P574" s="96" t="n"/>
    </row>
    <row r="575" ht="33" customFormat="1" customHeight="1" s="1">
      <c r="A575" s="53" t="n"/>
      <c r="B575" s="97" t="n"/>
      <c r="C575" s="97" t="n"/>
      <c r="D575" s="97" t="n"/>
      <c r="E575" s="95" t="n"/>
      <c r="F575" s="17" t="n"/>
      <c r="G575" s="97" t="n"/>
      <c r="H575" s="97" t="n"/>
      <c r="I575" s="95" t="n"/>
      <c r="J575" s="56" t="n"/>
      <c r="K575" s="57" t="n"/>
      <c r="L575" s="94" t="n"/>
      <c r="M575" s="95" t="n"/>
      <c r="N575" s="95" t="n"/>
      <c r="O575" s="95" t="n"/>
      <c r="P575" s="96" t="n"/>
    </row>
    <row r="576" ht="33" customFormat="1" customHeight="1" s="1">
      <c r="A576" s="53" t="n"/>
      <c r="B576" s="97" t="n"/>
      <c r="C576" s="97" t="n"/>
      <c r="D576" s="97" t="n"/>
      <c r="E576" s="95" t="n"/>
      <c r="F576" s="17" t="n"/>
      <c r="G576" s="97" t="n"/>
      <c r="H576" s="97" t="n"/>
      <c r="I576" s="95" t="n"/>
      <c r="J576" s="56" t="n"/>
      <c r="K576" s="57" t="n"/>
      <c r="L576" s="94" t="n"/>
      <c r="M576" s="95" t="n"/>
      <c r="N576" s="95" t="n"/>
      <c r="O576" s="95" t="n"/>
      <c r="P576" s="96" t="n"/>
    </row>
    <row r="577" ht="33" customFormat="1" customHeight="1" s="1">
      <c r="A577" s="53" t="n"/>
      <c r="B577" s="97" t="n"/>
      <c r="C577" s="97" t="n"/>
      <c r="D577" s="97" t="n"/>
      <c r="E577" s="95" t="n"/>
      <c r="F577" s="17" t="n"/>
      <c r="G577" s="97" t="n"/>
      <c r="H577" s="97" t="n"/>
      <c r="I577" s="95" t="n"/>
      <c r="J577" s="56" t="n"/>
      <c r="K577" s="57" t="n"/>
      <c r="L577" s="94" t="n"/>
      <c r="M577" s="95" t="n"/>
      <c r="N577" s="95" t="n"/>
      <c r="O577" s="95" t="n"/>
      <c r="P577" s="96" t="n"/>
    </row>
    <row r="578" ht="33" customFormat="1" customHeight="1" s="1">
      <c r="A578" s="53" t="n"/>
      <c r="B578" s="97" t="n"/>
      <c r="C578" s="97" t="n"/>
      <c r="D578" s="97" t="n"/>
      <c r="E578" s="95" t="n"/>
      <c r="F578" s="17" t="n"/>
      <c r="G578" s="97" t="n"/>
      <c r="H578" s="97" t="n"/>
      <c r="I578" s="95" t="n"/>
      <c r="J578" s="56" t="n"/>
      <c r="K578" s="57" t="n"/>
      <c r="L578" s="94" t="n"/>
      <c r="M578" s="95" t="n"/>
      <c r="N578" s="95" t="n"/>
      <c r="O578" s="95" t="n"/>
      <c r="P578" s="96" t="n"/>
    </row>
    <row r="579" ht="33" customFormat="1" customHeight="1" s="1">
      <c r="A579" s="53" t="n"/>
      <c r="B579" s="97" t="n"/>
      <c r="C579" s="97" t="n"/>
      <c r="D579" s="97" t="n"/>
      <c r="E579" s="95" t="n"/>
      <c r="F579" s="17" t="n"/>
      <c r="G579" s="97" t="n"/>
      <c r="H579" s="97" t="n"/>
      <c r="I579" s="95" t="n"/>
      <c r="J579" s="56" t="n"/>
      <c r="K579" s="57" t="n"/>
      <c r="L579" s="94" t="n"/>
      <c r="M579" s="95" t="n"/>
      <c r="N579" s="95" t="n"/>
      <c r="O579" s="95" t="n"/>
      <c r="P579" s="96" t="n"/>
    </row>
    <row r="580" ht="33" customFormat="1" customHeight="1" s="1">
      <c r="A580" s="53" t="n"/>
      <c r="B580" s="97" t="n"/>
      <c r="C580" s="97" t="n"/>
      <c r="D580" s="97" t="n"/>
      <c r="E580" s="95" t="n"/>
      <c r="F580" s="17" t="n"/>
      <c r="G580" s="97" t="n"/>
      <c r="H580" s="97" t="n"/>
      <c r="I580" s="95" t="n"/>
      <c r="J580" s="56" t="n"/>
      <c r="K580" s="57" t="n"/>
      <c r="L580" s="94" t="n"/>
      <c r="M580" s="95" t="n"/>
      <c r="N580" s="95" t="n"/>
      <c r="O580" s="95" t="n"/>
      <c r="P580" s="96" t="n"/>
    </row>
    <row r="581" ht="33" customFormat="1" customHeight="1" s="1">
      <c r="A581" s="53" t="n"/>
      <c r="B581" s="97" t="n"/>
      <c r="C581" s="97" t="n"/>
      <c r="D581" s="97" t="n"/>
      <c r="E581" s="95" t="n"/>
      <c r="F581" s="17" t="n"/>
      <c r="G581" s="97" t="n"/>
      <c r="H581" s="97" t="n"/>
      <c r="I581" s="95" t="n"/>
      <c r="J581" s="56" t="n"/>
      <c r="K581" s="57" t="n"/>
      <c r="L581" s="94" t="n"/>
      <c r="M581" s="95" t="n"/>
      <c r="N581" s="95" t="n"/>
      <c r="O581" s="95" t="n"/>
      <c r="P581" s="96" t="n"/>
    </row>
    <row r="582" ht="33" customFormat="1" customHeight="1" s="1">
      <c r="A582" s="53" t="n"/>
      <c r="B582" s="97" t="n"/>
      <c r="C582" s="97" t="n"/>
      <c r="D582" s="97" t="n"/>
      <c r="E582" s="95" t="n"/>
      <c r="F582" s="17" t="n"/>
      <c r="G582" s="97" t="n"/>
      <c r="H582" s="97" t="n"/>
      <c r="I582" s="95" t="n"/>
      <c r="J582" s="56" t="n"/>
      <c r="K582" s="57" t="n"/>
      <c r="L582" s="94" t="n"/>
      <c r="M582" s="95" t="n"/>
      <c r="N582" s="95" t="n"/>
      <c r="O582" s="95" t="n"/>
      <c r="P582" s="96" t="n"/>
    </row>
    <row r="583" ht="33" customFormat="1" customHeight="1" s="1">
      <c r="A583" s="53" t="n"/>
      <c r="B583" s="97" t="n"/>
      <c r="C583" s="97" t="n"/>
      <c r="D583" s="97" t="n"/>
      <c r="E583" s="95" t="n"/>
      <c r="F583" s="17" t="n"/>
      <c r="G583" s="97" t="n"/>
      <c r="H583" s="97" t="n"/>
      <c r="I583" s="95" t="n"/>
      <c r="J583" s="56" t="n"/>
      <c r="K583" s="57" t="n"/>
      <c r="L583" s="94" t="n"/>
      <c r="M583" s="95" t="n"/>
      <c r="N583" s="95" t="n"/>
      <c r="O583" s="95" t="n"/>
      <c r="P583" s="96" t="n"/>
    </row>
    <row r="584" ht="33" customFormat="1" customHeight="1" s="1">
      <c r="A584" s="53" t="n"/>
      <c r="B584" s="97" t="n"/>
      <c r="C584" s="97" t="n"/>
      <c r="D584" s="97" t="n"/>
      <c r="E584" s="95" t="n"/>
      <c r="F584" s="17" t="n"/>
      <c r="G584" s="97" t="n"/>
      <c r="H584" s="97" t="n"/>
      <c r="I584" s="95" t="n"/>
      <c r="J584" s="56" t="n"/>
      <c r="K584" s="57" t="n"/>
      <c r="L584" s="94" t="n"/>
      <c r="M584" s="95" t="n"/>
      <c r="N584" s="95" t="n"/>
      <c r="O584" s="95" t="n"/>
      <c r="P584" s="96" t="n"/>
    </row>
    <row r="585" ht="33" customFormat="1" customHeight="1" s="1">
      <c r="A585" s="53" t="n"/>
      <c r="B585" s="97" t="n"/>
      <c r="C585" s="97" t="n"/>
      <c r="D585" s="97" t="n"/>
      <c r="E585" s="95" t="n"/>
      <c r="F585" s="17" t="n"/>
      <c r="G585" s="97" t="n"/>
      <c r="H585" s="97" t="n"/>
      <c r="I585" s="95" t="n"/>
      <c r="J585" s="56" t="n"/>
      <c r="K585" s="57" t="n"/>
      <c r="L585" s="94" t="n"/>
      <c r="M585" s="95" t="n"/>
      <c r="N585" s="95" t="n"/>
      <c r="O585" s="95" t="n"/>
      <c r="P585" s="96" t="n"/>
    </row>
    <row r="586" ht="33" customFormat="1" customHeight="1" s="1">
      <c r="A586" s="53" t="n"/>
      <c r="B586" s="97" t="n"/>
      <c r="C586" s="97" t="n"/>
      <c r="D586" s="97" t="n"/>
      <c r="E586" s="95" t="n"/>
      <c r="F586" s="17" t="n"/>
      <c r="G586" s="97" t="n"/>
      <c r="H586" s="97" t="n"/>
      <c r="I586" s="95" t="n"/>
      <c r="J586" s="56" t="n"/>
      <c r="K586" s="57" t="n"/>
      <c r="L586" s="94" t="n"/>
      <c r="M586" s="95" t="n"/>
      <c r="N586" s="95" t="n"/>
      <c r="O586" s="95" t="n"/>
      <c r="P586" s="96" t="n"/>
    </row>
    <row r="587" ht="33" customFormat="1" customHeight="1" s="1">
      <c r="A587" s="53" t="n"/>
      <c r="B587" s="97" t="n"/>
      <c r="C587" s="97" t="n"/>
      <c r="D587" s="97" t="n"/>
      <c r="E587" s="95" t="n"/>
      <c r="F587" s="17" t="n"/>
      <c r="G587" s="97" t="n"/>
      <c r="H587" s="97" t="n"/>
      <c r="I587" s="95" t="n"/>
      <c r="J587" s="56" t="n"/>
      <c r="K587" s="57" t="n"/>
      <c r="L587" s="94" t="n"/>
      <c r="M587" s="95" t="n"/>
      <c r="N587" s="95" t="n"/>
      <c r="O587" s="95" t="n"/>
      <c r="P587" s="96" t="n"/>
    </row>
    <row r="588" ht="33" customFormat="1" customHeight="1" s="1">
      <c r="A588" s="53" t="n"/>
      <c r="B588" s="97" t="n"/>
      <c r="C588" s="97" t="n"/>
      <c r="D588" s="97" t="n"/>
      <c r="E588" s="95" t="n"/>
      <c r="F588" s="17" t="n"/>
      <c r="G588" s="97" t="n"/>
      <c r="H588" s="97" t="n"/>
      <c r="I588" s="95" t="n"/>
      <c r="J588" s="56" t="n"/>
      <c r="K588" s="57" t="n"/>
      <c r="L588" s="94" t="n"/>
      <c r="M588" s="95" t="n"/>
      <c r="N588" s="95" t="n"/>
      <c r="O588" s="95" t="n"/>
      <c r="P588" s="96" t="n"/>
    </row>
    <row r="589" ht="33" customFormat="1" customHeight="1" s="1">
      <c r="A589" s="53" t="n"/>
      <c r="B589" s="97" t="n"/>
      <c r="C589" s="97" t="n"/>
      <c r="D589" s="97" t="n"/>
      <c r="E589" s="95" t="n"/>
      <c r="F589" s="17" t="n"/>
      <c r="G589" s="97" t="n"/>
      <c r="H589" s="97" t="n"/>
      <c r="I589" s="95" t="n"/>
      <c r="J589" s="56" t="n"/>
      <c r="K589" s="57" t="n"/>
      <c r="L589" s="94" t="n"/>
      <c r="M589" s="95" t="n"/>
      <c r="N589" s="95" t="n"/>
      <c r="O589" s="95" t="n"/>
      <c r="P589" s="96" t="n"/>
    </row>
    <row r="590" ht="33" customFormat="1" customHeight="1" s="1">
      <c r="A590" s="53" t="n"/>
      <c r="B590" s="97" t="n"/>
      <c r="C590" s="97" t="n"/>
      <c r="D590" s="97" t="n"/>
      <c r="E590" s="95" t="n"/>
      <c r="F590" s="17" t="n"/>
      <c r="G590" s="97" t="n"/>
      <c r="H590" s="97" t="n"/>
      <c r="I590" s="95" t="n"/>
      <c r="J590" s="56" t="n"/>
      <c r="K590" s="57" t="n"/>
      <c r="L590" s="94" t="n"/>
      <c r="M590" s="95" t="n"/>
      <c r="N590" s="95" t="n"/>
      <c r="O590" s="95" t="n"/>
      <c r="P590" s="96" t="n"/>
    </row>
    <row r="591" ht="33" customFormat="1" customHeight="1" s="1">
      <c r="A591" s="53" t="n"/>
      <c r="B591" s="97" t="n"/>
      <c r="C591" s="97" t="n"/>
      <c r="D591" s="97" t="n"/>
      <c r="E591" s="95" t="n"/>
      <c r="F591" s="17" t="n"/>
      <c r="G591" s="97" t="n"/>
      <c r="H591" s="97" t="n"/>
      <c r="I591" s="95" t="n"/>
      <c r="J591" s="56" t="n"/>
      <c r="K591" s="57" t="n"/>
      <c r="L591" s="94" t="n"/>
      <c r="M591" s="95" t="n"/>
      <c r="N591" s="95" t="n"/>
      <c r="O591" s="95" t="n"/>
      <c r="P591" s="96" t="n"/>
    </row>
    <row r="592" ht="33" customFormat="1" customHeight="1" s="1">
      <c r="A592" s="53" t="n"/>
      <c r="B592" s="97" t="n"/>
      <c r="C592" s="97" t="n"/>
      <c r="D592" s="97" t="n"/>
      <c r="E592" s="95" t="n"/>
      <c r="F592" s="17" t="n"/>
      <c r="G592" s="97" t="n"/>
      <c r="H592" s="97" t="n"/>
      <c r="I592" s="95" t="n"/>
      <c r="J592" s="56" t="n"/>
      <c r="K592" s="57" t="n"/>
      <c r="L592" s="94" t="n"/>
      <c r="M592" s="95" t="n"/>
      <c r="N592" s="95" t="n"/>
      <c r="O592" s="95" t="n"/>
      <c r="P592" s="96" t="n"/>
    </row>
    <row r="593" ht="33" customFormat="1" customHeight="1" s="1">
      <c r="A593" s="53" t="n"/>
      <c r="B593" s="97" t="n"/>
      <c r="C593" s="97" t="n"/>
      <c r="D593" s="97" t="n"/>
      <c r="E593" s="95" t="n"/>
      <c r="F593" s="17" t="n"/>
      <c r="G593" s="97" t="n"/>
      <c r="H593" s="97" t="n"/>
      <c r="I593" s="95" t="n"/>
      <c r="J593" s="56" t="n"/>
      <c r="K593" s="57" t="n"/>
      <c r="L593" s="94" t="n"/>
      <c r="M593" s="95" t="n"/>
      <c r="N593" s="95" t="n"/>
      <c r="O593" s="95" t="n"/>
      <c r="P593" s="96" t="n"/>
    </row>
    <row r="594" ht="33" customFormat="1" customHeight="1" s="1">
      <c r="A594" s="53" t="n"/>
      <c r="B594" s="97" t="n"/>
      <c r="C594" s="97" t="n"/>
      <c r="D594" s="97" t="n"/>
      <c r="E594" s="95" t="n"/>
      <c r="F594" s="17" t="n"/>
      <c r="G594" s="97" t="n"/>
      <c r="H594" s="97" t="n"/>
      <c r="I594" s="95" t="n"/>
      <c r="J594" s="56" t="n"/>
      <c r="K594" s="57" t="n"/>
      <c r="L594" s="94" t="n"/>
      <c r="M594" s="95" t="n"/>
      <c r="N594" s="95" t="n"/>
      <c r="O594" s="95" t="n"/>
      <c r="P594" s="96" t="n"/>
    </row>
    <row r="595" ht="33" customFormat="1" customHeight="1" s="1">
      <c r="A595" s="53" t="n"/>
      <c r="B595" s="97" t="n"/>
      <c r="C595" s="97" t="n"/>
      <c r="D595" s="97" t="n"/>
      <c r="E595" s="95" t="n"/>
      <c r="F595" s="17" t="n"/>
      <c r="G595" s="97" t="n"/>
      <c r="H595" s="97" t="n"/>
      <c r="I595" s="95" t="n"/>
      <c r="J595" s="56" t="n"/>
      <c r="K595" s="57" t="n"/>
      <c r="L595" s="94" t="n"/>
      <c r="M595" s="95" t="n"/>
      <c r="N595" s="95" t="n"/>
      <c r="O595" s="95" t="n"/>
      <c r="P595" s="96" t="n"/>
    </row>
    <row r="596" ht="33" customFormat="1" customHeight="1" s="1">
      <c r="A596" s="53" t="n"/>
      <c r="B596" s="97" t="n"/>
      <c r="C596" s="97" t="n"/>
      <c r="D596" s="97" t="n"/>
      <c r="E596" s="95" t="n"/>
      <c r="F596" s="17" t="n"/>
      <c r="G596" s="97" t="n"/>
      <c r="H596" s="97" t="n"/>
      <c r="I596" s="95" t="n"/>
      <c r="J596" s="56" t="n"/>
      <c r="K596" s="57" t="n"/>
      <c r="L596" s="94" t="n"/>
      <c r="M596" s="95" t="n"/>
      <c r="N596" s="95" t="n"/>
      <c r="O596" s="95" t="n"/>
      <c r="P596" s="96" t="n"/>
    </row>
    <row r="597" ht="33" customFormat="1" customHeight="1" s="1">
      <c r="A597" s="53" t="n"/>
      <c r="B597" s="97" t="n"/>
      <c r="C597" s="97" t="n"/>
      <c r="D597" s="97" t="n"/>
      <c r="E597" s="95" t="n"/>
      <c r="F597" s="17" t="n"/>
      <c r="G597" s="97" t="n"/>
      <c r="H597" s="97" t="n"/>
      <c r="I597" s="95" t="n"/>
      <c r="J597" s="56" t="n"/>
      <c r="K597" s="57" t="n"/>
      <c r="L597" s="94" t="n"/>
      <c r="M597" s="95" t="n"/>
      <c r="N597" s="95" t="n"/>
      <c r="O597" s="95" t="n"/>
      <c r="P597" s="96" t="n"/>
    </row>
    <row r="598" ht="33" customFormat="1" customHeight="1" s="1">
      <c r="A598" s="53" t="n"/>
      <c r="B598" s="97" t="n"/>
      <c r="C598" s="97" t="n"/>
      <c r="D598" s="97" t="n"/>
      <c r="E598" s="95" t="n"/>
      <c r="F598" s="17" t="n"/>
      <c r="G598" s="97" t="n"/>
      <c r="H598" s="97" t="n"/>
      <c r="I598" s="95" t="n"/>
      <c r="J598" s="56" t="n"/>
      <c r="K598" s="57" t="n"/>
      <c r="L598" s="94" t="n"/>
      <c r="M598" s="95" t="n"/>
      <c r="N598" s="95" t="n"/>
      <c r="O598" s="95" t="n"/>
      <c r="P598" s="96" t="n"/>
    </row>
    <row r="599" ht="33" customFormat="1" customHeight="1" s="1">
      <c r="A599" s="53" t="n"/>
      <c r="B599" s="97" t="n"/>
      <c r="C599" s="97" t="n"/>
      <c r="D599" s="97" t="n"/>
      <c r="E599" s="95" t="n"/>
      <c r="F599" s="17" t="n"/>
      <c r="G599" s="97" t="n"/>
      <c r="H599" s="97" t="n"/>
      <c r="I599" s="95" t="n"/>
      <c r="J599" s="56" t="n"/>
      <c r="K599" s="57" t="n"/>
      <c r="L599" s="94" t="n"/>
      <c r="M599" s="95" t="n"/>
      <c r="N599" s="95" t="n"/>
      <c r="O599" s="95" t="n"/>
      <c r="P599" s="96" t="n"/>
    </row>
    <row r="600" ht="33" customFormat="1" customHeight="1" s="1">
      <c r="A600" s="53" t="n"/>
      <c r="B600" s="97" t="n"/>
      <c r="C600" s="97" t="n"/>
      <c r="D600" s="97" t="n"/>
      <c r="E600" s="95" t="n"/>
      <c r="F600" s="17" t="n"/>
      <c r="G600" s="97" t="n"/>
      <c r="H600" s="97" t="n"/>
      <c r="I600" s="95" t="n"/>
      <c r="J600" s="56" t="n"/>
      <c r="K600" s="57" t="n"/>
      <c r="L600" s="94" t="n"/>
      <c r="M600" s="95" t="n"/>
      <c r="N600" s="95" t="n"/>
      <c r="O600" s="95" t="n"/>
      <c r="P600" s="96" t="n"/>
    </row>
    <row r="601" ht="33" customFormat="1" customHeight="1" s="1">
      <c r="A601" s="53" t="n"/>
      <c r="B601" s="97" t="n"/>
      <c r="C601" s="97" t="n"/>
      <c r="D601" s="97" t="n"/>
      <c r="E601" s="95" t="n"/>
      <c r="F601" s="17" t="n"/>
      <c r="G601" s="97" t="n"/>
      <c r="H601" s="97" t="n"/>
      <c r="I601" s="95" t="n"/>
      <c r="J601" s="56" t="n"/>
      <c r="K601" s="57" t="n"/>
      <c r="L601" s="94" t="n"/>
      <c r="M601" s="95" t="n"/>
      <c r="N601" s="95" t="n"/>
      <c r="O601" s="95" t="n"/>
      <c r="P601" s="96" t="n"/>
    </row>
    <row r="602" ht="33" customFormat="1" customHeight="1" s="1">
      <c r="A602" s="53" t="n"/>
      <c r="B602" s="97" t="n"/>
      <c r="C602" s="97" t="n"/>
      <c r="D602" s="97" t="n"/>
      <c r="E602" s="95" t="n"/>
      <c r="F602" s="17" t="n"/>
      <c r="G602" s="97" t="n"/>
      <c r="H602" s="97" t="n"/>
      <c r="I602" s="95" t="n"/>
      <c r="J602" s="56" t="n"/>
      <c r="K602" s="57" t="n"/>
      <c r="L602" s="94" t="n"/>
      <c r="M602" s="95" t="n"/>
      <c r="N602" s="95" t="n"/>
      <c r="O602" s="95" t="n"/>
      <c r="P602" s="96" t="n"/>
    </row>
    <row r="603" ht="33" customFormat="1" customHeight="1" s="1">
      <c r="A603" s="53" t="n"/>
      <c r="B603" s="97" t="n"/>
      <c r="C603" s="97" t="n"/>
      <c r="D603" s="97" t="n"/>
      <c r="E603" s="95" t="n"/>
      <c r="F603" s="17" t="n"/>
      <c r="G603" s="97" t="n"/>
      <c r="H603" s="97" t="n"/>
      <c r="I603" s="95" t="n"/>
      <c r="J603" s="56" t="n"/>
      <c r="K603" s="57" t="n"/>
      <c r="L603" s="94" t="n"/>
      <c r="M603" s="95" t="n"/>
      <c r="N603" s="95" t="n"/>
      <c r="O603" s="95" t="n"/>
      <c r="P603" s="96" t="n"/>
    </row>
    <row r="604" ht="33" customFormat="1" customHeight="1" s="1">
      <c r="A604" s="53" t="n"/>
      <c r="B604" s="97" t="n"/>
      <c r="C604" s="97" t="n"/>
      <c r="D604" s="97" t="n"/>
      <c r="E604" s="95" t="n"/>
      <c r="F604" s="17" t="n"/>
      <c r="G604" s="97" t="n"/>
      <c r="H604" s="97" t="n"/>
      <c r="I604" s="95" t="n"/>
      <c r="J604" s="56" t="n"/>
      <c r="K604" s="57" t="n"/>
      <c r="L604" s="94" t="n"/>
      <c r="M604" s="95" t="n"/>
      <c r="N604" s="95" t="n"/>
      <c r="O604" s="95" t="n"/>
      <c r="P604" s="96" t="n"/>
    </row>
    <row r="605" ht="33" customFormat="1" customHeight="1" s="1">
      <c r="A605" s="53" t="n"/>
      <c r="B605" s="97" t="n"/>
      <c r="C605" s="97" t="n"/>
      <c r="D605" s="97" t="n"/>
      <c r="E605" s="95" t="n"/>
      <c r="F605" s="17" t="n"/>
      <c r="G605" s="97" t="n"/>
      <c r="H605" s="97" t="n"/>
      <c r="I605" s="95" t="n"/>
      <c r="J605" s="56" t="n"/>
      <c r="K605" s="57" t="n"/>
      <c r="L605" s="94" t="n"/>
      <c r="M605" s="95" t="n"/>
      <c r="N605" s="95" t="n"/>
      <c r="O605" s="95" t="n"/>
      <c r="P605" s="96" t="n"/>
    </row>
    <row r="606" ht="33" customFormat="1" customHeight="1" s="1">
      <c r="A606" s="53" t="n"/>
      <c r="B606" s="97" t="n"/>
      <c r="C606" s="97" t="n"/>
      <c r="D606" s="97" t="n"/>
      <c r="E606" s="95" t="n"/>
      <c r="F606" s="17" t="n"/>
      <c r="G606" s="97" t="n"/>
      <c r="H606" s="97" t="n"/>
      <c r="I606" s="95" t="n"/>
      <c r="J606" s="56" t="n"/>
      <c r="K606" s="57" t="n"/>
      <c r="L606" s="94" t="n"/>
      <c r="M606" s="95" t="n"/>
      <c r="N606" s="95" t="n"/>
      <c r="O606" s="95" t="n"/>
      <c r="P606" s="96" t="n"/>
    </row>
    <row r="607" ht="33" customFormat="1" customHeight="1" s="1">
      <c r="A607" s="53" t="n"/>
      <c r="B607" s="97" t="n"/>
      <c r="C607" s="97" t="n"/>
      <c r="D607" s="97" t="n"/>
      <c r="E607" s="95" t="n"/>
      <c r="F607" s="17" t="n"/>
      <c r="G607" s="97" t="n"/>
      <c r="H607" s="97" t="n"/>
      <c r="I607" s="95" t="n"/>
      <c r="J607" s="56" t="n"/>
      <c r="K607" s="57" t="n"/>
      <c r="L607" s="94" t="n"/>
      <c r="M607" s="95" t="n"/>
      <c r="N607" s="95" t="n"/>
      <c r="O607" s="95" t="n"/>
      <c r="P607" s="96" t="n"/>
    </row>
    <row r="608" ht="33" customFormat="1" customHeight="1" s="1">
      <c r="A608" s="53" t="n"/>
      <c r="B608" s="97" t="n"/>
      <c r="C608" s="97" t="n"/>
      <c r="D608" s="97" t="n"/>
      <c r="E608" s="95" t="n"/>
      <c r="F608" s="17" t="n"/>
      <c r="G608" s="97" t="n"/>
      <c r="H608" s="97" t="n"/>
      <c r="I608" s="95" t="n"/>
      <c r="J608" s="56" t="n"/>
      <c r="K608" s="57" t="n"/>
      <c r="L608" s="94" t="n"/>
      <c r="M608" s="95" t="n"/>
      <c r="N608" s="95" t="n"/>
      <c r="O608" s="95" t="n"/>
      <c r="P608" s="96" t="n"/>
    </row>
    <row r="609" ht="33" customFormat="1" customHeight="1" s="1">
      <c r="A609" s="53" t="n"/>
      <c r="B609" s="97" t="n"/>
      <c r="C609" s="97" t="n"/>
      <c r="D609" s="97" t="n"/>
      <c r="E609" s="95" t="n"/>
      <c r="F609" s="17" t="n"/>
      <c r="G609" s="97" t="n"/>
      <c r="H609" s="97" t="n"/>
      <c r="I609" s="95" t="n"/>
      <c r="J609" s="56" t="n"/>
      <c r="K609" s="57" t="n"/>
      <c r="L609" s="94" t="n"/>
      <c r="M609" s="95" t="n"/>
      <c r="N609" s="95" t="n"/>
      <c r="O609" s="95" t="n"/>
      <c r="P609" s="96" t="n"/>
    </row>
    <row r="610" ht="33" customFormat="1" customHeight="1" s="1">
      <c r="A610" s="53" t="n"/>
      <c r="B610" s="97" t="n"/>
      <c r="C610" s="97" t="n"/>
      <c r="D610" s="97" t="n"/>
      <c r="E610" s="95" t="n"/>
      <c r="F610" s="17" t="n"/>
      <c r="G610" s="97" t="n"/>
      <c r="H610" s="97" t="n"/>
      <c r="I610" s="95" t="n"/>
      <c r="J610" s="56" t="n"/>
      <c r="K610" s="57" t="n"/>
      <c r="L610" s="94" t="n"/>
      <c r="M610" s="95" t="n"/>
      <c r="N610" s="95" t="n"/>
      <c r="O610" s="95" t="n"/>
      <c r="P610" s="96" t="n"/>
    </row>
    <row r="611" ht="33" customFormat="1" customHeight="1" s="1">
      <c r="A611" s="53" t="n"/>
      <c r="B611" s="97" t="n"/>
      <c r="C611" s="97" t="n"/>
      <c r="D611" s="97" t="n"/>
      <c r="E611" s="95" t="n"/>
      <c r="F611" s="17" t="n"/>
      <c r="G611" s="97" t="n"/>
      <c r="H611" s="97" t="n"/>
      <c r="I611" s="95" t="n"/>
      <c r="J611" s="56" t="n"/>
      <c r="K611" s="57" t="n"/>
      <c r="L611" s="94" t="n"/>
      <c r="M611" s="95" t="n"/>
      <c r="N611" s="95" t="n"/>
      <c r="O611" s="95" t="n"/>
      <c r="P611" s="96" t="n"/>
    </row>
    <row r="612" ht="33" customFormat="1" customHeight="1" s="1">
      <c r="A612" s="53" t="n"/>
      <c r="B612" s="97" t="n"/>
      <c r="C612" s="97" t="n"/>
      <c r="D612" s="97" t="n"/>
      <c r="E612" s="95" t="n"/>
      <c r="F612" s="17" t="n"/>
      <c r="G612" s="97" t="n"/>
      <c r="H612" s="97" t="n"/>
      <c r="I612" s="95" t="n"/>
      <c r="J612" s="56" t="n"/>
      <c r="K612" s="57" t="n"/>
      <c r="L612" s="94" t="n"/>
      <c r="M612" s="95" t="n"/>
      <c r="N612" s="95" t="n"/>
      <c r="O612" s="95" t="n"/>
      <c r="P612" s="96" t="n"/>
    </row>
    <row r="613" ht="33" customFormat="1" customHeight="1" s="1">
      <c r="A613" s="53" t="n"/>
      <c r="B613" s="97" t="n"/>
      <c r="C613" s="97" t="n"/>
      <c r="D613" s="97" t="n"/>
      <c r="E613" s="95" t="n"/>
      <c r="F613" s="17" t="n"/>
      <c r="G613" s="97" t="n"/>
      <c r="H613" s="97" t="n"/>
      <c r="I613" s="95" t="n"/>
      <c r="J613" s="56" t="n"/>
      <c r="K613" s="57" t="n"/>
      <c r="L613" s="94" t="n"/>
      <c r="M613" s="95" t="n"/>
      <c r="N613" s="95" t="n"/>
      <c r="O613" s="95" t="n"/>
      <c r="P613" s="96" t="n"/>
    </row>
    <row r="614" ht="33" customFormat="1" customHeight="1" s="1">
      <c r="A614" s="53" t="n"/>
      <c r="B614" s="97" t="n"/>
      <c r="C614" s="97" t="n"/>
      <c r="D614" s="97" t="n"/>
      <c r="E614" s="95" t="n"/>
      <c r="F614" s="17" t="n"/>
      <c r="G614" s="97" t="n"/>
      <c r="H614" s="97" t="n"/>
      <c r="I614" s="95" t="n"/>
      <c r="J614" s="56" t="n"/>
      <c r="K614" s="57" t="n"/>
      <c r="L614" s="94" t="n"/>
      <c r="M614" s="95" t="n"/>
      <c r="N614" s="95" t="n"/>
      <c r="O614" s="95" t="n"/>
      <c r="P614" s="96" t="n"/>
    </row>
    <row r="615" ht="33" customFormat="1" customHeight="1" s="1">
      <c r="A615" s="53" t="n"/>
      <c r="B615" s="97" t="n"/>
      <c r="C615" s="97" t="n"/>
      <c r="D615" s="97" t="n"/>
      <c r="E615" s="95" t="n"/>
      <c r="F615" s="17" t="n"/>
      <c r="G615" s="97" t="n"/>
      <c r="H615" s="97" t="n"/>
      <c r="I615" s="95" t="n"/>
      <c r="J615" s="56" t="n"/>
      <c r="K615" s="57" t="n"/>
      <c r="L615" s="94" t="n"/>
      <c r="M615" s="95" t="n"/>
      <c r="N615" s="95" t="n"/>
      <c r="O615" s="95" t="n"/>
      <c r="P615" s="96" t="n"/>
    </row>
    <row r="616" ht="33" customFormat="1" customHeight="1" s="1">
      <c r="A616" s="53" t="n"/>
      <c r="B616" s="97" t="n"/>
      <c r="C616" s="97" t="n"/>
      <c r="D616" s="97" t="n"/>
      <c r="E616" s="95" t="n"/>
      <c r="F616" s="17" t="n"/>
      <c r="G616" s="97" t="n"/>
      <c r="H616" s="97" t="n"/>
      <c r="I616" s="95" t="n"/>
      <c r="J616" s="56" t="n"/>
      <c r="K616" s="57" t="n"/>
      <c r="L616" s="94" t="n"/>
      <c r="M616" s="95" t="n"/>
      <c r="N616" s="95" t="n"/>
      <c r="O616" s="95" t="n"/>
      <c r="P616" s="96" t="n"/>
    </row>
    <row r="617" ht="33" customFormat="1" customHeight="1" s="1">
      <c r="A617" s="53" t="n"/>
      <c r="B617" s="97" t="n"/>
      <c r="C617" s="97" t="n"/>
      <c r="D617" s="97" t="n"/>
      <c r="E617" s="95" t="n"/>
      <c r="F617" s="17" t="n"/>
      <c r="G617" s="97" t="n"/>
      <c r="H617" s="97" t="n"/>
      <c r="I617" s="95" t="n"/>
      <c r="J617" s="56" t="n"/>
      <c r="K617" s="57" t="n"/>
      <c r="L617" s="94" t="n"/>
      <c r="M617" s="95" t="n"/>
      <c r="N617" s="95" t="n"/>
      <c r="O617" s="95" t="n"/>
      <c r="P617" s="96" t="n"/>
    </row>
    <row r="618" ht="33" customFormat="1" customHeight="1" s="1">
      <c r="A618" s="53" t="n"/>
      <c r="B618" s="97" t="n"/>
      <c r="C618" s="97" t="n"/>
      <c r="D618" s="97" t="n"/>
      <c r="E618" s="95" t="n"/>
      <c r="F618" s="17" t="n"/>
      <c r="G618" s="97" t="n"/>
      <c r="H618" s="97" t="n"/>
      <c r="I618" s="95" t="n"/>
      <c r="J618" s="56" t="n"/>
      <c r="K618" s="57" t="n"/>
      <c r="L618" s="94" t="n"/>
      <c r="M618" s="95" t="n"/>
      <c r="N618" s="95" t="n"/>
      <c r="O618" s="95" t="n"/>
      <c r="P618" s="96" t="n"/>
    </row>
    <row r="619" ht="33" customFormat="1" customHeight="1" s="1">
      <c r="A619" s="53" t="n"/>
      <c r="B619" s="97" t="n"/>
      <c r="C619" s="97" t="n"/>
      <c r="D619" s="97" t="n"/>
      <c r="E619" s="95" t="n"/>
      <c r="F619" s="17" t="n"/>
      <c r="G619" s="97" t="n"/>
      <c r="H619" s="97" t="n"/>
      <c r="I619" s="95" t="n"/>
      <c r="J619" s="56" t="n"/>
      <c r="K619" s="57" t="n"/>
      <c r="L619" s="94" t="n"/>
      <c r="M619" s="95" t="n"/>
      <c r="N619" s="95" t="n"/>
      <c r="O619" s="95" t="n"/>
      <c r="P619" s="96" t="n"/>
    </row>
    <row r="620" ht="33" customFormat="1" customHeight="1" s="1">
      <c r="A620" s="53" t="n"/>
      <c r="B620" s="97" t="n"/>
      <c r="C620" s="97" t="n"/>
      <c r="D620" s="97" t="n"/>
      <c r="E620" s="95" t="n"/>
      <c r="F620" s="17" t="n"/>
      <c r="G620" s="97" t="n"/>
      <c r="H620" s="97" t="n"/>
      <c r="I620" s="95" t="n"/>
      <c r="J620" s="56" t="n"/>
      <c r="K620" s="57" t="n"/>
      <c r="L620" s="94" t="n"/>
      <c r="M620" s="95" t="n"/>
      <c r="N620" s="95" t="n"/>
      <c r="O620" s="95" t="n"/>
      <c r="P620" s="96" t="n"/>
    </row>
    <row r="621" ht="33" customFormat="1" customHeight="1" s="1">
      <c r="A621" s="53" t="n"/>
      <c r="B621" s="97" t="n"/>
      <c r="C621" s="97" t="n"/>
      <c r="D621" s="97" t="n"/>
      <c r="E621" s="95" t="n"/>
      <c r="F621" s="17" t="n"/>
      <c r="G621" s="97" t="n"/>
      <c r="H621" s="97" t="n"/>
      <c r="I621" s="95" t="n"/>
      <c r="J621" s="56" t="n"/>
      <c r="K621" s="57" t="n"/>
      <c r="L621" s="94" t="n"/>
      <c r="M621" s="95" t="n"/>
      <c r="N621" s="95" t="n"/>
      <c r="O621" s="95" t="n"/>
      <c r="P621" s="96" t="n"/>
    </row>
    <row r="622" ht="33" customFormat="1" customHeight="1" s="1">
      <c r="A622" s="53" t="n"/>
      <c r="B622" s="97" t="n"/>
      <c r="C622" s="97" t="n"/>
      <c r="D622" s="97" t="n"/>
      <c r="E622" s="95" t="n"/>
      <c r="F622" s="17" t="n"/>
      <c r="G622" s="97" t="n"/>
      <c r="H622" s="97" t="n"/>
      <c r="I622" s="95" t="n"/>
      <c r="J622" s="56" t="n"/>
      <c r="K622" s="57" t="n"/>
      <c r="L622" s="94" t="n"/>
      <c r="M622" s="95" t="n"/>
      <c r="N622" s="95" t="n"/>
      <c r="O622" s="95" t="n"/>
      <c r="P622" s="96" t="n"/>
    </row>
    <row r="623" ht="33" customFormat="1" customHeight="1" s="1">
      <c r="A623" s="53" t="n"/>
      <c r="B623" s="97" t="n"/>
      <c r="C623" s="97" t="n"/>
      <c r="D623" s="97" t="n"/>
      <c r="E623" s="95" t="n"/>
      <c r="F623" s="17" t="n"/>
      <c r="G623" s="97" t="n"/>
      <c r="H623" s="97" t="n"/>
      <c r="I623" s="95" t="n"/>
      <c r="J623" s="56" t="n"/>
      <c r="K623" s="57" t="n"/>
      <c r="L623" s="94" t="n"/>
      <c r="M623" s="95" t="n"/>
      <c r="N623" s="95" t="n"/>
      <c r="O623" s="95" t="n"/>
      <c r="P623" s="96" t="n"/>
    </row>
    <row r="624" ht="33" customFormat="1" customHeight="1" s="1">
      <c r="A624" s="53" t="n"/>
      <c r="B624" s="97" t="n"/>
      <c r="C624" s="97" t="n"/>
      <c r="D624" s="97" t="n"/>
      <c r="E624" s="95" t="n"/>
      <c r="F624" s="17" t="n"/>
      <c r="G624" s="97" t="n"/>
      <c r="H624" s="97" t="n"/>
      <c r="I624" s="95" t="n"/>
      <c r="J624" s="56" t="n"/>
      <c r="K624" s="57" t="n"/>
      <c r="L624" s="94" t="n"/>
      <c r="M624" s="95" t="n"/>
      <c r="N624" s="95" t="n"/>
      <c r="O624" s="95" t="n"/>
      <c r="P624" s="96" t="n"/>
    </row>
    <row r="625" ht="33" customFormat="1" customHeight="1" s="1">
      <c r="A625" s="53" t="n"/>
      <c r="B625" s="97" t="n"/>
      <c r="C625" s="97" t="n"/>
      <c r="D625" s="97" t="n"/>
      <c r="E625" s="95" t="n"/>
      <c r="F625" s="17" t="n"/>
      <c r="G625" s="97" t="n"/>
      <c r="H625" s="97" t="n"/>
      <c r="I625" s="95" t="n"/>
      <c r="J625" s="56" t="n"/>
      <c r="K625" s="57" t="n"/>
      <c r="L625" s="94" t="n"/>
      <c r="M625" s="95" t="n"/>
      <c r="N625" s="95" t="n"/>
      <c r="O625" s="95" t="n"/>
      <c r="P625" s="96" t="n"/>
    </row>
    <row r="626" ht="33" customFormat="1" customHeight="1" s="1">
      <c r="A626" s="53" t="n"/>
      <c r="B626" s="97" t="n"/>
      <c r="C626" s="97" t="n"/>
      <c r="D626" s="97" t="n"/>
      <c r="E626" s="95" t="n"/>
      <c r="F626" s="17" t="n"/>
      <c r="G626" s="97" t="n"/>
      <c r="H626" s="97" t="n"/>
      <c r="I626" s="95" t="n"/>
      <c r="J626" s="56" t="n"/>
      <c r="K626" s="57" t="n"/>
      <c r="L626" s="94" t="n"/>
      <c r="M626" s="95" t="n"/>
      <c r="N626" s="95" t="n"/>
      <c r="O626" s="95" t="n"/>
      <c r="P626" s="96" t="n"/>
    </row>
    <row r="627" ht="33" customFormat="1" customHeight="1" s="1">
      <c r="A627" s="53" t="n"/>
      <c r="B627" s="97" t="n"/>
      <c r="C627" s="97" t="n"/>
      <c r="D627" s="97" t="n"/>
      <c r="E627" s="95" t="n"/>
      <c r="F627" s="17" t="n"/>
      <c r="G627" s="97" t="n"/>
      <c r="H627" s="97" t="n"/>
      <c r="I627" s="95" t="n"/>
      <c r="J627" s="56" t="n"/>
      <c r="K627" s="57" t="n"/>
      <c r="L627" s="94" t="n"/>
      <c r="M627" s="95" t="n"/>
      <c r="N627" s="95" t="n"/>
      <c r="O627" s="95" t="n"/>
      <c r="P627" s="96" t="n"/>
    </row>
    <row r="628" ht="33" customFormat="1" customHeight="1" s="1">
      <c r="A628" s="53" t="n"/>
      <c r="B628" s="97" t="n"/>
      <c r="C628" s="97" t="n"/>
      <c r="D628" s="97" t="n"/>
      <c r="E628" s="95" t="n"/>
      <c r="F628" s="17" t="n"/>
      <c r="G628" s="97" t="n"/>
      <c r="H628" s="97" t="n"/>
      <c r="I628" s="95" t="n"/>
      <c r="J628" s="56" t="n"/>
      <c r="K628" s="57" t="n"/>
      <c r="L628" s="94" t="n"/>
      <c r="M628" s="95" t="n"/>
      <c r="N628" s="95" t="n"/>
      <c r="O628" s="95" t="n"/>
      <c r="P628" s="96" t="n"/>
    </row>
    <row r="629" ht="33" customFormat="1" customHeight="1" s="1">
      <c r="A629" s="53" t="n"/>
      <c r="B629" s="97" t="n"/>
      <c r="C629" s="97" t="n"/>
      <c r="D629" s="97" t="n"/>
      <c r="E629" s="95" t="n"/>
      <c r="F629" s="17" t="n"/>
      <c r="G629" s="97" t="n"/>
      <c r="H629" s="97" t="n"/>
      <c r="I629" s="95" t="n"/>
      <c r="J629" s="56" t="n"/>
      <c r="K629" s="57" t="n"/>
      <c r="L629" s="94" t="n"/>
      <c r="M629" s="95" t="n"/>
      <c r="N629" s="95" t="n"/>
      <c r="O629" s="95" t="n"/>
      <c r="P629" s="96" t="n"/>
    </row>
    <row r="630" ht="33" customFormat="1" customHeight="1" s="1">
      <c r="A630" s="53" t="n"/>
      <c r="B630" s="97" t="n"/>
      <c r="C630" s="97" t="n"/>
      <c r="D630" s="97" t="n"/>
      <c r="E630" s="95" t="n"/>
      <c r="F630" s="17" t="n"/>
      <c r="G630" s="97" t="n"/>
      <c r="H630" s="97" t="n"/>
      <c r="I630" s="95" t="n"/>
      <c r="J630" s="56" t="n"/>
      <c r="K630" s="57" t="n"/>
      <c r="L630" s="94" t="n"/>
      <c r="M630" s="95" t="n"/>
      <c r="N630" s="95" t="n"/>
      <c r="O630" s="95" t="n"/>
      <c r="P630" s="96" t="n"/>
    </row>
    <row r="631" ht="33" customFormat="1" customHeight="1" s="1">
      <c r="A631" s="53" t="n"/>
      <c r="B631" s="97" t="n"/>
      <c r="C631" s="97" t="n"/>
      <c r="D631" s="97" t="n"/>
      <c r="E631" s="95" t="n"/>
      <c r="F631" s="17" t="n"/>
      <c r="G631" s="97" t="n"/>
      <c r="H631" s="97" t="n"/>
      <c r="I631" s="95" t="n"/>
      <c r="J631" s="56" t="n"/>
      <c r="K631" s="57" t="n"/>
      <c r="L631" s="94" t="n"/>
      <c r="M631" s="95" t="n"/>
      <c r="N631" s="95" t="n"/>
      <c r="O631" s="95" t="n"/>
      <c r="P631" s="96" t="n"/>
    </row>
    <row r="632" ht="33" customFormat="1" customHeight="1" s="1">
      <c r="A632" s="53" t="n"/>
      <c r="B632" s="97" t="n"/>
      <c r="C632" s="97" t="n"/>
      <c r="D632" s="97" t="n"/>
      <c r="E632" s="95" t="n"/>
      <c r="F632" s="17" t="n"/>
      <c r="G632" s="97" t="n"/>
      <c r="H632" s="97" t="n"/>
      <c r="I632" s="95" t="n"/>
      <c r="J632" s="56" t="n"/>
      <c r="K632" s="57" t="n"/>
      <c r="L632" s="94" t="n"/>
      <c r="M632" s="95" t="n"/>
      <c r="N632" s="95" t="n"/>
      <c r="O632" s="95" t="n"/>
      <c r="P632" s="96" t="n"/>
    </row>
    <row r="633" ht="33" customFormat="1" customHeight="1" s="1">
      <c r="A633" s="53" t="n"/>
      <c r="B633" s="97" t="n"/>
      <c r="C633" s="97" t="n"/>
      <c r="D633" s="97" t="n"/>
      <c r="E633" s="95" t="n"/>
      <c r="F633" s="17" t="n"/>
      <c r="G633" s="97" t="n"/>
      <c r="H633" s="97" t="n"/>
      <c r="I633" s="95" t="n"/>
      <c r="J633" s="56" t="n"/>
      <c r="K633" s="57" t="n"/>
      <c r="L633" s="94" t="n"/>
      <c r="M633" s="95" t="n"/>
      <c r="N633" s="95" t="n"/>
      <c r="O633" s="95" t="n"/>
      <c r="P633" s="96" t="n"/>
    </row>
    <row r="634" ht="33" customFormat="1" customHeight="1" s="1">
      <c r="A634" s="53" t="n"/>
      <c r="B634" s="97" t="n"/>
      <c r="C634" s="97" t="n"/>
      <c r="D634" s="97" t="n"/>
      <c r="E634" s="95" t="n"/>
      <c r="F634" s="17" t="n"/>
      <c r="G634" s="97" t="n"/>
      <c r="H634" s="97" t="n"/>
      <c r="I634" s="95" t="n"/>
      <c r="J634" s="56" t="n"/>
      <c r="K634" s="57" t="n"/>
      <c r="L634" s="94" t="n"/>
      <c r="M634" s="95" t="n"/>
      <c r="N634" s="95" t="n"/>
      <c r="O634" s="95" t="n"/>
      <c r="P634" s="96" t="n"/>
    </row>
    <row r="635" ht="33" customFormat="1" customHeight="1" s="1">
      <c r="A635" s="53" t="n"/>
      <c r="B635" s="97" t="n"/>
      <c r="C635" s="97" t="n"/>
      <c r="D635" s="97" t="n"/>
      <c r="E635" s="95" t="n"/>
      <c r="F635" s="17" t="n"/>
      <c r="G635" s="97" t="n"/>
      <c r="H635" s="97" t="n"/>
      <c r="I635" s="95" t="n"/>
      <c r="J635" s="56" t="n"/>
      <c r="K635" s="57" t="n"/>
      <c r="L635" s="94" t="n"/>
      <c r="M635" s="95" t="n"/>
      <c r="N635" s="95" t="n"/>
      <c r="O635" s="95" t="n"/>
      <c r="P635" s="96" t="n"/>
    </row>
    <row r="636" ht="33" customFormat="1" customHeight="1" s="1">
      <c r="A636" s="53" t="n"/>
      <c r="B636" s="97" t="n"/>
      <c r="C636" s="97" t="n"/>
      <c r="D636" s="97" t="n"/>
      <c r="E636" s="95" t="n"/>
      <c r="F636" s="17" t="n"/>
      <c r="G636" s="97" t="n"/>
      <c r="H636" s="97" t="n"/>
      <c r="I636" s="95" t="n"/>
      <c r="J636" s="56" t="n"/>
      <c r="K636" s="57" t="n"/>
      <c r="L636" s="94" t="n"/>
      <c r="M636" s="95" t="n"/>
      <c r="N636" s="95" t="n"/>
      <c r="O636" s="95" t="n"/>
      <c r="P636" s="96" t="n"/>
    </row>
    <row r="637" ht="33" customFormat="1" customHeight="1" s="1">
      <c r="A637" s="53" t="n"/>
      <c r="B637" s="97" t="n"/>
      <c r="C637" s="97" t="n"/>
      <c r="D637" s="97" t="n"/>
      <c r="E637" s="95" t="n"/>
      <c r="F637" s="17" t="n"/>
      <c r="G637" s="97" t="n"/>
      <c r="H637" s="97" t="n"/>
      <c r="I637" s="95" t="n"/>
      <c r="J637" s="56" t="n"/>
      <c r="K637" s="57" t="n"/>
      <c r="L637" s="94" t="n"/>
      <c r="M637" s="95" t="n"/>
      <c r="N637" s="95" t="n"/>
      <c r="O637" s="95" t="n"/>
      <c r="P637" s="96" t="n"/>
    </row>
    <row r="638" ht="33" customFormat="1" customHeight="1" s="1">
      <c r="A638" s="53" t="n"/>
      <c r="B638" s="97" t="n"/>
      <c r="C638" s="97" t="n"/>
      <c r="D638" s="97" t="n"/>
      <c r="E638" s="95" t="n"/>
      <c r="F638" s="17" t="n"/>
      <c r="G638" s="97" t="n"/>
      <c r="H638" s="97" t="n"/>
      <c r="I638" s="95" t="n"/>
      <c r="J638" s="56" t="n"/>
      <c r="K638" s="57" t="n"/>
      <c r="L638" s="94" t="n"/>
      <c r="M638" s="95" t="n"/>
      <c r="N638" s="95" t="n"/>
      <c r="O638" s="95" t="n"/>
      <c r="P638" s="96" t="n"/>
    </row>
    <row r="639" ht="33" customFormat="1" customHeight="1" s="1">
      <c r="A639" s="53" t="n"/>
      <c r="B639" s="97" t="n"/>
      <c r="C639" s="97" t="n"/>
      <c r="D639" s="97" t="n"/>
      <c r="E639" s="95" t="n"/>
      <c r="F639" s="17" t="n"/>
      <c r="G639" s="97" t="n"/>
      <c r="H639" s="97" t="n"/>
      <c r="I639" s="95" t="n"/>
      <c r="J639" s="56" t="n"/>
      <c r="K639" s="57" t="n"/>
      <c r="L639" s="94" t="n"/>
      <c r="M639" s="95" t="n"/>
      <c r="N639" s="95" t="n"/>
      <c r="O639" s="95" t="n"/>
      <c r="P639" s="96" t="n"/>
    </row>
    <row r="640" ht="33" customFormat="1" customHeight="1" s="1">
      <c r="A640" s="53" t="n"/>
      <c r="B640" s="97" t="n"/>
      <c r="C640" s="97" t="n"/>
      <c r="D640" s="97" t="n"/>
      <c r="E640" s="95" t="n"/>
      <c r="F640" s="17" t="n"/>
      <c r="G640" s="97" t="n"/>
      <c r="H640" s="97" t="n"/>
      <c r="I640" s="95" t="n"/>
      <c r="J640" s="56" t="n"/>
      <c r="K640" s="57" t="n"/>
      <c r="L640" s="94" t="n"/>
      <c r="M640" s="95" t="n"/>
      <c r="N640" s="95" t="n"/>
      <c r="O640" s="95" t="n"/>
      <c r="P640" s="96" t="n"/>
    </row>
    <row r="641" ht="33" customFormat="1" customHeight="1" s="1">
      <c r="A641" s="53" t="n"/>
      <c r="B641" s="97" t="n"/>
      <c r="C641" s="97" t="n"/>
      <c r="D641" s="97" t="n"/>
      <c r="E641" s="95" t="n"/>
      <c r="F641" s="17" t="n"/>
      <c r="G641" s="97" t="n"/>
      <c r="H641" s="97" t="n"/>
      <c r="I641" s="95" t="n"/>
      <c r="J641" s="56" t="n"/>
      <c r="K641" s="57" t="n"/>
      <c r="L641" s="94" t="n"/>
      <c r="M641" s="95" t="n"/>
      <c r="N641" s="95" t="n"/>
      <c r="O641" s="95" t="n"/>
      <c r="P641" s="96" t="n"/>
    </row>
    <row r="642" ht="33" customFormat="1" customHeight="1" s="1">
      <c r="A642" s="53" t="n"/>
      <c r="B642" s="97" t="n"/>
      <c r="C642" s="97" t="n"/>
      <c r="D642" s="97" t="n"/>
      <c r="E642" s="95" t="n"/>
      <c r="F642" s="17" t="n"/>
      <c r="G642" s="97" t="n"/>
      <c r="H642" s="97" t="n"/>
      <c r="I642" s="95" t="n"/>
      <c r="J642" s="56" t="n"/>
      <c r="K642" s="57" t="n"/>
      <c r="L642" s="94" t="n"/>
      <c r="M642" s="95" t="n"/>
      <c r="N642" s="95" t="n"/>
      <c r="O642" s="95" t="n"/>
      <c r="P642" s="96" t="n"/>
    </row>
    <row r="643" ht="33" customFormat="1" customHeight="1" s="1">
      <c r="A643" s="53" t="n"/>
      <c r="B643" s="97" t="n"/>
      <c r="C643" s="97" t="n"/>
      <c r="D643" s="97" t="n"/>
      <c r="E643" s="95" t="n"/>
      <c r="F643" s="17" t="n"/>
      <c r="G643" s="97" t="n"/>
      <c r="H643" s="97" t="n"/>
      <c r="I643" s="95" t="n"/>
      <c r="J643" s="56" t="n"/>
      <c r="K643" s="57" t="n"/>
      <c r="L643" s="94" t="n"/>
      <c r="M643" s="95" t="n"/>
      <c r="N643" s="95" t="n"/>
      <c r="O643" s="95" t="n"/>
      <c r="P643" s="96" t="n"/>
    </row>
    <row r="644" ht="33" customFormat="1" customHeight="1" s="1">
      <c r="A644" s="53" t="n"/>
      <c r="B644" s="97" t="n"/>
      <c r="C644" s="97" t="n"/>
      <c r="D644" s="97" t="n"/>
      <c r="E644" s="95" t="n"/>
      <c r="F644" s="17" t="n"/>
      <c r="G644" s="97" t="n"/>
      <c r="H644" s="97" t="n"/>
      <c r="I644" s="95" t="n"/>
      <c r="J644" s="56" t="n"/>
      <c r="K644" s="57" t="n"/>
      <c r="L644" s="94" t="n"/>
      <c r="M644" s="95" t="n"/>
      <c r="N644" s="95" t="n"/>
      <c r="O644" s="95" t="n"/>
      <c r="P644" s="96" t="n"/>
    </row>
    <row r="645" ht="33" customFormat="1" customHeight="1" s="1">
      <c r="A645" s="53" t="n"/>
      <c r="B645" s="97" t="n"/>
      <c r="C645" s="97" t="n"/>
      <c r="D645" s="97" t="n"/>
      <c r="E645" s="95" t="n"/>
      <c r="F645" s="17" t="n"/>
      <c r="G645" s="97" t="n"/>
      <c r="H645" s="97" t="n"/>
      <c r="I645" s="95" t="n"/>
      <c r="J645" s="56" t="n"/>
      <c r="K645" s="57" t="n"/>
      <c r="L645" s="94" t="n"/>
      <c r="M645" s="95" t="n"/>
      <c r="N645" s="95" t="n"/>
      <c r="O645" s="95" t="n"/>
      <c r="P645" s="96" t="n"/>
    </row>
    <row r="646" ht="33" customFormat="1" customHeight="1" s="1">
      <c r="A646" s="53" t="n"/>
      <c r="B646" s="97" t="n"/>
      <c r="C646" s="97" t="n"/>
      <c r="D646" s="97" t="n"/>
      <c r="E646" s="95" t="n"/>
      <c r="F646" s="17" t="n"/>
      <c r="G646" s="97" t="n"/>
      <c r="H646" s="97" t="n"/>
      <c r="I646" s="95" t="n"/>
      <c r="J646" s="56" t="n"/>
      <c r="K646" s="57" t="n"/>
      <c r="L646" s="94" t="n"/>
      <c r="M646" s="95" t="n"/>
      <c r="N646" s="95" t="n"/>
      <c r="O646" s="95" t="n"/>
      <c r="P646" s="96" t="n"/>
    </row>
    <row r="647" ht="33" customFormat="1" customHeight="1" s="1">
      <c r="A647" s="53" t="n"/>
      <c r="B647" s="97" t="n"/>
      <c r="C647" s="97" t="n"/>
      <c r="D647" s="97" t="n"/>
      <c r="E647" s="95" t="n"/>
      <c r="F647" s="17" t="n"/>
      <c r="G647" s="97" t="n"/>
      <c r="H647" s="97" t="n"/>
      <c r="I647" s="95" t="n"/>
      <c r="J647" s="56" t="n"/>
      <c r="K647" s="57" t="n"/>
      <c r="L647" s="94" t="n"/>
      <c r="M647" s="95" t="n"/>
      <c r="N647" s="95" t="n"/>
      <c r="O647" s="95" t="n"/>
      <c r="P647" s="96" t="n"/>
    </row>
    <row r="648" ht="33" customFormat="1" customHeight="1" s="1">
      <c r="A648" s="53" t="n"/>
      <c r="B648" s="97" t="n"/>
      <c r="C648" s="97" t="n"/>
      <c r="D648" s="97" t="n"/>
      <c r="E648" s="95" t="n"/>
      <c r="F648" s="17" t="n"/>
      <c r="G648" s="97" t="n"/>
      <c r="H648" s="97" t="n"/>
      <c r="I648" s="95" t="n"/>
      <c r="J648" s="56" t="n"/>
      <c r="K648" s="57" t="n"/>
      <c r="L648" s="94" t="n"/>
      <c r="M648" s="95" t="n"/>
      <c r="N648" s="95" t="n"/>
      <c r="O648" s="95" t="n"/>
      <c r="P648" s="96" t="n"/>
    </row>
    <row r="649" ht="33" customFormat="1" customHeight="1" s="1">
      <c r="A649" s="53" t="n"/>
      <c r="B649" s="97" t="n"/>
      <c r="C649" s="97" t="n"/>
      <c r="D649" s="97" t="n"/>
      <c r="E649" s="95" t="n"/>
      <c r="F649" s="17" t="n"/>
      <c r="G649" s="97" t="n"/>
      <c r="H649" s="97" t="n"/>
      <c r="I649" s="95" t="n"/>
      <c r="J649" s="56" t="n"/>
      <c r="K649" s="57" t="n"/>
      <c r="L649" s="94" t="n"/>
      <c r="M649" s="95" t="n"/>
      <c r="N649" s="95" t="n"/>
      <c r="O649" s="95" t="n"/>
      <c r="P649" s="96" t="n"/>
    </row>
    <row r="650" ht="33" customFormat="1" customHeight="1" s="1">
      <c r="A650" s="53" t="n"/>
      <c r="B650" s="97" t="n"/>
      <c r="C650" s="97" t="n"/>
      <c r="D650" s="97" t="n"/>
      <c r="E650" s="95" t="n"/>
      <c r="F650" s="17" t="n"/>
      <c r="G650" s="97" t="n"/>
      <c r="H650" s="97" t="n"/>
      <c r="I650" s="95" t="n"/>
      <c r="J650" s="56" t="n"/>
      <c r="K650" s="57" t="n"/>
      <c r="L650" s="94" t="n"/>
      <c r="M650" s="95" t="n"/>
      <c r="N650" s="95" t="n"/>
      <c r="O650" s="95" t="n"/>
      <c r="P650" s="96" t="n"/>
    </row>
    <row r="651" ht="33" customFormat="1" customHeight="1" s="1">
      <c r="A651" s="53" t="n"/>
      <c r="B651" s="97" t="n"/>
      <c r="C651" s="97" t="n"/>
      <c r="D651" s="97" t="n"/>
      <c r="E651" s="95" t="n"/>
      <c r="F651" s="17" t="n"/>
      <c r="G651" s="97" t="n"/>
      <c r="H651" s="97" t="n"/>
      <c r="I651" s="95" t="n"/>
      <c r="J651" s="56" t="n"/>
      <c r="K651" s="57" t="n"/>
      <c r="L651" s="94" t="n"/>
      <c r="M651" s="95" t="n"/>
      <c r="N651" s="95" t="n"/>
      <c r="O651" s="95" t="n"/>
      <c r="P651" s="96" t="n"/>
    </row>
    <row r="652" ht="33" customFormat="1" customHeight="1" s="1">
      <c r="A652" s="53" t="n"/>
      <c r="B652" s="97" t="n"/>
      <c r="C652" s="97" t="n"/>
      <c r="D652" s="97" t="n"/>
      <c r="E652" s="95" t="n"/>
      <c r="F652" s="17" t="n"/>
      <c r="G652" s="97" t="n"/>
      <c r="H652" s="97" t="n"/>
      <c r="I652" s="95" t="n"/>
      <c r="J652" s="56" t="n"/>
      <c r="K652" s="57" t="n"/>
      <c r="L652" s="94" t="n"/>
      <c r="M652" s="95" t="n"/>
      <c r="N652" s="95" t="n"/>
      <c r="O652" s="95" t="n"/>
      <c r="P652" s="96" t="n"/>
    </row>
    <row r="653" ht="33" customFormat="1" customHeight="1" s="1">
      <c r="A653" s="53" t="n"/>
      <c r="B653" s="97" t="n"/>
      <c r="C653" s="97" t="n"/>
      <c r="D653" s="97" t="n"/>
      <c r="E653" s="95" t="n"/>
      <c r="F653" s="17" t="n"/>
      <c r="G653" s="97" t="n"/>
      <c r="H653" s="97" t="n"/>
      <c r="I653" s="95" t="n"/>
      <c r="J653" s="56" t="n"/>
      <c r="K653" s="57" t="n"/>
      <c r="L653" s="94" t="n"/>
      <c r="M653" s="95" t="n"/>
      <c r="N653" s="95" t="n"/>
      <c r="O653" s="95" t="n"/>
      <c r="P653" s="96" t="n"/>
    </row>
    <row r="654" ht="33" customFormat="1" customHeight="1" s="1">
      <c r="A654" s="53" t="n"/>
      <c r="B654" s="97" t="n"/>
      <c r="C654" s="97" t="n"/>
      <c r="D654" s="97" t="n"/>
      <c r="E654" s="95" t="n"/>
      <c r="F654" s="17" t="n"/>
      <c r="G654" s="97" t="n"/>
      <c r="H654" s="97" t="n"/>
      <c r="I654" s="95" t="n"/>
      <c r="J654" s="56" t="n"/>
      <c r="K654" s="57" t="n"/>
      <c r="L654" s="94" t="n"/>
      <c r="M654" s="95" t="n"/>
      <c r="N654" s="95" t="n"/>
      <c r="O654" s="95" t="n"/>
      <c r="P654" s="96" t="n"/>
    </row>
    <row r="655" ht="33" customFormat="1" customHeight="1" s="1">
      <c r="A655" s="53" t="n"/>
      <c r="B655" s="97" t="n"/>
      <c r="C655" s="97" t="n"/>
      <c r="D655" s="97" t="n"/>
      <c r="E655" s="95" t="n"/>
      <c r="F655" s="17" t="n"/>
      <c r="G655" s="97" t="n"/>
      <c r="H655" s="97" t="n"/>
      <c r="I655" s="95" t="n"/>
      <c r="J655" s="56" t="n"/>
      <c r="K655" s="57" t="n"/>
      <c r="L655" s="94" t="n"/>
      <c r="M655" s="95" t="n"/>
      <c r="N655" s="95" t="n"/>
      <c r="O655" s="95" t="n"/>
      <c r="P655" s="96" t="n"/>
    </row>
    <row r="656" ht="33" customFormat="1" customHeight="1" s="1">
      <c r="A656" s="53" t="n"/>
      <c r="B656" s="97" t="n"/>
      <c r="C656" s="97" t="n"/>
      <c r="D656" s="97" t="n"/>
      <c r="E656" s="95" t="n"/>
      <c r="F656" s="17" t="n"/>
      <c r="G656" s="97" t="n"/>
      <c r="H656" s="97" t="n"/>
      <c r="I656" s="95" t="n"/>
      <c r="J656" s="56" t="n"/>
      <c r="K656" s="57" t="n"/>
      <c r="L656" s="94" t="n"/>
      <c r="M656" s="95" t="n"/>
      <c r="N656" s="95" t="n"/>
      <c r="O656" s="95" t="n"/>
      <c r="P656" s="96" t="n"/>
    </row>
    <row r="657" ht="33" customFormat="1" customHeight="1" s="1">
      <c r="A657" s="53" t="n"/>
      <c r="B657" s="97" t="n"/>
      <c r="C657" s="97" t="n"/>
      <c r="D657" s="97" t="n"/>
      <c r="E657" s="95" t="n"/>
      <c r="F657" s="17" t="n"/>
      <c r="G657" s="97" t="n"/>
      <c r="H657" s="97" t="n"/>
      <c r="I657" s="95" t="n"/>
      <c r="J657" s="56" t="n"/>
      <c r="K657" s="57" t="n"/>
      <c r="L657" s="94" t="n"/>
      <c r="M657" s="95" t="n"/>
      <c r="N657" s="95" t="n"/>
      <c r="O657" s="95" t="n"/>
      <c r="P657" s="96" t="n"/>
    </row>
    <row r="658" ht="33" customFormat="1" customHeight="1" s="1">
      <c r="A658" s="53" t="n"/>
      <c r="B658" s="97" t="n"/>
      <c r="C658" s="97" t="n"/>
      <c r="D658" s="97" t="n"/>
      <c r="E658" s="95" t="n"/>
      <c r="F658" s="17" t="n"/>
      <c r="G658" s="97" t="n"/>
      <c r="H658" s="97" t="n"/>
      <c r="I658" s="95" t="n"/>
      <c r="J658" s="56" t="n"/>
      <c r="K658" s="57" t="n"/>
      <c r="L658" s="94" t="n"/>
      <c r="M658" s="95" t="n"/>
      <c r="N658" s="95" t="n"/>
      <c r="O658" s="95" t="n"/>
      <c r="P658" s="96" t="n"/>
    </row>
    <row r="659" ht="33" customFormat="1" customHeight="1" s="1">
      <c r="A659" s="53" t="n"/>
      <c r="B659" s="97" t="n"/>
      <c r="C659" s="97" t="n"/>
      <c r="D659" s="97" t="n"/>
      <c r="E659" s="95" t="n"/>
      <c r="F659" s="17" t="n"/>
      <c r="G659" s="97" t="n"/>
      <c r="H659" s="97" t="n"/>
      <c r="I659" s="95" t="n"/>
      <c r="J659" s="56" t="n"/>
      <c r="K659" s="57" t="n"/>
      <c r="L659" s="94" t="n"/>
      <c r="M659" s="95" t="n"/>
      <c r="N659" s="95" t="n"/>
      <c r="O659" s="95" t="n"/>
      <c r="P659" s="96" t="n"/>
    </row>
    <row r="660" ht="33" customFormat="1" customHeight="1" s="1">
      <c r="A660" s="53" t="n"/>
      <c r="B660" s="97" t="n"/>
      <c r="C660" s="97" t="n"/>
      <c r="D660" s="97" t="n"/>
      <c r="E660" s="95" t="n"/>
      <c r="F660" s="17" t="n"/>
      <c r="G660" s="97" t="n"/>
      <c r="H660" s="97" t="n"/>
      <c r="I660" s="95" t="n"/>
      <c r="J660" s="56" t="n"/>
      <c r="K660" s="57" t="n"/>
      <c r="L660" s="94" t="n"/>
      <c r="M660" s="95" t="n"/>
      <c r="N660" s="95" t="n"/>
      <c r="O660" s="95" t="n"/>
      <c r="P660" s="96" t="n"/>
    </row>
    <row r="661" ht="33" customFormat="1" customHeight="1" s="1">
      <c r="A661" s="53" t="n"/>
      <c r="B661" s="97" t="n"/>
      <c r="C661" s="97" t="n"/>
      <c r="D661" s="97" t="n"/>
      <c r="E661" s="95" t="n"/>
      <c r="F661" s="17" t="n"/>
      <c r="G661" s="97" t="n"/>
      <c r="H661" s="97" t="n"/>
      <c r="I661" s="95" t="n"/>
      <c r="J661" s="56" t="n"/>
      <c r="K661" s="57" t="n"/>
      <c r="L661" s="94" t="n"/>
      <c r="M661" s="95" t="n"/>
      <c r="N661" s="95" t="n"/>
      <c r="O661" s="95" t="n"/>
      <c r="P661" s="96" t="n"/>
    </row>
    <row r="662" ht="33" customFormat="1" customHeight="1" s="1">
      <c r="A662" s="53" t="n"/>
      <c r="B662" s="97" t="n"/>
      <c r="C662" s="97" t="n"/>
      <c r="D662" s="97" t="n"/>
      <c r="E662" s="95" t="n"/>
      <c r="F662" s="17" t="n"/>
      <c r="G662" s="97" t="n"/>
      <c r="H662" s="97" t="n"/>
      <c r="I662" s="95" t="n"/>
      <c r="J662" s="56" t="n"/>
      <c r="K662" s="57" t="n"/>
      <c r="L662" s="94" t="n"/>
      <c r="M662" s="95" t="n"/>
      <c r="N662" s="95" t="n"/>
      <c r="O662" s="95" t="n"/>
      <c r="P662" s="96" t="n"/>
    </row>
    <row r="663" ht="33" customFormat="1" customHeight="1" s="1">
      <c r="A663" s="53" t="n"/>
      <c r="B663" s="97" t="n"/>
      <c r="C663" s="97" t="n"/>
      <c r="D663" s="97" t="n"/>
      <c r="E663" s="95" t="n"/>
      <c r="F663" s="17" t="n"/>
      <c r="G663" s="97" t="n"/>
      <c r="H663" s="97" t="n"/>
      <c r="I663" s="95" t="n"/>
      <c r="J663" s="56" t="n"/>
      <c r="K663" s="57" t="n"/>
      <c r="L663" s="94" t="n"/>
      <c r="M663" s="95" t="n"/>
      <c r="N663" s="95" t="n"/>
      <c r="O663" s="95" t="n"/>
      <c r="P663" s="96" t="n"/>
    </row>
    <row r="664" ht="33" customFormat="1" customHeight="1" s="1">
      <c r="A664" s="53" t="n"/>
      <c r="B664" s="97" t="n"/>
      <c r="C664" s="97" t="n"/>
      <c r="D664" s="97" t="n"/>
      <c r="E664" s="95" t="n"/>
      <c r="F664" s="17" t="n"/>
      <c r="G664" s="97" t="n"/>
      <c r="H664" s="97" t="n"/>
      <c r="I664" s="95" t="n"/>
      <c r="J664" s="56" t="n"/>
      <c r="K664" s="57" t="n"/>
      <c r="L664" s="94" t="n"/>
      <c r="M664" s="95" t="n"/>
      <c r="N664" s="95" t="n"/>
      <c r="O664" s="95" t="n"/>
      <c r="P664" s="96" t="n"/>
    </row>
    <row r="665" ht="33" customFormat="1" customHeight="1" s="1">
      <c r="A665" s="53" t="n"/>
      <c r="B665" s="97" t="n"/>
      <c r="C665" s="97" t="n"/>
      <c r="D665" s="97" t="n"/>
      <c r="E665" s="95" t="n"/>
      <c r="F665" s="17" t="n"/>
      <c r="G665" s="97" t="n"/>
      <c r="H665" s="97" t="n"/>
      <c r="I665" s="95" t="n"/>
      <c r="J665" s="56" t="n"/>
      <c r="K665" s="57" t="n"/>
      <c r="L665" s="94" t="n"/>
      <c r="M665" s="95" t="n"/>
      <c r="N665" s="95" t="n"/>
      <c r="O665" s="95" t="n"/>
      <c r="P665" s="96" t="n"/>
    </row>
    <row r="666" ht="33" customFormat="1" customHeight="1" s="1">
      <c r="A666" s="53" t="n"/>
      <c r="B666" s="97" t="n"/>
      <c r="C666" s="97" t="n"/>
      <c r="D666" s="97" t="n"/>
      <c r="E666" s="95" t="n"/>
      <c r="F666" s="17" t="n"/>
      <c r="G666" s="97" t="n"/>
      <c r="H666" s="97" t="n"/>
      <c r="I666" s="95" t="n"/>
      <c r="J666" s="56" t="n"/>
      <c r="K666" s="57" t="n"/>
      <c r="L666" s="94" t="n"/>
      <c r="M666" s="95" t="n"/>
      <c r="N666" s="95" t="n"/>
      <c r="O666" s="95" t="n"/>
      <c r="P666" s="96" t="n"/>
    </row>
    <row r="667" ht="33" customFormat="1" customHeight="1" s="1">
      <c r="A667" s="53" t="n"/>
      <c r="B667" s="97" t="n"/>
      <c r="C667" s="97" t="n"/>
      <c r="D667" s="97" t="n"/>
      <c r="E667" s="95" t="n"/>
      <c r="F667" s="17" t="n"/>
      <c r="G667" s="97" t="n"/>
      <c r="H667" s="97" t="n"/>
      <c r="I667" s="95" t="n"/>
      <c r="J667" s="56" t="n"/>
      <c r="K667" s="57" t="n"/>
      <c r="L667" s="94" t="n"/>
      <c r="M667" s="95" t="n"/>
      <c r="N667" s="95" t="n"/>
      <c r="O667" s="95" t="n"/>
      <c r="P667" s="96" t="n"/>
    </row>
    <row r="668" ht="33" customFormat="1" customHeight="1" s="1">
      <c r="A668" s="53" t="n"/>
      <c r="B668" s="97" t="n"/>
      <c r="C668" s="97" t="n"/>
      <c r="D668" s="97" t="n"/>
      <c r="E668" s="95" t="n"/>
      <c r="F668" s="17" t="n"/>
      <c r="G668" s="97" t="n"/>
      <c r="H668" s="97" t="n"/>
      <c r="I668" s="95" t="n"/>
      <c r="J668" s="56" t="n"/>
      <c r="K668" s="57" t="n"/>
      <c r="L668" s="94" t="n"/>
      <c r="M668" s="95" t="n"/>
      <c r="N668" s="95" t="n"/>
      <c r="O668" s="95" t="n"/>
      <c r="P668" s="96" t="n"/>
    </row>
    <row r="669" ht="33" customFormat="1" customHeight="1" s="1">
      <c r="A669" s="53" t="n"/>
      <c r="B669" s="97" t="n"/>
      <c r="C669" s="97" t="n"/>
      <c r="D669" s="97" t="n"/>
      <c r="E669" s="95" t="n"/>
      <c r="F669" s="17" t="n"/>
      <c r="G669" s="97" t="n"/>
      <c r="H669" s="97" t="n"/>
      <c r="I669" s="95" t="n"/>
      <c r="J669" s="56" t="n"/>
      <c r="K669" s="57" t="n"/>
      <c r="L669" s="94" t="n"/>
      <c r="M669" s="95" t="n"/>
      <c r="N669" s="95" t="n"/>
      <c r="O669" s="95" t="n"/>
      <c r="P669" s="96" t="n"/>
    </row>
    <row r="670" ht="33" customFormat="1" customHeight="1" s="1">
      <c r="A670" s="53" t="n"/>
      <c r="B670" s="97" t="n"/>
      <c r="C670" s="97" t="n"/>
      <c r="D670" s="97" t="n"/>
      <c r="E670" s="95" t="n"/>
      <c r="F670" s="17" t="n"/>
      <c r="G670" s="97" t="n"/>
      <c r="H670" s="97" t="n"/>
      <c r="I670" s="95" t="n"/>
      <c r="J670" s="56" t="n"/>
      <c r="K670" s="57" t="n"/>
      <c r="L670" s="94" t="n"/>
      <c r="M670" s="95" t="n"/>
      <c r="N670" s="95" t="n"/>
      <c r="O670" s="95" t="n"/>
      <c r="P670" s="96" t="n"/>
    </row>
    <row r="671" ht="33" customFormat="1" customHeight="1" s="1">
      <c r="A671" s="53" t="n"/>
      <c r="B671" s="97" t="n"/>
      <c r="C671" s="97" t="n"/>
      <c r="D671" s="97" t="n"/>
      <c r="E671" s="95" t="n"/>
      <c r="F671" s="17" t="n"/>
      <c r="G671" s="97" t="n"/>
      <c r="H671" s="97" t="n"/>
      <c r="I671" s="95" t="n"/>
      <c r="J671" s="56" t="n"/>
      <c r="K671" s="57" t="n"/>
      <c r="L671" s="94" t="n"/>
      <c r="M671" s="95" t="n"/>
      <c r="N671" s="95" t="n"/>
      <c r="O671" s="95" t="n"/>
      <c r="P671" s="96" t="n"/>
    </row>
    <row r="672" ht="33" customFormat="1" customHeight="1" s="1">
      <c r="A672" s="53" t="n"/>
      <c r="B672" s="97" t="n"/>
      <c r="C672" s="97" t="n"/>
      <c r="D672" s="97" t="n"/>
      <c r="E672" s="95" t="n"/>
      <c r="F672" s="17" t="n"/>
      <c r="G672" s="97" t="n"/>
      <c r="H672" s="97" t="n"/>
      <c r="I672" s="95" t="n"/>
      <c r="J672" s="56" t="n"/>
      <c r="K672" s="57" t="n"/>
      <c r="L672" s="94" t="n"/>
      <c r="M672" s="95" t="n"/>
      <c r="N672" s="95" t="n"/>
      <c r="O672" s="95" t="n"/>
      <c r="P672" s="96" t="n"/>
    </row>
    <row r="673" ht="33" customFormat="1" customHeight="1" s="1">
      <c r="A673" s="53" t="n"/>
      <c r="B673" s="97" t="n"/>
      <c r="C673" s="97" t="n"/>
      <c r="D673" s="97" t="n"/>
      <c r="E673" s="95" t="n"/>
      <c r="F673" s="17" t="n"/>
      <c r="G673" s="97" t="n"/>
      <c r="H673" s="97" t="n"/>
      <c r="I673" s="95" t="n"/>
      <c r="J673" s="56" t="n"/>
      <c r="K673" s="57" t="n"/>
      <c r="L673" s="94" t="n"/>
      <c r="M673" s="95" t="n"/>
      <c r="N673" s="95" t="n"/>
      <c r="O673" s="95" t="n"/>
      <c r="P673" s="96" t="n"/>
    </row>
    <row r="674" ht="33" customFormat="1" customHeight="1" s="1">
      <c r="A674" s="53" t="n"/>
      <c r="B674" s="97" t="n"/>
      <c r="C674" s="97" t="n"/>
      <c r="D674" s="97" t="n"/>
      <c r="E674" s="95" t="n"/>
      <c r="F674" s="17" t="n"/>
      <c r="G674" s="97" t="n"/>
      <c r="H674" s="97" t="n"/>
      <c r="I674" s="95" t="n"/>
      <c r="J674" s="56" t="n"/>
      <c r="K674" s="57" t="n"/>
      <c r="L674" s="94" t="n"/>
      <c r="M674" s="95" t="n"/>
      <c r="N674" s="95" t="n"/>
      <c r="O674" s="95" t="n"/>
      <c r="P674" s="96" t="n"/>
    </row>
    <row r="675" ht="33" customFormat="1" customHeight="1" s="1">
      <c r="A675" s="53" t="n"/>
      <c r="B675" s="97" t="n"/>
      <c r="C675" s="97" t="n"/>
      <c r="D675" s="97" t="n"/>
      <c r="E675" s="95" t="n"/>
      <c r="F675" s="17" t="n"/>
      <c r="G675" s="97" t="n"/>
      <c r="H675" s="97" t="n"/>
      <c r="I675" s="95" t="n"/>
      <c r="J675" s="56" t="n"/>
      <c r="K675" s="57" t="n"/>
      <c r="L675" s="94" t="n"/>
      <c r="M675" s="95" t="n"/>
      <c r="N675" s="95" t="n"/>
      <c r="O675" s="95" t="n"/>
      <c r="P675" s="96" t="n"/>
    </row>
    <row r="676" ht="33" customFormat="1" customHeight="1" s="1">
      <c r="A676" s="53" t="n"/>
      <c r="B676" s="97" t="n"/>
      <c r="C676" s="97" t="n"/>
      <c r="D676" s="97" t="n"/>
      <c r="E676" s="95" t="n"/>
      <c r="F676" s="17" t="n"/>
      <c r="G676" s="97" t="n"/>
      <c r="H676" s="97" t="n"/>
      <c r="I676" s="95" t="n"/>
      <c r="J676" s="56" t="n"/>
      <c r="K676" s="57" t="n"/>
      <c r="L676" s="94" t="n"/>
      <c r="M676" s="95" t="n"/>
      <c r="N676" s="95" t="n"/>
      <c r="O676" s="95" t="n"/>
      <c r="P676" s="96" t="n"/>
    </row>
    <row r="677" ht="33" customFormat="1" customHeight="1" s="1">
      <c r="A677" s="53" t="n"/>
      <c r="B677" s="97" t="n"/>
      <c r="C677" s="97" t="n"/>
      <c r="D677" s="97" t="n"/>
      <c r="E677" s="95" t="n"/>
      <c r="F677" s="17" t="n"/>
      <c r="G677" s="97" t="n"/>
      <c r="H677" s="97" t="n"/>
      <c r="I677" s="95" t="n"/>
      <c r="J677" s="56" t="n"/>
      <c r="K677" s="57" t="n"/>
      <c r="L677" s="94" t="n"/>
      <c r="M677" s="95" t="n"/>
      <c r="N677" s="95" t="n"/>
      <c r="O677" s="95" t="n"/>
      <c r="P677" s="96" t="n"/>
    </row>
    <row r="678" ht="33" customFormat="1" customHeight="1" s="1">
      <c r="A678" s="53" t="n"/>
      <c r="B678" s="97" t="n"/>
      <c r="C678" s="97" t="n"/>
      <c r="D678" s="97" t="n"/>
      <c r="E678" s="95" t="n"/>
      <c r="F678" s="17" t="n"/>
      <c r="G678" s="97" t="n"/>
      <c r="H678" s="97" t="n"/>
      <c r="I678" s="95" t="n"/>
      <c r="J678" s="56" t="n"/>
      <c r="K678" s="57" t="n"/>
      <c r="L678" s="94" t="n"/>
      <c r="M678" s="95" t="n"/>
      <c r="N678" s="95" t="n"/>
      <c r="O678" s="95" t="n"/>
      <c r="P678" s="96" t="n"/>
    </row>
    <row r="679" ht="33" customFormat="1" customHeight="1" s="1">
      <c r="A679" s="53" t="n"/>
      <c r="B679" s="97" t="n"/>
      <c r="C679" s="97" t="n"/>
      <c r="D679" s="97" t="n"/>
      <c r="E679" s="95" t="n"/>
      <c r="F679" s="17" t="n"/>
      <c r="G679" s="97" t="n"/>
      <c r="H679" s="97" t="n"/>
      <c r="I679" s="95" t="n"/>
      <c r="J679" s="56" t="n"/>
      <c r="K679" s="57" t="n"/>
      <c r="L679" s="94" t="n"/>
      <c r="M679" s="95" t="n"/>
      <c r="N679" s="95" t="n"/>
      <c r="O679" s="95" t="n"/>
      <c r="P679" s="96" t="n"/>
    </row>
    <row r="680" ht="33" customFormat="1" customHeight="1" s="1">
      <c r="A680" s="53" t="n"/>
      <c r="B680" s="97" t="n"/>
      <c r="C680" s="97" t="n"/>
      <c r="D680" s="97" t="n"/>
      <c r="E680" s="95" t="n"/>
      <c r="F680" s="17" t="n"/>
      <c r="G680" s="97" t="n"/>
      <c r="H680" s="97" t="n"/>
      <c r="I680" s="95" t="n"/>
      <c r="J680" s="56" t="n"/>
      <c r="K680" s="57" t="n"/>
      <c r="L680" s="94" t="n"/>
      <c r="M680" s="95" t="n"/>
      <c r="N680" s="95" t="n"/>
      <c r="O680" s="95" t="n"/>
      <c r="P680" s="96" t="n"/>
    </row>
    <row r="681" ht="33" customFormat="1" customHeight="1" s="1">
      <c r="A681" s="53" t="n"/>
      <c r="B681" s="97" t="n"/>
      <c r="C681" s="97" t="n"/>
      <c r="D681" s="97" t="n"/>
      <c r="E681" s="95" t="n"/>
      <c r="F681" s="17" t="n"/>
      <c r="G681" s="97" t="n"/>
      <c r="H681" s="97" t="n"/>
      <c r="I681" s="95" t="n"/>
      <c r="J681" s="56" t="n"/>
      <c r="K681" s="57" t="n"/>
      <c r="L681" s="94" t="n"/>
      <c r="M681" s="95" t="n"/>
      <c r="N681" s="95" t="n"/>
      <c r="O681" s="95" t="n"/>
      <c r="P681" s="96" t="n"/>
    </row>
    <row r="682" ht="33" customFormat="1" customHeight="1" s="1">
      <c r="A682" s="53" t="n"/>
      <c r="B682" s="97" t="n"/>
      <c r="C682" s="97" t="n"/>
      <c r="D682" s="97" t="n"/>
      <c r="E682" s="95" t="n"/>
      <c r="F682" s="17" t="n"/>
      <c r="G682" s="97" t="n"/>
      <c r="H682" s="97" t="n"/>
      <c r="I682" s="95" t="n"/>
      <c r="J682" s="56" t="n"/>
      <c r="K682" s="57" t="n"/>
      <c r="L682" s="94" t="n"/>
      <c r="M682" s="95" t="n"/>
      <c r="N682" s="95" t="n"/>
      <c r="O682" s="95" t="n"/>
      <c r="P682" s="96" t="n"/>
    </row>
    <row r="683" ht="33" customFormat="1" customHeight="1" s="1">
      <c r="A683" s="53" t="n"/>
      <c r="B683" s="97" t="n"/>
      <c r="C683" s="97" t="n"/>
      <c r="D683" s="97" t="n"/>
      <c r="E683" s="95" t="n"/>
      <c r="F683" s="17" t="n"/>
      <c r="G683" s="97" t="n"/>
      <c r="H683" s="97" t="n"/>
      <c r="I683" s="95" t="n"/>
      <c r="J683" s="56" t="n"/>
      <c r="K683" s="57" t="n"/>
      <c r="L683" s="94" t="n"/>
      <c r="M683" s="95" t="n"/>
      <c r="N683" s="95" t="n"/>
      <c r="O683" s="95" t="n"/>
      <c r="P683" s="96" t="n"/>
    </row>
    <row r="684" ht="33" customFormat="1" customHeight="1" s="1">
      <c r="A684" s="53" t="n"/>
      <c r="B684" s="97" t="n"/>
      <c r="C684" s="97" t="n"/>
      <c r="D684" s="97" t="n"/>
      <c r="E684" s="95" t="n"/>
      <c r="F684" s="17" t="n"/>
      <c r="G684" s="97" t="n"/>
      <c r="H684" s="97" t="n"/>
      <c r="I684" s="95" t="n"/>
      <c r="J684" s="56" t="n"/>
      <c r="K684" s="57" t="n"/>
      <c r="L684" s="94" t="n"/>
      <c r="M684" s="95" t="n"/>
      <c r="N684" s="95" t="n"/>
      <c r="O684" s="95" t="n"/>
      <c r="P684" s="96" t="n"/>
    </row>
    <row r="685" ht="33" customFormat="1" customHeight="1" s="1">
      <c r="A685" s="53" t="n"/>
      <c r="B685" s="97" t="n"/>
      <c r="C685" s="97" t="n"/>
      <c r="D685" s="97" t="n"/>
      <c r="E685" s="95" t="n"/>
      <c r="F685" s="17" t="n"/>
      <c r="G685" s="97" t="n"/>
      <c r="H685" s="97" t="n"/>
      <c r="I685" s="95" t="n"/>
      <c r="J685" s="56" t="n"/>
      <c r="K685" s="57" t="n"/>
      <c r="L685" s="94" t="n"/>
      <c r="M685" s="95" t="n"/>
      <c r="N685" s="95" t="n"/>
      <c r="O685" s="95" t="n"/>
      <c r="P685" s="96" t="n"/>
    </row>
    <row r="686" ht="33" customFormat="1" customHeight="1" s="1">
      <c r="A686" s="53" t="n"/>
      <c r="B686" s="97" t="n"/>
      <c r="C686" s="97" t="n"/>
      <c r="D686" s="97" t="n"/>
      <c r="E686" s="95" t="n"/>
      <c r="F686" s="17" t="n"/>
      <c r="G686" s="97" t="n"/>
      <c r="H686" s="97" t="n"/>
      <c r="I686" s="95" t="n"/>
      <c r="J686" s="56" t="n"/>
      <c r="K686" s="57" t="n"/>
      <c r="L686" s="94" t="n"/>
      <c r="M686" s="95" t="n"/>
      <c r="N686" s="95" t="n"/>
      <c r="O686" s="95" t="n"/>
      <c r="P686" s="96" t="n"/>
    </row>
    <row r="687" ht="33" customFormat="1" customHeight="1" s="1">
      <c r="A687" s="53" t="n"/>
      <c r="B687" s="97" t="n"/>
      <c r="C687" s="97" t="n"/>
      <c r="D687" s="97" t="n"/>
      <c r="E687" s="95" t="n"/>
      <c r="F687" s="17" t="n"/>
      <c r="G687" s="97" t="n"/>
      <c r="H687" s="97" t="n"/>
      <c r="I687" s="95" t="n"/>
      <c r="J687" s="56" t="n"/>
      <c r="K687" s="57" t="n"/>
      <c r="L687" s="94" t="n"/>
      <c r="M687" s="95" t="n"/>
      <c r="N687" s="95" t="n"/>
      <c r="O687" s="95" t="n"/>
      <c r="P687" s="96" t="n"/>
    </row>
    <row r="688" ht="33" customFormat="1" customHeight="1" s="1">
      <c r="A688" s="53" t="n"/>
      <c r="B688" s="97" t="n"/>
      <c r="C688" s="97" t="n"/>
      <c r="D688" s="97" t="n"/>
      <c r="E688" s="95" t="n"/>
      <c r="F688" s="17" t="n"/>
      <c r="G688" s="97" t="n"/>
      <c r="H688" s="97" t="n"/>
      <c r="I688" s="95" t="n"/>
      <c r="J688" s="56" t="n"/>
      <c r="K688" s="57" t="n"/>
      <c r="L688" s="94" t="n"/>
      <c r="M688" s="95" t="n"/>
      <c r="N688" s="95" t="n"/>
      <c r="O688" s="95" t="n"/>
      <c r="P688" s="96" t="n"/>
    </row>
    <row r="689" ht="33" customFormat="1" customHeight="1" s="1">
      <c r="A689" s="53" t="n"/>
      <c r="B689" s="97" t="n"/>
      <c r="C689" s="97" t="n"/>
      <c r="D689" s="97" t="n"/>
      <c r="E689" s="95" t="n"/>
      <c r="F689" s="17" t="n"/>
      <c r="G689" s="97" t="n"/>
      <c r="H689" s="97" t="n"/>
      <c r="I689" s="95" t="n"/>
      <c r="J689" s="56" t="n"/>
      <c r="K689" s="57" t="n"/>
      <c r="L689" s="94" t="n"/>
      <c r="M689" s="95" t="n"/>
      <c r="N689" s="95" t="n"/>
      <c r="O689" s="95" t="n"/>
      <c r="P689" s="96" t="n"/>
    </row>
    <row r="690" ht="33" customFormat="1" customHeight="1" s="1">
      <c r="A690" s="53" t="n"/>
      <c r="B690" s="97" t="n"/>
      <c r="C690" s="97" t="n"/>
      <c r="D690" s="97" t="n"/>
      <c r="E690" s="95" t="n"/>
      <c r="F690" s="17" t="n"/>
      <c r="G690" s="97" t="n"/>
      <c r="H690" s="97" t="n"/>
      <c r="I690" s="95" t="n"/>
      <c r="J690" s="56" t="n"/>
      <c r="K690" s="57" t="n"/>
      <c r="L690" s="94" t="n"/>
      <c r="M690" s="95" t="n"/>
      <c r="N690" s="95" t="n"/>
      <c r="O690" s="95" t="n"/>
      <c r="P690" s="96" t="n"/>
    </row>
    <row r="691" ht="33" customFormat="1" customHeight="1" s="1">
      <c r="A691" s="53" t="n"/>
      <c r="B691" s="97" t="n"/>
      <c r="C691" s="97" t="n"/>
      <c r="D691" s="97" t="n"/>
      <c r="E691" s="95" t="n"/>
      <c r="F691" s="17" t="n"/>
      <c r="G691" s="97" t="n"/>
      <c r="H691" s="97" t="n"/>
      <c r="I691" s="95" t="n"/>
      <c r="J691" s="56" t="n"/>
      <c r="K691" s="57" t="n"/>
      <c r="L691" s="94" t="n"/>
      <c r="M691" s="95" t="n"/>
      <c r="N691" s="95" t="n"/>
      <c r="O691" s="95" t="n"/>
      <c r="P691" s="96" t="n"/>
    </row>
    <row r="692" ht="33" customFormat="1" customHeight="1" s="1">
      <c r="A692" s="53" t="n"/>
      <c r="B692" s="97" t="n"/>
      <c r="C692" s="97" t="n"/>
      <c r="D692" s="97" t="n"/>
      <c r="E692" s="95" t="n"/>
      <c r="F692" s="17" t="n"/>
      <c r="G692" s="97" t="n"/>
      <c r="H692" s="97" t="n"/>
      <c r="I692" s="95" t="n"/>
      <c r="J692" s="56" t="n"/>
      <c r="K692" s="57" t="n"/>
      <c r="L692" s="94" t="n"/>
      <c r="M692" s="95" t="n"/>
      <c r="N692" s="95" t="n"/>
      <c r="O692" s="95" t="n"/>
      <c r="P692" s="96" t="n"/>
    </row>
    <row r="693" ht="33" customFormat="1" customHeight="1" s="1">
      <c r="A693" s="53" t="n"/>
      <c r="B693" s="97" t="n"/>
      <c r="C693" s="97" t="n"/>
      <c r="D693" s="97" t="n"/>
      <c r="E693" s="95" t="n"/>
      <c r="F693" s="17" t="n"/>
      <c r="G693" s="97" t="n"/>
      <c r="H693" s="97" t="n"/>
      <c r="I693" s="95" t="n"/>
      <c r="J693" s="56" t="n"/>
      <c r="K693" s="57" t="n"/>
      <c r="L693" s="94" t="n"/>
      <c r="M693" s="95" t="n"/>
      <c r="N693" s="95" t="n"/>
      <c r="O693" s="95" t="n"/>
      <c r="P693" s="96" t="n"/>
    </row>
    <row r="694" ht="33" customFormat="1" customHeight="1" s="1">
      <c r="A694" s="53" t="n"/>
      <c r="B694" s="97" t="n"/>
      <c r="C694" s="97" t="n"/>
      <c r="D694" s="97" t="n"/>
      <c r="E694" s="95" t="n"/>
      <c r="F694" s="17" t="n"/>
      <c r="G694" s="97" t="n"/>
      <c r="H694" s="97" t="n"/>
      <c r="I694" s="95" t="n"/>
      <c r="J694" s="56" t="n"/>
      <c r="K694" s="57" t="n"/>
      <c r="L694" s="94" t="n"/>
      <c r="M694" s="95" t="n"/>
      <c r="N694" s="95" t="n"/>
      <c r="O694" s="95" t="n"/>
      <c r="P694" s="96" t="n"/>
    </row>
    <row r="695" ht="33" customFormat="1" customHeight="1" s="1">
      <c r="A695" s="53" t="n"/>
      <c r="B695" s="97" t="n"/>
      <c r="C695" s="97" t="n"/>
      <c r="D695" s="97" t="n"/>
      <c r="E695" s="95" t="n"/>
      <c r="F695" s="17" t="n"/>
      <c r="G695" s="97" t="n"/>
      <c r="H695" s="97" t="n"/>
      <c r="I695" s="95" t="n"/>
      <c r="J695" s="56" t="n"/>
      <c r="K695" s="57" t="n"/>
      <c r="L695" s="94" t="n"/>
      <c r="M695" s="95" t="n"/>
      <c r="N695" s="95" t="n"/>
      <c r="O695" s="95" t="n"/>
      <c r="P695" s="96" t="n"/>
    </row>
    <row r="696" ht="33" customFormat="1" customHeight="1" s="1">
      <c r="A696" s="53" t="n"/>
      <c r="B696" s="97" t="n"/>
      <c r="C696" s="97" t="n"/>
      <c r="D696" s="97" t="n"/>
      <c r="E696" s="95" t="n"/>
      <c r="F696" s="17" t="n"/>
      <c r="G696" s="97" t="n"/>
      <c r="H696" s="97" t="n"/>
      <c r="I696" s="95" t="n"/>
      <c r="J696" s="56" t="n"/>
      <c r="K696" s="57" t="n"/>
      <c r="L696" s="94" t="n"/>
      <c r="M696" s="95" t="n"/>
      <c r="N696" s="95" t="n"/>
      <c r="O696" s="95" t="n"/>
      <c r="P696" s="96" t="n"/>
    </row>
    <row r="697" ht="33" customFormat="1" customHeight="1" s="1">
      <c r="A697" s="53" t="n"/>
      <c r="B697" s="97" t="n"/>
      <c r="C697" s="97" t="n"/>
      <c r="D697" s="97" t="n"/>
      <c r="E697" s="95" t="n"/>
      <c r="F697" s="17" t="n"/>
      <c r="G697" s="97" t="n"/>
      <c r="H697" s="97" t="n"/>
      <c r="I697" s="95" t="n"/>
      <c r="J697" s="56" t="n"/>
      <c r="K697" s="57" t="n"/>
      <c r="L697" s="94" t="n"/>
      <c r="M697" s="95" t="n"/>
      <c r="N697" s="95" t="n"/>
      <c r="O697" s="95" t="n"/>
      <c r="P697" s="96" t="n"/>
    </row>
    <row r="698" ht="33" customFormat="1" customHeight="1" s="1">
      <c r="A698" s="53" t="n"/>
      <c r="B698" s="97" t="n"/>
      <c r="C698" s="97" t="n"/>
      <c r="D698" s="97" t="n"/>
      <c r="E698" s="95" t="n"/>
      <c r="F698" s="17" t="n"/>
      <c r="G698" s="97" t="n"/>
      <c r="H698" s="97" t="n"/>
      <c r="I698" s="95" t="n"/>
      <c r="J698" s="56" t="n"/>
      <c r="K698" s="57" t="n"/>
      <c r="L698" s="94" t="n"/>
      <c r="M698" s="95" t="n"/>
      <c r="N698" s="95" t="n"/>
      <c r="O698" s="95" t="n"/>
      <c r="P698" s="96" t="n"/>
    </row>
    <row r="699" ht="33" customFormat="1" customHeight="1" s="1">
      <c r="A699" s="53" t="n"/>
      <c r="B699" s="97" t="n"/>
      <c r="C699" s="97" t="n"/>
      <c r="D699" s="97" t="n"/>
      <c r="E699" s="95" t="n"/>
      <c r="F699" s="17" t="n"/>
      <c r="G699" s="97" t="n"/>
      <c r="H699" s="97" t="n"/>
      <c r="I699" s="95" t="n"/>
      <c r="J699" s="56" t="n"/>
      <c r="K699" s="57" t="n"/>
      <c r="L699" s="94" t="n"/>
      <c r="M699" s="95" t="n"/>
      <c r="N699" s="95" t="n"/>
      <c r="O699" s="95" t="n"/>
      <c r="P699" s="96" t="n"/>
    </row>
    <row r="700" ht="33" customFormat="1" customHeight="1" s="1">
      <c r="A700" s="53" t="n"/>
      <c r="B700" s="97" t="n"/>
      <c r="C700" s="97" t="n"/>
      <c r="D700" s="97" t="n"/>
      <c r="E700" s="95" t="n"/>
      <c r="F700" s="17" t="n"/>
      <c r="G700" s="97" t="n"/>
      <c r="H700" s="97" t="n"/>
      <c r="I700" s="95" t="n"/>
      <c r="J700" s="56" t="n"/>
      <c r="K700" s="57" t="n"/>
      <c r="L700" s="94" t="n"/>
      <c r="M700" s="95" t="n"/>
      <c r="N700" s="95" t="n"/>
      <c r="O700" s="95" t="n"/>
      <c r="P700" s="96" t="n"/>
    </row>
    <row r="701" ht="33" customFormat="1" customHeight="1" s="1">
      <c r="A701" s="53" t="n"/>
      <c r="B701" s="97" t="n"/>
      <c r="C701" s="97" t="n"/>
      <c r="D701" s="97" t="n"/>
      <c r="E701" s="95" t="n"/>
      <c r="F701" s="17" t="n"/>
      <c r="G701" s="97" t="n"/>
      <c r="H701" s="97" t="n"/>
      <c r="I701" s="95" t="n"/>
      <c r="J701" s="56" t="n"/>
      <c r="K701" s="57" t="n"/>
      <c r="L701" s="94" t="n"/>
      <c r="M701" s="95" t="n"/>
      <c r="N701" s="95" t="n"/>
      <c r="O701" s="95" t="n"/>
      <c r="P701" s="96" t="n"/>
    </row>
    <row r="702" ht="33" customFormat="1" customHeight="1" s="1">
      <c r="A702" s="53" t="n"/>
      <c r="B702" s="97" t="n"/>
      <c r="C702" s="97" t="n"/>
      <c r="D702" s="97" t="n"/>
      <c r="E702" s="95" t="n"/>
      <c r="F702" s="17" t="n"/>
      <c r="G702" s="97" t="n"/>
      <c r="H702" s="97" t="n"/>
      <c r="I702" s="95" t="n"/>
      <c r="J702" s="56" t="n"/>
      <c r="K702" s="57" t="n"/>
      <c r="L702" s="94" t="n"/>
      <c r="M702" s="95" t="n"/>
      <c r="N702" s="95" t="n"/>
      <c r="O702" s="95" t="n"/>
      <c r="P702" s="96" t="n"/>
    </row>
    <row r="703" ht="33" customFormat="1" customHeight="1" s="1">
      <c r="A703" s="53" t="n"/>
      <c r="B703" s="97" t="n"/>
      <c r="C703" s="97" t="n"/>
      <c r="D703" s="97" t="n"/>
      <c r="E703" s="95" t="n"/>
      <c r="F703" s="17" t="n"/>
      <c r="G703" s="97" t="n"/>
      <c r="H703" s="97" t="n"/>
      <c r="I703" s="95" t="n"/>
      <c r="J703" s="56" t="n"/>
      <c r="K703" s="57" t="n"/>
      <c r="L703" s="94" t="n"/>
      <c r="M703" s="95" t="n"/>
      <c r="N703" s="95" t="n"/>
      <c r="O703" s="95" t="n"/>
      <c r="P703" s="96" t="n"/>
    </row>
    <row r="704" ht="33" customFormat="1" customHeight="1" s="1">
      <c r="A704" s="53" t="n"/>
      <c r="B704" s="97" t="n"/>
      <c r="C704" s="97" t="n"/>
      <c r="D704" s="97" t="n"/>
      <c r="E704" s="95" t="n"/>
      <c r="F704" s="17" t="n"/>
      <c r="G704" s="97" t="n"/>
      <c r="H704" s="97" t="n"/>
      <c r="I704" s="95" t="n"/>
      <c r="J704" s="56" t="n"/>
      <c r="K704" s="57" t="n"/>
      <c r="L704" s="94" t="n"/>
      <c r="M704" s="95" t="n"/>
      <c r="N704" s="95" t="n"/>
      <c r="O704" s="95" t="n"/>
      <c r="P704" s="96" t="n"/>
    </row>
    <row r="705" ht="33" customFormat="1" customHeight="1" s="1">
      <c r="A705" s="53" t="n"/>
      <c r="B705" s="97" t="n"/>
      <c r="C705" s="97" t="n"/>
      <c r="D705" s="97" t="n"/>
      <c r="E705" s="95" t="n"/>
      <c r="F705" s="17" t="n"/>
      <c r="G705" s="97" t="n"/>
      <c r="H705" s="97" t="n"/>
      <c r="I705" s="95" t="n"/>
      <c r="J705" s="56" t="n"/>
      <c r="K705" s="57" t="n"/>
      <c r="L705" s="94" t="n"/>
      <c r="M705" s="95" t="n"/>
      <c r="N705" s="95" t="n"/>
      <c r="O705" s="95" t="n"/>
      <c r="P705" s="96" t="n"/>
    </row>
    <row r="706" ht="33" customFormat="1" customHeight="1" s="1">
      <c r="A706" s="53" t="n"/>
      <c r="B706" s="97" t="n"/>
      <c r="C706" s="97" t="n"/>
      <c r="D706" s="97" t="n"/>
      <c r="E706" s="95" t="n"/>
      <c r="F706" s="17" t="n"/>
      <c r="G706" s="97" t="n"/>
      <c r="H706" s="97" t="n"/>
      <c r="I706" s="95" t="n"/>
      <c r="J706" s="56" t="n"/>
      <c r="K706" s="57" t="n"/>
      <c r="L706" s="94" t="n"/>
      <c r="M706" s="95" t="n"/>
      <c r="N706" s="95" t="n"/>
      <c r="O706" s="95" t="n"/>
      <c r="P706" s="96" t="n"/>
    </row>
    <row r="707" ht="33" customFormat="1" customHeight="1" s="1">
      <c r="A707" s="53" t="n"/>
      <c r="B707" s="97" t="n"/>
      <c r="C707" s="97" t="n"/>
      <c r="D707" s="97" t="n"/>
      <c r="E707" s="95" t="n"/>
      <c r="F707" s="17" t="n"/>
      <c r="G707" s="97" t="n"/>
      <c r="H707" s="97" t="n"/>
      <c r="I707" s="95" t="n"/>
      <c r="J707" s="56" t="n"/>
      <c r="K707" s="57" t="n"/>
      <c r="L707" s="94" t="n"/>
      <c r="M707" s="95" t="n"/>
      <c r="N707" s="95" t="n"/>
      <c r="O707" s="95" t="n"/>
      <c r="P707" s="96" t="n"/>
    </row>
    <row r="708" ht="33" customFormat="1" customHeight="1" s="1">
      <c r="A708" s="53" t="n"/>
      <c r="B708" s="97" t="n"/>
      <c r="C708" s="97" t="n"/>
      <c r="D708" s="97" t="n"/>
      <c r="E708" s="95" t="n"/>
      <c r="F708" s="17" t="n"/>
      <c r="G708" s="97" t="n"/>
      <c r="H708" s="97" t="n"/>
      <c r="I708" s="95" t="n"/>
      <c r="J708" s="56" t="n"/>
      <c r="K708" s="57" t="n"/>
      <c r="L708" s="94" t="n"/>
      <c r="M708" s="95" t="n"/>
      <c r="N708" s="95" t="n"/>
      <c r="O708" s="95" t="n"/>
      <c r="P708" s="96" t="n"/>
    </row>
    <row r="709" ht="33" customFormat="1" customHeight="1" s="1">
      <c r="A709" s="53" t="n"/>
      <c r="B709" s="97" t="n"/>
      <c r="C709" s="97" t="n"/>
      <c r="D709" s="97" t="n"/>
      <c r="E709" s="95" t="n"/>
      <c r="F709" s="17" t="n"/>
      <c r="G709" s="97" t="n"/>
      <c r="H709" s="97" t="n"/>
      <c r="I709" s="95" t="n"/>
      <c r="J709" s="56" t="n"/>
      <c r="K709" s="57" t="n"/>
      <c r="L709" s="94" t="n"/>
      <c r="M709" s="95" t="n"/>
      <c r="N709" s="95" t="n"/>
      <c r="O709" s="95" t="n"/>
      <c r="P709" s="96" t="n"/>
    </row>
    <row r="710" ht="33" customFormat="1" customHeight="1" s="1">
      <c r="A710" s="53" t="n"/>
      <c r="B710" s="97" t="n"/>
      <c r="C710" s="97" t="n"/>
      <c r="D710" s="97" t="n"/>
      <c r="E710" s="95" t="n"/>
      <c r="F710" s="17" t="n"/>
      <c r="G710" s="97" t="n"/>
      <c r="H710" s="97" t="n"/>
      <c r="I710" s="95" t="n"/>
      <c r="J710" s="56" t="n"/>
      <c r="K710" s="57" t="n"/>
      <c r="L710" s="94" t="n"/>
      <c r="M710" s="95" t="n"/>
      <c r="N710" s="95" t="n"/>
      <c r="O710" s="95" t="n"/>
      <c r="P710" s="96" t="n"/>
    </row>
    <row r="711" ht="33" customFormat="1" customHeight="1" s="1">
      <c r="A711" s="53" t="n"/>
      <c r="B711" s="97" t="n"/>
      <c r="C711" s="97" t="n"/>
      <c r="D711" s="97" t="n"/>
      <c r="E711" s="95" t="n"/>
      <c r="F711" s="17" t="n"/>
      <c r="G711" s="97" t="n"/>
      <c r="H711" s="97" t="n"/>
      <c r="I711" s="95" t="n"/>
      <c r="J711" s="56" t="n"/>
      <c r="K711" s="57" t="n"/>
      <c r="L711" s="94" t="n"/>
      <c r="M711" s="95" t="n"/>
      <c r="N711" s="95" t="n"/>
      <c r="O711" s="95" t="n"/>
      <c r="P711" s="96" t="n"/>
    </row>
    <row r="712" ht="33" customFormat="1" customHeight="1" s="1">
      <c r="A712" s="53" t="n"/>
      <c r="B712" s="97" t="n"/>
      <c r="C712" s="97" t="n"/>
      <c r="D712" s="97" t="n"/>
      <c r="E712" s="95" t="n"/>
      <c r="F712" s="17" t="n"/>
      <c r="G712" s="97" t="n"/>
      <c r="H712" s="97" t="n"/>
      <c r="I712" s="95" t="n"/>
      <c r="J712" s="56" t="n"/>
      <c r="K712" s="57" t="n"/>
      <c r="L712" s="94" t="n"/>
      <c r="M712" s="95" t="n"/>
      <c r="N712" s="95" t="n"/>
      <c r="O712" s="95" t="n"/>
      <c r="P712" s="96" t="n"/>
    </row>
    <row r="713" ht="33" customFormat="1" customHeight="1" s="1">
      <c r="A713" s="53" t="n"/>
      <c r="B713" s="97" t="n"/>
      <c r="C713" s="97" t="n"/>
      <c r="D713" s="97" t="n"/>
      <c r="E713" s="95" t="n"/>
      <c r="F713" s="17" t="n"/>
      <c r="G713" s="97" t="n"/>
      <c r="H713" s="97" t="n"/>
      <c r="I713" s="95" t="n"/>
      <c r="J713" s="56" t="n"/>
      <c r="K713" s="57" t="n"/>
      <c r="L713" s="94" t="n"/>
      <c r="M713" s="95" t="n"/>
      <c r="N713" s="95" t="n"/>
      <c r="O713" s="95" t="n"/>
      <c r="P713" s="96" t="n"/>
    </row>
    <row r="714" ht="33" customFormat="1" customHeight="1" s="1">
      <c r="A714" s="53" t="n"/>
      <c r="B714" s="97" t="n"/>
      <c r="C714" s="97" t="n"/>
      <c r="D714" s="97" t="n"/>
      <c r="E714" s="95" t="n"/>
      <c r="F714" s="17" t="n"/>
      <c r="G714" s="97" t="n"/>
      <c r="H714" s="97" t="n"/>
      <c r="I714" s="95" t="n"/>
      <c r="J714" s="56" t="n"/>
      <c r="K714" s="57" t="n"/>
      <c r="L714" s="94" t="n"/>
      <c r="M714" s="95" t="n"/>
      <c r="N714" s="95" t="n"/>
      <c r="O714" s="95" t="n"/>
      <c r="P714" s="96" t="n"/>
    </row>
    <row r="715" ht="33" customFormat="1" customHeight="1" s="1">
      <c r="A715" s="53" t="n"/>
      <c r="B715" s="97" t="n"/>
      <c r="C715" s="97" t="n"/>
      <c r="D715" s="97" t="n"/>
      <c r="E715" s="95" t="n"/>
      <c r="F715" s="17" t="n"/>
      <c r="G715" s="97" t="n"/>
      <c r="H715" s="97" t="n"/>
      <c r="I715" s="95" t="n"/>
      <c r="J715" s="56" t="n"/>
      <c r="K715" s="57" t="n"/>
      <c r="L715" s="94" t="n"/>
      <c r="M715" s="95" t="n"/>
      <c r="N715" s="95" t="n"/>
      <c r="O715" s="95" t="n"/>
      <c r="P715" s="96" t="n"/>
    </row>
    <row r="716" ht="33" customFormat="1" customHeight="1" s="1">
      <c r="A716" s="53" t="n"/>
      <c r="B716" s="97" t="n"/>
      <c r="C716" s="97" t="n"/>
      <c r="D716" s="97" t="n"/>
      <c r="E716" s="95" t="n"/>
      <c r="F716" s="17" t="n"/>
      <c r="G716" s="97" t="n"/>
      <c r="H716" s="97" t="n"/>
      <c r="I716" s="95" t="n"/>
      <c r="J716" s="56" t="n"/>
      <c r="K716" s="57" t="n"/>
      <c r="L716" s="94" t="n"/>
      <c r="M716" s="95" t="n"/>
      <c r="N716" s="95" t="n"/>
      <c r="O716" s="95" t="n"/>
      <c r="P716" s="96" t="n"/>
    </row>
    <row r="717" ht="33" customFormat="1" customHeight="1" s="1">
      <c r="A717" s="53" t="n"/>
      <c r="B717" s="97" t="n"/>
      <c r="C717" s="97" t="n"/>
      <c r="D717" s="97" t="n"/>
      <c r="E717" s="95" t="n"/>
      <c r="F717" s="17" t="n"/>
      <c r="G717" s="97" t="n"/>
      <c r="H717" s="97" t="n"/>
      <c r="I717" s="95" t="n"/>
      <c r="J717" s="56" t="n"/>
      <c r="K717" s="57" t="n"/>
      <c r="L717" s="94" t="n"/>
      <c r="M717" s="95" t="n"/>
      <c r="N717" s="95" t="n"/>
      <c r="O717" s="95" t="n"/>
      <c r="P717" s="96" t="n"/>
    </row>
    <row r="718" ht="33" customFormat="1" customHeight="1" s="1">
      <c r="A718" s="53" t="n"/>
      <c r="B718" s="97" t="n"/>
      <c r="C718" s="97" t="n"/>
      <c r="D718" s="97" t="n"/>
      <c r="E718" s="95" t="n"/>
      <c r="F718" s="17" t="n"/>
      <c r="G718" s="97" t="n"/>
      <c r="H718" s="97" t="n"/>
      <c r="I718" s="95" t="n"/>
      <c r="J718" s="56" t="n"/>
      <c r="K718" s="57" t="n"/>
      <c r="L718" s="94" t="n"/>
      <c r="M718" s="95" t="n"/>
      <c r="N718" s="95" t="n"/>
      <c r="O718" s="95" t="n"/>
      <c r="P718" s="96" t="n"/>
    </row>
    <row r="719" ht="33" customFormat="1" customHeight="1" s="1">
      <c r="A719" s="53" t="n"/>
      <c r="B719" s="97" t="n"/>
      <c r="C719" s="97" t="n"/>
      <c r="D719" s="97" t="n"/>
      <c r="E719" s="95" t="n"/>
      <c r="F719" s="17" t="n"/>
      <c r="G719" s="97" t="n"/>
      <c r="H719" s="97" t="n"/>
      <c r="I719" s="95" t="n"/>
      <c r="J719" s="56" t="n"/>
      <c r="K719" s="57" t="n"/>
      <c r="L719" s="94" t="n"/>
      <c r="M719" s="95" t="n"/>
      <c r="N719" s="95" t="n"/>
      <c r="O719" s="95" t="n"/>
      <c r="P719" s="96" t="n"/>
    </row>
    <row r="720" ht="33" customFormat="1" customHeight="1" s="1">
      <c r="A720" s="53" t="n"/>
      <c r="B720" s="97" t="n"/>
      <c r="C720" s="97" t="n"/>
      <c r="D720" s="97" t="n"/>
      <c r="E720" s="95" t="n"/>
      <c r="F720" s="17" t="n"/>
      <c r="G720" s="97" t="n"/>
      <c r="H720" s="97" t="n"/>
      <c r="I720" s="95" t="n"/>
      <c r="J720" s="56" t="n"/>
      <c r="K720" s="57" t="n"/>
      <c r="L720" s="94" t="n"/>
      <c r="M720" s="95" t="n"/>
      <c r="N720" s="95" t="n"/>
      <c r="O720" s="95" t="n"/>
      <c r="P720" s="96" t="n"/>
    </row>
    <row r="721" ht="33" customFormat="1" customHeight="1" s="1">
      <c r="A721" s="53" t="n"/>
      <c r="B721" s="97" t="n"/>
      <c r="C721" s="97" t="n"/>
      <c r="D721" s="97" t="n"/>
      <c r="E721" s="95" t="n"/>
      <c r="F721" s="17" t="n"/>
      <c r="G721" s="97" t="n"/>
      <c r="H721" s="97" t="n"/>
      <c r="I721" s="95" t="n"/>
      <c r="J721" s="56" t="n"/>
      <c r="K721" s="57" t="n"/>
      <c r="L721" s="94" t="n"/>
      <c r="M721" s="95" t="n"/>
      <c r="N721" s="95" t="n"/>
      <c r="O721" s="95" t="n"/>
      <c r="P721" s="96" t="n"/>
    </row>
    <row r="722" ht="33" customFormat="1" customHeight="1" s="1">
      <c r="A722" s="53" t="n"/>
      <c r="B722" s="97" t="n"/>
      <c r="C722" s="97" t="n"/>
      <c r="D722" s="97" t="n"/>
      <c r="E722" s="95" t="n"/>
      <c r="F722" s="17" t="n"/>
      <c r="G722" s="97" t="n"/>
      <c r="H722" s="97" t="n"/>
      <c r="I722" s="95" t="n"/>
      <c r="J722" s="56" t="n"/>
      <c r="K722" s="57" t="n"/>
      <c r="L722" s="94" t="n"/>
      <c r="M722" s="95" t="n"/>
      <c r="N722" s="95" t="n"/>
      <c r="O722" s="95" t="n"/>
      <c r="P722" s="96" t="n"/>
    </row>
    <row r="723" ht="33" customFormat="1" customHeight="1" s="1">
      <c r="A723" s="53" t="n"/>
      <c r="B723" s="97" t="n"/>
      <c r="C723" s="97" t="n"/>
      <c r="D723" s="97" t="n"/>
      <c r="E723" s="95" t="n"/>
      <c r="F723" s="17" t="n"/>
      <c r="G723" s="97" t="n"/>
      <c r="H723" s="97" t="n"/>
      <c r="I723" s="95" t="n"/>
      <c r="J723" s="56" t="n"/>
      <c r="K723" s="57" t="n"/>
      <c r="L723" s="94" t="n"/>
      <c r="M723" s="95" t="n"/>
      <c r="N723" s="95" t="n"/>
      <c r="O723" s="95" t="n"/>
      <c r="P723" s="96" t="n"/>
    </row>
    <row r="724" ht="33" customFormat="1" customHeight="1" s="1">
      <c r="A724" s="53" t="n"/>
      <c r="B724" s="97" t="n"/>
      <c r="C724" s="97" t="n"/>
      <c r="D724" s="97" t="n"/>
      <c r="E724" s="95" t="n"/>
      <c r="F724" s="17" t="n"/>
      <c r="G724" s="97" t="n"/>
      <c r="H724" s="97" t="n"/>
      <c r="I724" s="95" t="n"/>
      <c r="J724" s="56" t="n"/>
      <c r="K724" s="57" t="n"/>
      <c r="L724" s="94" t="n"/>
      <c r="M724" s="95" t="n"/>
      <c r="N724" s="95" t="n"/>
      <c r="O724" s="95" t="n"/>
      <c r="P724" s="96" t="n"/>
    </row>
    <row r="725" ht="33" customFormat="1" customHeight="1" s="1">
      <c r="A725" s="53" t="n"/>
      <c r="B725" s="97" t="n"/>
      <c r="C725" s="97" t="n"/>
      <c r="D725" s="97" t="n"/>
      <c r="E725" s="95" t="n"/>
      <c r="F725" s="17" t="n"/>
      <c r="G725" s="97" t="n"/>
      <c r="H725" s="97" t="n"/>
      <c r="I725" s="95" t="n"/>
      <c r="J725" s="56" t="n"/>
      <c r="K725" s="57" t="n"/>
      <c r="L725" s="94" t="n"/>
      <c r="M725" s="95" t="n"/>
      <c r="N725" s="95" t="n"/>
      <c r="O725" s="95" t="n"/>
      <c r="P725" s="96" t="n"/>
    </row>
    <row r="726" ht="33" customFormat="1" customHeight="1" s="1">
      <c r="A726" s="53" t="n"/>
      <c r="B726" s="97" t="n"/>
      <c r="C726" s="97" t="n"/>
      <c r="D726" s="97" t="n"/>
      <c r="E726" s="95" t="n"/>
      <c r="F726" s="17" t="n"/>
      <c r="G726" s="97" t="n"/>
      <c r="H726" s="97" t="n"/>
      <c r="I726" s="95" t="n"/>
      <c r="J726" s="56" t="n"/>
      <c r="K726" s="57" t="n"/>
      <c r="L726" s="94" t="n"/>
      <c r="M726" s="95" t="n"/>
      <c r="N726" s="95" t="n"/>
      <c r="O726" s="95" t="n"/>
      <c r="P726" s="96" t="n"/>
    </row>
    <row r="727" ht="33" customFormat="1" customHeight="1" s="1">
      <c r="A727" s="53" t="n"/>
      <c r="B727" s="97" t="n"/>
      <c r="C727" s="97" t="n"/>
      <c r="D727" s="97" t="n"/>
      <c r="E727" s="95" t="n"/>
      <c r="F727" s="17" t="n"/>
      <c r="G727" s="97" t="n"/>
      <c r="H727" s="97" t="n"/>
      <c r="I727" s="95" t="n"/>
      <c r="J727" s="56" t="n"/>
      <c r="K727" s="57" t="n"/>
      <c r="L727" s="94" t="n"/>
      <c r="M727" s="95" t="n"/>
      <c r="N727" s="95" t="n"/>
      <c r="O727" s="95" t="n"/>
      <c r="P727" s="96" t="n"/>
    </row>
    <row r="728" ht="33" customFormat="1" customHeight="1" s="1">
      <c r="A728" s="53" t="n"/>
      <c r="B728" s="97" t="n"/>
      <c r="C728" s="97" t="n"/>
      <c r="D728" s="97" t="n"/>
      <c r="E728" s="95" t="n"/>
      <c r="F728" s="17" t="n"/>
      <c r="G728" s="97" t="n"/>
      <c r="H728" s="97" t="n"/>
      <c r="I728" s="95" t="n"/>
      <c r="J728" s="56" t="n"/>
      <c r="K728" s="57" t="n"/>
      <c r="L728" s="94" t="n"/>
      <c r="M728" s="95" t="n"/>
      <c r="N728" s="95" t="n"/>
      <c r="O728" s="95" t="n"/>
      <c r="P728" s="96" t="n"/>
    </row>
    <row r="729" ht="33" customFormat="1" customHeight="1" s="1">
      <c r="A729" s="53" t="n"/>
      <c r="B729" s="97" t="n"/>
      <c r="C729" s="97" t="n"/>
      <c r="D729" s="97" t="n"/>
      <c r="E729" s="95" t="n"/>
      <c r="F729" s="17" t="n"/>
      <c r="G729" s="97" t="n"/>
      <c r="H729" s="97" t="n"/>
      <c r="I729" s="95" t="n"/>
      <c r="J729" s="56" t="n"/>
      <c r="K729" s="57" t="n"/>
      <c r="L729" s="94" t="n"/>
      <c r="M729" s="95" t="n"/>
      <c r="N729" s="95" t="n"/>
      <c r="O729" s="95" t="n"/>
      <c r="P729" s="96" t="n"/>
    </row>
    <row r="730" ht="33" customFormat="1" customHeight="1" s="1">
      <c r="A730" s="53" t="n"/>
      <c r="B730" s="97" t="n"/>
      <c r="C730" s="97" t="n"/>
      <c r="D730" s="97" t="n"/>
      <c r="E730" s="95" t="n"/>
      <c r="F730" s="17" t="n"/>
      <c r="G730" s="97" t="n"/>
      <c r="H730" s="97" t="n"/>
      <c r="I730" s="95" t="n"/>
      <c r="J730" s="56" t="n"/>
      <c r="K730" s="57" t="n"/>
      <c r="L730" s="94" t="n"/>
      <c r="M730" s="95" t="n"/>
      <c r="N730" s="95" t="n"/>
      <c r="O730" s="95" t="n"/>
      <c r="P730" s="96" t="n"/>
    </row>
    <row r="731" ht="33" customFormat="1" customHeight="1" s="1">
      <c r="A731" s="53" t="n"/>
      <c r="B731" s="97" t="n"/>
      <c r="C731" s="97" t="n"/>
      <c r="D731" s="97" t="n"/>
      <c r="E731" s="95" t="n"/>
      <c r="F731" s="17" t="n"/>
      <c r="G731" s="97" t="n"/>
      <c r="H731" s="97" t="n"/>
      <c r="I731" s="95" t="n"/>
      <c r="J731" s="56" t="n"/>
      <c r="K731" s="57" t="n"/>
      <c r="L731" s="94" t="n"/>
      <c r="M731" s="95" t="n"/>
      <c r="N731" s="95" t="n"/>
      <c r="O731" s="95" t="n"/>
      <c r="P731" s="96" t="n"/>
    </row>
    <row r="732" ht="33" customFormat="1" customHeight="1" s="1">
      <c r="A732" s="53" t="n"/>
      <c r="B732" s="97" t="n"/>
      <c r="C732" s="97" t="n"/>
      <c r="D732" s="97" t="n"/>
      <c r="E732" s="95" t="n"/>
      <c r="F732" s="17" t="n"/>
      <c r="G732" s="97" t="n"/>
      <c r="H732" s="97" t="n"/>
      <c r="I732" s="95" t="n"/>
      <c r="J732" s="56" t="n"/>
      <c r="K732" s="57" t="n"/>
      <c r="L732" s="94" t="n"/>
      <c r="M732" s="95" t="n"/>
      <c r="N732" s="95" t="n"/>
      <c r="O732" s="95" t="n"/>
      <c r="P732" s="96" t="n"/>
    </row>
    <row r="733" ht="33" customFormat="1" customHeight="1" s="1">
      <c r="A733" s="53" t="n"/>
      <c r="B733" s="97" t="n"/>
      <c r="C733" s="97" t="n"/>
      <c r="D733" s="97" t="n"/>
      <c r="E733" s="95" t="n"/>
      <c r="F733" s="17" t="n"/>
      <c r="G733" s="97" t="n"/>
      <c r="H733" s="97" t="n"/>
      <c r="I733" s="95" t="n"/>
      <c r="J733" s="56" t="n"/>
      <c r="K733" s="57" t="n"/>
      <c r="L733" s="94" t="n"/>
      <c r="M733" s="95" t="n"/>
      <c r="N733" s="95" t="n"/>
      <c r="O733" s="95" t="n"/>
      <c r="P733" s="96" t="n"/>
    </row>
    <row r="734" ht="33" customFormat="1" customHeight="1" s="1">
      <c r="A734" s="53" t="n"/>
      <c r="B734" s="97" t="n"/>
      <c r="C734" s="97" t="n"/>
      <c r="D734" s="97" t="n"/>
      <c r="E734" s="95" t="n"/>
      <c r="F734" s="17" t="n"/>
      <c r="G734" s="97" t="n"/>
      <c r="H734" s="97" t="n"/>
      <c r="I734" s="95" t="n"/>
      <c r="J734" s="56" t="n"/>
      <c r="K734" s="57" t="n"/>
      <c r="L734" s="94" t="n"/>
      <c r="M734" s="95" t="n"/>
      <c r="N734" s="95" t="n"/>
      <c r="O734" s="95" t="n"/>
      <c r="P734" s="96" t="n"/>
    </row>
    <row r="735" ht="33" customFormat="1" customHeight="1" s="1">
      <c r="A735" s="53" t="n"/>
      <c r="B735" s="97" t="n"/>
      <c r="C735" s="97" t="n"/>
      <c r="D735" s="97" t="n"/>
      <c r="E735" s="95" t="n"/>
      <c r="F735" s="17" t="n"/>
      <c r="G735" s="97" t="n"/>
      <c r="H735" s="97" t="n"/>
      <c r="I735" s="95" t="n"/>
      <c r="J735" s="56" t="n"/>
      <c r="K735" s="57" t="n"/>
      <c r="L735" s="94" t="n"/>
      <c r="M735" s="95" t="n"/>
      <c r="N735" s="95" t="n"/>
      <c r="O735" s="95" t="n"/>
      <c r="P735" s="96" t="n"/>
    </row>
    <row r="736" ht="33" customFormat="1" customHeight="1" s="1">
      <c r="A736" s="53" t="n"/>
      <c r="B736" s="97" t="n"/>
      <c r="C736" s="97" t="n"/>
      <c r="D736" s="97" t="n"/>
      <c r="E736" s="95" t="n"/>
      <c r="F736" s="17" t="n"/>
      <c r="G736" s="97" t="n"/>
      <c r="H736" s="97" t="n"/>
      <c r="I736" s="95" t="n"/>
      <c r="J736" s="56" t="n"/>
      <c r="K736" s="57" t="n"/>
      <c r="L736" s="94" t="n"/>
      <c r="M736" s="95" t="n"/>
      <c r="N736" s="95" t="n"/>
      <c r="O736" s="95" t="n"/>
      <c r="P736" s="96" t="n"/>
    </row>
    <row r="737" ht="33" customFormat="1" customHeight="1" s="1">
      <c r="A737" s="53" t="n"/>
      <c r="B737" s="97" t="n"/>
      <c r="C737" s="97" t="n"/>
      <c r="D737" s="97" t="n"/>
      <c r="E737" s="95" t="n"/>
      <c r="F737" s="17" t="n"/>
      <c r="G737" s="97" t="n"/>
      <c r="H737" s="97" t="n"/>
      <c r="I737" s="95" t="n"/>
      <c r="J737" s="56" t="n"/>
      <c r="K737" s="57" t="n"/>
      <c r="L737" s="94" t="n"/>
      <c r="M737" s="95" t="n"/>
      <c r="N737" s="95" t="n"/>
      <c r="O737" s="95" t="n"/>
      <c r="P737" s="96" t="n"/>
    </row>
    <row r="738" ht="33" customFormat="1" customHeight="1" s="1">
      <c r="A738" s="53" t="n"/>
      <c r="B738" s="97" t="n"/>
      <c r="C738" s="97" t="n"/>
      <c r="D738" s="97" t="n"/>
      <c r="E738" s="95" t="n"/>
      <c r="F738" s="17" t="n"/>
      <c r="G738" s="97" t="n"/>
      <c r="H738" s="97" t="n"/>
      <c r="I738" s="95" t="n"/>
      <c r="J738" s="56" t="n"/>
      <c r="K738" s="57" t="n"/>
      <c r="L738" s="94" t="n"/>
      <c r="M738" s="95" t="n"/>
      <c r="N738" s="95" t="n"/>
      <c r="O738" s="95" t="n"/>
      <c r="P738" s="96" t="n"/>
    </row>
    <row r="739" ht="33" customFormat="1" customHeight="1" s="1">
      <c r="A739" s="53" t="n"/>
      <c r="B739" s="97" t="n"/>
      <c r="C739" s="97" t="n"/>
      <c r="D739" s="97" t="n"/>
      <c r="E739" s="95" t="n"/>
      <c r="F739" s="17" t="n"/>
      <c r="G739" s="97" t="n"/>
      <c r="H739" s="97" t="n"/>
      <c r="I739" s="95" t="n"/>
      <c r="J739" s="56" t="n"/>
      <c r="K739" s="57" t="n"/>
      <c r="L739" s="94" t="n"/>
      <c r="M739" s="95" t="n"/>
      <c r="N739" s="95" t="n"/>
      <c r="O739" s="95" t="n"/>
      <c r="P739" s="96" t="n"/>
    </row>
    <row r="740" ht="33" customFormat="1" customHeight="1" s="1">
      <c r="A740" s="53" t="n"/>
      <c r="B740" s="97" t="n"/>
      <c r="C740" s="97" t="n"/>
      <c r="D740" s="97" t="n"/>
      <c r="E740" s="95" t="n"/>
      <c r="F740" s="17" t="n"/>
      <c r="G740" s="97" t="n"/>
      <c r="H740" s="97" t="n"/>
      <c r="I740" s="95" t="n"/>
      <c r="J740" s="56" t="n"/>
      <c r="K740" s="57" t="n"/>
      <c r="L740" s="94" t="n"/>
      <c r="M740" s="95" t="n"/>
      <c r="N740" s="95" t="n"/>
      <c r="O740" s="95" t="n"/>
      <c r="P740" s="96" t="n"/>
    </row>
    <row r="741" ht="33" customFormat="1" customHeight="1" s="1">
      <c r="A741" s="53" t="n"/>
      <c r="B741" s="97" t="n"/>
      <c r="C741" s="97" t="n"/>
      <c r="D741" s="97" t="n"/>
      <c r="E741" s="95" t="n"/>
      <c r="F741" s="17" t="n"/>
      <c r="G741" s="97" t="n"/>
      <c r="H741" s="97" t="n"/>
      <c r="I741" s="95" t="n"/>
      <c r="J741" s="56" t="n"/>
      <c r="K741" s="57" t="n"/>
      <c r="L741" s="94" t="n"/>
      <c r="M741" s="95" t="n"/>
      <c r="N741" s="95" t="n"/>
      <c r="O741" s="95" t="n"/>
      <c r="P741" s="96" t="n"/>
    </row>
    <row r="742" ht="33" customFormat="1" customHeight="1" s="1">
      <c r="A742" s="53" t="n"/>
      <c r="B742" s="97" t="n"/>
      <c r="C742" s="97" t="n"/>
      <c r="D742" s="97" t="n"/>
      <c r="E742" s="95" t="n"/>
      <c r="F742" s="17" t="n"/>
      <c r="G742" s="97" t="n"/>
      <c r="H742" s="97" t="n"/>
      <c r="I742" s="95" t="n"/>
      <c r="J742" s="56" t="n"/>
      <c r="K742" s="57" t="n"/>
      <c r="L742" s="94" t="n"/>
      <c r="M742" s="95" t="n"/>
      <c r="N742" s="95" t="n"/>
      <c r="O742" s="95" t="n"/>
      <c r="P742" s="96" t="n"/>
    </row>
    <row r="743" ht="33" customFormat="1" customHeight="1" s="1">
      <c r="A743" s="53" t="n"/>
      <c r="B743" s="97" t="n"/>
      <c r="C743" s="97" t="n"/>
      <c r="D743" s="97" t="n"/>
      <c r="E743" s="95" t="n"/>
      <c r="F743" s="17" t="n"/>
      <c r="G743" s="97" t="n"/>
      <c r="H743" s="97" t="n"/>
      <c r="I743" s="95" t="n"/>
      <c r="J743" s="56" t="n"/>
      <c r="K743" s="57" t="n"/>
      <c r="L743" s="94" t="n"/>
      <c r="M743" s="95" t="n"/>
      <c r="N743" s="95" t="n"/>
      <c r="O743" s="95" t="n"/>
      <c r="P743" s="96" t="n"/>
    </row>
    <row r="744" ht="33" customFormat="1" customHeight="1" s="1">
      <c r="A744" s="53" t="n"/>
      <c r="B744" s="97" t="n"/>
      <c r="C744" s="97" t="n"/>
      <c r="D744" s="97" t="n"/>
      <c r="E744" s="95" t="n"/>
      <c r="F744" s="17" t="n"/>
      <c r="G744" s="97" t="n"/>
      <c r="H744" s="97" t="n"/>
      <c r="I744" s="95" t="n"/>
      <c r="J744" s="56" t="n"/>
      <c r="K744" s="57" t="n"/>
      <c r="L744" s="94" t="n"/>
      <c r="M744" s="95" t="n"/>
      <c r="N744" s="95" t="n"/>
      <c r="O744" s="95" t="n"/>
      <c r="P744" s="96" t="n"/>
    </row>
    <row r="745" ht="33" customFormat="1" customHeight="1" s="1">
      <c r="A745" s="53" t="n"/>
      <c r="B745" s="97" t="n"/>
      <c r="C745" s="97" t="n"/>
      <c r="D745" s="97" t="n"/>
      <c r="E745" s="95" t="n"/>
      <c r="F745" s="17" t="n"/>
      <c r="G745" s="97" t="n"/>
      <c r="H745" s="97" t="n"/>
      <c r="I745" s="95" t="n"/>
      <c r="J745" s="56" t="n"/>
      <c r="K745" s="57" t="n"/>
      <c r="L745" s="94" t="n"/>
      <c r="M745" s="95" t="n"/>
      <c r="N745" s="95" t="n"/>
      <c r="O745" s="95" t="n"/>
      <c r="P745" s="96" t="n"/>
    </row>
    <row r="746" ht="33" customFormat="1" customHeight="1" s="1">
      <c r="A746" s="53" t="n"/>
      <c r="B746" s="97" t="n"/>
      <c r="C746" s="97" t="n"/>
      <c r="D746" s="97" t="n"/>
      <c r="E746" s="95" t="n"/>
      <c r="F746" s="17" t="n"/>
      <c r="G746" s="97" t="n"/>
      <c r="H746" s="97" t="n"/>
      <c r="I746" s="95" t="n"/>
      <c r="J746" s="56" t="n"/>
      <c r="K746" s="57" t="n"/>
      <c r="L746" s="94" t="n"/>
      <c r="M746" s="95" t="n"/>
      <c r="N746" s="95" t="n"/>
      <c r="O746" s="95" t="n"/>
      <c r="P746" s="96" t="n"/>
    </row>
    <row r="747" ht="33" customFormat="1" customHeight="1" s="1">
      <c r="A747" s="53" t="n"/>
      <c r="B747" s="97" t="n"/>
      <c r="C747" s="97" t="n"/>
      <c r="D747" s="97" t="n"/>
      <c r="E747" s="95" t="n"/>
      <c r="F747" s="17" t="n"/>
      <c r="G747" s="97" t="n"/>
      <c r="H747" s="97" t="n"/>
      <c r="I747" s="95" t="n"/>
      <c r="J747" s="56" t="n"/>
      <c r="K747" s="57" t="n"/>
      <c r="L747" s="94" t="n"/>
      <c r="M747" s="95" t="n"/>
      <c r="N747" s="95" t="n"/>
      <c r="O747" s="95" t="n"/>
      <c r="P747" s="96" t="n"/>
    </row>
    <row r="748" ht="33" customFormat="1" customHeight="1" s="1">
      <c r="A748" s="53" t="n"/>
      <c r="B748" s="97" t="n"/>
      <c r="C748" s="97" t="n"/>
      <c r="D748" s="97" t="n"/>
      <c r="E748" s="95" t="n"/>
      <c r="F748" s="17" t="n"/>
      <c r="G748" s="97" t="n"/>
      <c r="H748" s="97" t="n"/>
      <c r="I748" s="95" t="n"/>
      <c r="J748" s="56" t="n"/>
      <c r="K748" s="57" t="n"/>
      <c r="L748" s="94" t="n"/>
      <c r="M748" s="95" t="n"/>
      <c r="N748" s="95" t="n"/>
      <c r="O748" s="95" t="n"/>
      <c r="P748" s="96" t="n"/>
    </row>
    <row r="749" ht="33" customFormat="1" customHeight="1" s="1">
      <c r="A749" s="53" t="n"/>
      <c r="B749" s="97" t="n"/>
      <c r="C749" s="97" t="n"/>
      <c r="D749" s="97" t="n"/>
      <c r="E749" s="95" t="n"/>
      <c r="F749" s="17" t="n"/>
      <c r="G749" s="97" t="n"/>
      <c r="H749" s="97" t="n"/>
      <c r="I749" s="95" t="n"/>
      <c r="J749" s="56" t="n"/>
      <c r="K749" s="57" t="n"/>
      <c r="L749" s="94" t="n"/>
      <c r="M749" s="95" t="n"/>
      <c r="N749" s="95" t="n"/>
      <c r="O749" s="95" t="n"/>
      <c r="P749" s="96" t="n"/>
    </row>
    <row r="750" ht="33" customFormat="1" customHeight="1" s="1">
      <c r="A750" s="53" t="n"/>
      <c r="B750" s="97" t="n"/>
      <c r="C750" s="97" t="n"/>
      <c r="D750" s="97" t="n"/>
      <c r="E750" s="95" t="n"/>
      <c r="F750" s="17" t="n"/>
      <c r="G750" s="97" t="n"/>
      <c r="H750" s="97" t="n"/>
      <c r="I750" s="95" t="n"/>
      <c r="J750" s="56" t="n"/>
      <c r="K750" s="57" t="n"/>
      <c r="L750" s="94" t="n"/>
      <c r="M750" s="95" t="n"/>
      <c r="N750" s="95" t="n"/>
      <c r="O750" s="95" t="n"/>
      <c r="P750" s="96" t="n"/>
    </row>
    <row r="751" ht="33" customFormat="1" customHeight="1" s="1">
      <c r="A751" s="53" t="n"/>
      <c r="B751" s="97" t="n"/>
      <c r="C751" s="97" t="n"/>
      <c r="D751" s="97" t="n"/>
      <c r="E751" s="95" t="n"/>
      <c r="F751" s="17" t="n"/>
      <c r="G751" s="97" t="n"/>
      <c r="H751" s="97" t="n"/>
      <c r="I751" s="95" t="n"/>
      <c r="J751" s="56" t="n"/>
      <c r="K751" s="57" t="n"/>
      <c r="L751" s="94" t="n"/>
      <c r="M751" s="95" t="n"/>
      <c r="N751" s="95" t="n"/>
      <c r="O751" s="95" t="n"/>
      <c r="P751" s="96" t="n"/>
    </row>
    <row r="752" ht="33" customFormat="1" customHeight="1" s="1">
      <c r="A752" s="53" t="n"/>
      <c r="B752" s="97" t="n"/>
      <c r="C752" s="97" t="n"/>
      <c r="D752" s="97" t="n"/>
      <c r="E752" s="95" t="n"/>
      <c r="F752" s="17" t="n"/>
      <c r="G752" s="97" t="n"/>
      <c r="H752" s="97" t="n"/>
      <c r="I752" s="95" t="n"/>
      <c r="J752" s="56" t="n"/>
      <c r="K752" s="57" t="n"/>
      <c r="L752" s="94" t="n"/>
      <c r="M752" s="95" t="n"/>
      <c r="N752" s="95" t="n"/>
      <c r="O752" s="95" t="n"/>
      <c r="P752" s="96" t="n"/>
    </row>
    <row r="753" ht="33" customFormat="1" customHeight="1" s="1">
      <c r="A753" s="53" t="n"/>
      <c r="B753" s="97" t="n"/>
      <c r="C753" s="97" t="n"/>
      <c r="D753" s="97" t="n"/>
      <c r="E753" s="95" t="n"/>
      <c r="F753" s="17" t="n"/>
      <c r="G753" s="97" t="n"/>
      <c r="H753" s="97" t="n"/>
      <c r="I753" s="95" t="n"/>
      <c r="J753" s="56" t="n"/>
      <c r="K753" s="57" t="n"/>
      <c r="L753" s="94" t="n"/>
      <c r="M753" s="95" t="n"/>
      <c r="N753" s="95" t="n"/>
      <c r="O753" s="95" t="n"/>
      <c r="P753" s="96" t="n"/>
    </row>
    <row r="754" ht="33" customFormat="1" customHeight="1" s="1">
      <c r="A754" s="53" t="n"/>
      <c r="B754" s="97" t="n"/>
      <c r="C754" s="97" t="n"/>
      <c r="D754" s="97" t="n"/>
      <c r="E754" s="95" t="n"/>
      <c r="F754" s="17" t="n"/>
      <c r="G754" s="97" t="n"/>
      <c r="H754" s="97" t="n"/>
      <c r="I754" s="95" t="n"/>
      <c r="J754" s="56" t="n"/>
      <c r="K754" s="57" t="n"/>
      <c r="L754" s="94" t="n"/>
      <c r="M754" s="95" t="n"/>
      <c r="N754" s="95" t="n"/>
      <c r="O754" s="95" t="n"/>
      <c r="P754" s="96" t="n"/>
    </row>
    <row r="755" ht="33" customFormat="1" customHeight="1" s="1">
      <c r="A755" s="53" t="n"/>
      <c r="B755" s="97" t="n"/>
      <c r="C755" s="97" t="n"/>
      <c r="D755" s="97" t="n"/>
      <c r="E755" s="95" t="n"/>
      <c r="F755" s="17" t="n"/>
      <c r="G755" s="97" t="n"/>
      <c r="H755" s="97" t="n"/>
      <c r="I755" s="95" t="n"/>
      <c r="J755" s="56" t="n"/>
      <c r="K755" s="57" t="n"/>
      <c r="L755" s="94" t="n"/>
      <c r="M755" s="95" t="n"/>
      <c r="N755" s="95" t="n"/>
      <c r="O755" s="95" t="n"/>
      <c r="P755" s="96" t="n"/>
    </row>
    <row r="756" ht="33" customFormat="1" customHeight="1" s="1">
      <c r="A756" s="53" t="n"/>
      <c r="B756" s="97" t="n"/>
      <c r="C756" s="97" t="n"/>
      <c r="D756" s="97" t="n"/>
      <c r="E756" s="95" t="n"/>
      <c r="F756" s="17" t="n"/>
      <c r="G756" s="97" t="n"/>
      <c r="H756" s="97" t="n"/>
      <c r="I756" s="95" t="n"/>
      <c r="J756" s="56" t="n"/>
      <c r="K756" s="57" t="n"/>
      <c r="L756" s="94" t="n"/>
      <c r="M756" s="95" t="n"/>
      <c r="N756" s="95" t="n"/>
      <c r="O756" s="95" t="n"/>
      <c r="P756" s="96" t="n"/>
    </row>
    <row r="757" ht="33" customFormat="1" customHeight="1" s="1">
      <c r="A757" s="53" t="n"/>
      <c r="B757" s="97" t="n"/>
      <c r="C757" s="97" t="n"/>
      <c r="D757" s="97" t="n"/>
      <c r="E757" s="95" t="n"/>
      <c r="F757" s="17" t="n"/>
      <c r="G757" s="97" t="n"/>
      <c r="H757" s="97" t="n"/>
      <c r="I757" s="95" t="n"/>
      <c r="J757" s="56" t="n"/>
      <c r="K757" s="57" t="n"/>
      <c r="L757" s="94" t="n"/>
      <c r="M757" s="95" t="n"/>
      <c r="N757" s="95" t="n"/>
      <c r="O757" s="95" t="n"/>
      <c r="P757" s="96" t="n"/>
    </row>
    <row r="758" ht="33" customFormat="1" customHeight="1" s="1">
      <c r="A758" s="53" t="n"/>
      <c r="B758" s="97" t="n"/>
      <c r="C758" s="97" t="n"/>
      <c r="D758" s="97" t="n"/>
      <c r="E758" s="95" t="n"/>
      <c r="F758" s="17" t="n"/>
      <c r="G758" s="97" t="n"/>
      <c r="H758" s="97" t="n"/>
      <c r="I758" s="95" t="n"/>
      <c r="J758" s="56" t="n"/>
      <c r="K758" s="57" t="n"/>
      <c r="L758" s="94" t="n"/>
      <c r="M758" s="95" t="n"/>
      <c r="N758" s="95" t="n"/>
      <c r="O758" s="95" t="n"/>
      <c r="P758" s="96" t="n"/>
    </row>
    <row r="759" ht="33" customFormat="1" customHeight="1" s="1">
      <c r="A759" s="53" t="n"/>
      <c r="B759" s="97" t="n"/>
      <c r="C759" s="97" t="n"/>
      <c r="D759" s="97" t="n"/>
      <c r="E759" s="95" t="n"/>
      <c r="F759" s="17" t="n"/>
      <c r="G759" s="97" t="n"/>
      <c r="H759" s="97" t="n"/>
      <c r="I759" s="95" t="n"/>
      <c r="J759" s="56" t="n"/>
      <c r="K759" s="57" t="n"/>
      <c r="L759" s="94" t="n"/>
      <c r="M759" s="95" t="n"/>
      <c r="N759" s="95" t="n"/>
      <c r="O759" s="95" t="n"/>
      <c r="P759" s="96" t="n"/>
    </row>
    <row r="760" ht="33" customFormat="1" customHeight="1" s="1">
      <c r="A760" s="53" t="n"/>
      <c r="B760" s="97" t="n"/>
      <c r="C760" s="97" t="n"/>
      <c r="D760" s="97" t="n"/>
      <c r="E760" s="95" t="n"/>
      <c r="F760" s="17" t="n"/>
      <c r="G760" s="97" t="n"/>
      <c r="H760" s="97" t="n"/>
      <c r="I760" s="95" t="n"/>
      <c r="J760" s="56" t="n"/>
      <c r="K760" s="57" t="n"/>
      <c r="L760" s="94" t="n"/>
      <c r="M760" s="95" t="n"/>
      <c r="N760" s="95" t="n"/>
      <c r="O760" s="95" t="n"/>
      <c r="P760" s="96" t="n"/>
    </row>
    <row r="761" ht="33" customFormat="1" customHeight="1" s="1">
      <c r="A761" s="53" t="n"/>
      <c r="B761" s="97" t="n"/>
      <c r="C761" s="97" t="n"/>
      <c r="D761" s="97" t="n"/>
      <c r="E761" s="95" t="n"/>
      <c r="F761" s="17" t="n"/>
      <c r="G761" s="97" t="n"/>
      <c r="H761" s="97" t="n"/>
      <c r="I761" s="95" t="n"/>
      <c r="J761" s="56" t="n"/>
      <c r="K761" s="57" t="n"/>
      <c r="L761" s="94" t="n"/>
      <c r="M761" s="95" t="n"/>
      <c r="N761" s="95" t="n"/>
      <c r="O761" s="95" t="n"/>
      <c r="P761" s="96" t="n"/>
    </row>
    <row r="762" ht="33" customFormat="1" customHeight="1" s="1">
      <c r="A762" s="53" t="n"/>
      <c r="B762" s="97" t="n"/>
      <c r="C762" s="97" t="n"/>
      <c r="D762" s="97" t="n"/>
      <c r="E762" s="95" t="n"/>
      <c r="F762" s="17" t="n"/>
      <c r="G762" s="97" t="n"/>
      <c r="H762" s="97" t="n"/>
      <c r="I762" s="95" t="n"/>
      <c r="J762" s="56" t="n"/>
      <c r="K762" s="57" t="n"/>
      <c r="L762" s="94" t="n"/>
      <c r="M762" s="95" t="n"/>
      <c r="N762" s="95" t="n"/>
      <c r="O762" s="95" t="n"/>
      <c r="P762" s="96" t="n"/>
    </row>
    <row r="763" ht="33" customFormat="1" customHeight="1" s="1">
      <c r="A763" s="53" t="n"/>
      <c r="B763" s="97" t="n"/>
      <c r="C763" s="97" t="n"/>
      <c r="D763" s="97" t="n"/>
      <c r="E763" s="95" t="n"/>
      <c r="F763" s="17" t="n"/>
      <c r="G763" s="97" t="n"/>
      <c r="H763" s="97" t="n"/>
      <c r="I763" s="95" t="n"/>
      <c r="J763" s="56" t="n"/>
      <c r="K763" s="57" t="n"/>
      <c r="L763" s="94" t="n"/>
      <c r="M763" s="95" t="n"/>
      <c r="N763" s="95" t="n"/>
      <c r="O763" s="95" t="n"/>
      <c r="P763" s="96" t="n"/>
    </row>
    <row r="764" ht="33" customFormat="1" customHeight="1" s="1">
      <c r="A764" s="53" t="n"/>
      <c r="B764" s="97" t="n"/>
      <c r="C764" s="97" t="n"/>
      <c r="D764" s="97" t="n"/>
      <c r="E764" s="95" t="n"/>
      <c r="F764" s="17" t="n"/>
      <c r="G764" s="97" t="n"/>
      <c r="H764" s="97" t="n"/>
      <c r="I764" s="95" t="n"/>
      <c r="J764" s="56" t="n"/>
      <c r="K764" s="57" t="n"/>
      <c r="L764" s="94" t="n"/>
      <c r="M764" s="95" t="n"/>
      <c r="N764" s="95" t="n"/>
      <c r="O764" s="95" t="n"/>
      <c r="P764" s="96" t="n"/>
    </row>
    <row r="765" ht="33" customFormat="1" customHeight="1" s="1">
      <c r="A765" s="53" t="n"/>
      <c r="B765" s="97" t="n"/>
      <c r="C765" s="97" t="n"/>
      <c r="D765" s="97" t="n"/>
      <c r="E765" s="95" t="n"/>
      <c r="F765" s="17" t="n"/>
      <c r="G765" s="97" t="n"/>
      <c r="H765" s="97" t="n"/>
      <c r="I765" s="95" t="n"/>
      <c r="J765" s="56" t="n"/>
      <c r="K765" s="57" t="n"/>
      <c r="L765" s="94" t="n"/>
      <c r="M765" s="95" t="n"/>
      <c r="N765" s="95" t="n"/>
      <c r="O765" s="95" t="n"/>
      <c r="P765" s="96" t="n"/>
    </row>
    <row r="766" ht="33" customFormat="1" customHeight="1" s="1">
      <c r="A766" s="53" t="n"/>
      <c r="B766" s="97" t="n"/>
      <c r="C766" s="97" t="n"/>
      <c r="D766" s="97" t="n"/>
      <c r="E766" s="95" t="n"/>
      <c r="F766" s="17" t="n"/>
      <c r="G766" s="97" t="n"/>
      <c r="H766" s="97" t="n"/>
      <c r="I766" s="95" t="n"/>
      <c r="J766" s="56" t="n"/>
      <c r="K766" s="57" t="n"/>
      <c r="L766" s="94" t="n"/>
      <c r="M766" s="95" t="n"/>
      <c r="N766" s="95" t="n"/>
      <c r="O766" s="95" t="n"/>
      <c r="P766" s="96" t="n"/>
    </row>
    <row r="767" ht="33" customFormat="1" customHeight="1" s="1">
      <c r="A767" s="53" t="n"/>
      <c r="B767" s="97" t="n"/>
      <c r="C767" s="97" t="n"/>
      <c r="D767" s="97" t="n"/>
      <c r="E767" s="95" t="n"/>
      <c r="F767" s="17" t="n"/>
      <c r="G767" s="97" t="n"/>
      <c r="H767" s="97" t="n"/>
      <c r="I767" s="95" t="n"/>
      <c r="J767" s="56" t="n"/>
      <c r="K767" s="57" t="n"/>
      <c r="L767" s="94" t="n"/>
      <c r="M767" s="95" t="n"/>
      <c r="N767" s="95" t="n"/>
      <c r="O767" s="95" t="n"/>
      <c r="P767" s="96" t="n"/>
    </row>
    <row r="768" ht="33" customFormat="1" customHeight="1" s="1">
      <c r="A768" s="53" t="n"/>
      <c r="B768" s="97" t="n"/>
      <c r="C768" s="97" t="n"/>
      <c r="D768" s="97" t="n"/>
      <c r="E768" s="95" t="n"/>
      <c r="F768" s="17" t="n"/>
      <c r="G768" s="97" t="n"/>
      <c r="H768" s="97" t="n"/>
      <c r="I768" s="95" t="n"/>
      <c r="J768" s="56" t="n"/>
      <c r="K768" s="57" t="n"/>
      <c r="L768" s="94" t="n"/>
      <c r="M768" s="95" t="n"/>
      <c r="N768" s="95" t="n"/>
      <c r="O768" s="95" t="n"/>
      <c r="P768" s="96" t="n"/>
    </row>
    <row r="769" ht="33" customFormat="1" customHeight="1" s="1">
      <c r="A769" s="53" t="n"/>
      <c r="B769" s="97" t="n"/>
      <c r="C769" s="97" t="n"/>
      <c r="D769" s="97" t="n"/>
      <c r="E769" s="95" t="n"/>
      <c r="F769" s="17" t="n"/>
      <c r="G769" s="97" t="n"/>
      <c r="H769" s="97" t="n"/>
      <c r="I769" s="95" t="n"/>
      <c r="J769" s="56" t="n"/>
      <c r="K769" s="57" t="n"/>
      <c r="L769" s="94" t="n"/>
      <c r="M769" s="95" t="n"/>
      <c r="N769" s="95" t="n"/>
      <c r="O769" s="95" t="n"/>
      <c r="P769" s="96" t="n"/>
    </row>
    <row r="770" ht="33" customFormat="1" customHeight="1" s="1">
      <c r="A770" s="53" t="n"/>
      <c r="B770" s="97" t="n"/>
      <c r="C770" s="97" t="n"/>
      <c r="D770" s="97" t="n"/>
      <c r="E770" s="95" t="n"/>
      <c r="F770" s="17" t="n"/>
      <c r="G770" s="97" t="n"/>
      <c r="H770" s="97" t="n"/>
      <c r="I770" s="95" t="n"/>
      <c r="J770" s="56" t="n"/>
      <c r="K770" s="57" t="n"/>
      <c r="L770" s="94" t="n"/>
      <c r="M770" s="95" t="n"/>
      <c r="N770" s="95" t="n"/>
      <c r="O770" s="95" t="n"/>
      <c r="P770" s="96" t="n"/>
    </row>
    <row r="771" ht="33" customFormat="1" customHeight="1" s="1">
      <c r="A771" s="53" t="n"/>
      <c r="B771" s="97" t="n"/>
      <c r="C771" s="97" t="n"/>
      <c r="D771" s="97" t="n"/>
      <c r="E771" s="95" t="n"/>
      <c r="F771" s="17" t="n"/>
      <c r="G771" s="97" t="n"/>
      <c r="H771" s="97" t="n"/>
      <c r="I771" s="95" t="n"/>
      <c r="J771" s="56" t="n"/>
      <c r="K771" s="57" t="n"/>
      <c r="L771" s="94" t="n"/>
      <c r="M771" s="95" t="n"/>
      <c r="N771" s="95" t="n"/>
      <c r="O771" s="95" t="n"/>
      <c r="P771" s="96" t="n"/>
    </row>
    <row r="772" ht="33" customFormat="1" customHeight="1" s="1">
      <c r="A772" s="53" t="n"/>
      <c r="B772" s="97" t="n"/>
      <c r="C772" s="97" t="n"/>
      <c r="D772" s="97" t="n"/>
      <c r="E772" s="95" t="n"/>
      <c r="F772" s="17" t="n"/>
      <c r="G772" s="97" t="n"/>
      <c r="H772" s="97" t="n"/>
      <c r="I772" s="95" t="n"/>
      <c r="J772" s="56" t="n"/>
      <c r="K772" s="57" t="n"/>
      <c r="L772" s="94" t="n"/>
      <c r="M772" s="95" t="n"/>
      <c r="N772" s="95" t="n"/>
      <c r="O772" s="95" t="n"/>
      <c r="P772" s="96" t="n"/>
    </row>
    <row r="773" ht="33" customFormat="1" customHeight="1" s="1">
      <c r="A773" s="53" t="n"/>
      <c r="B773" s="97" t="n"/>
      <c r="C773" s="97" t="n"/>
      <c r="D773" s="97" t="n"/>
      <c r="E773" s="95" t="n"/>
      <c r="F773" s="17" t="n"/>
      <c r="G773" s="97" t="n"/>
      <c r="H773" s="97" t="n"/>
      <c r="I773" s="95" t="n"/>
      <c r="J773" s="56" t="n"/>
      <c r="K773" s="57" t="n"/>
      <c r="L773" s="94" t="n"/>
      <c r="M773" s="95" t="n"/>
      <c r="N773" s="95" t="n"/>
      <c r="O773" s="95" t="n"/>
      <c r="P773" s="96" t="n"/>
    </row>
    <row r="774" ht="33" customFormat="1" customHeight="1" s="1">
      <c r="A774" s="53" t="n"/>
      <c r="B774" s="97" t="n"/>
      <c r="C774" s="97" t="n"/>
      <c r="D774" s="97" t="n"/>
      <c r="E774" s="95" t="n"/>
      <c r="F774" s="17" t="n"/>
      <c r="G774" s="97" t="n"/>
      <c r="H774" s="97" t="n"/>
      <c r="I774" s="95" t="n"/>
      <c r="J774" s="56" t="n"/>
      <c r="K774" s="57" t="n"/>
      <c r="L774" s="94" t="n"/>
      <c r="M774" s="95" t="n"/>
      <c r="N774" s="95" t="n"/>
      <c r="O774" s="95" t="n"/>
      <c r="P774" s="96" t="n"/>
    </row>
    <row r="775" ht="33" customFormat="1" customHeight="1" s="1">
      <c r="A775" s="53" t="n"/>
      <c r="B775" s="97" t="n"/>
      <c r="C775" s="97" t="n"/>
      <c r="D775" s="97" t="n"/>
      <c r="E775" s="95" t="n"/>
      <c r="F775" s="17" t="n"/>
      <c r="G775" s="97" t="n"/>
      <c r="H775" s="97" t="n"/>
      <c r="I775" s="95" t="n"/>
      <c r="J775" s="56" t="n"/>
      <c r="K775" s="57" t="n"/>
      <c r="L775" s="94" t="n"/>
      <c r="M775" s="95" t="n"/>
      <c r="N775" s="95" t="n"/>
      <c r="O775" s="95" t="n"/>
      <c r="P775" s="96" t="n"/>
    </row>
    <row r="776" ht="33" customFormat="1" customHeight="1" s="1">
      <c r="A776" s="53" t="n"/>
      <c r="B776" s="97" t="n"/>
      <c r="C776" s="97" t="n"/>
      <c r="D776" s="97" t="n"/>
      <c r="E776" s="95" t="n"/>
      <c r="F776" s="17" t="n"/>
      <c r="G776" s="97" t="n"/>
      <c r="H776" s="97" t="n"/>
      <c r="I776" s="95" t="n"/>
      <c r="J776" s="56" t="n"/>
      <c r="K776" s="57" t="n"/>
      <c r="L776" s="94" t="n"/>
      <c r="M776" s="95" t="n"/>
      <c r="N776" s="95" t="n"/>
      <c r="O776" s="95" t="n"/>
      <c r="P776" s="96" t="n"/>
    </row>
    <row r="777" ht="33" customFormat="1" customHeight="1" s="1">
      <c r="A777" s="53" t="n"/>
      <c r="B777" s="97" t="n"/>
      <c r="C777" s="97" t="n"/>
      <c r="D777" s="97" t="n"/>
      <c r="E777" s="95" t="n"/>
      <c r="F777" s="17" t="n"/>
      <c r="G777" s="97" t="n"/>
      <c r="H777" s="97" t="n"/>
      <c r="I777" s="95" t="n"/>
      <c r="J777" s="56" t="n"/>
      <c r="K777" s="57" t="n"/>
      <c r="L777" s="94" t="n"/>
      <c r="M777" s="95" t="n"/>
      <c r="N777" s="95" t="n"/>
      <c r="O777" s="95" t="n"/>
      <c r="P777" s="96" t="n"/>
    </row>
    <row r="778" ht="33" customFormat="1" customHeight="1" s="1">
      <c r="A778" s="53" t="n"/>
      <c r="B778" s="97" t="n"/>
      <c r="C778" s="97" t="n"/>
      <c r="D778" s="97" t="n"/>
      <c r="E778" s="95" t="n"/>
      <c r="F778" s="17" t="n"/>
      <c r="G778" s="97" t="n"/>
      <c r="H778" s="97" t="n"/>
      <c r="I778" s="95" t="n"/>
      <c r="J778" s="56" t="n"/>
      <c r="K778" s="57" t="n"/>
      <c r="L778" s="94" t="n"/>
      <c r="M778" s="95" t="n"/>
      <c r="N778" s="95" t="n"/>
      <c r="O778" s="95" t="n"/>
      <c r="P778" s="96" t="n"/>
    </row>
    <row r="779" ht="33" customFormat="1" customHeight="1" s="1">
      <c r="A779" s="53" t="n"/>
      <c r="B779" s="97" t="n"/>
      <c r="C779" s="97" t="n"/>
      <c r="D779" s="97" t="n"/>
      <c r="E779" s="95" t="n"/>
      <c r="F779" s="17" t="n"/>
      <c r="G779" s="97" t="n"/>
      <c r="H779" s="97" t="n"/>
      <c r="I779" s="95" t="n"/>
      <c r="J779" s="56" t="n"/>
      <c r="K779" s="57" t="n"/>
      <c r="L779" s="94" t="n"/>
      <c r="M779" s="95" t="n"/>
      <c r="N779" s="95" t="n"/>
      <c r="O779" s="95" t="n"/>
      <c r="P779" s="96" t="n"/>
    </row>
    <row r="780" ht="33" customFormat="1" customHeight="1" s="1">
      <c r="A780" s="53" t="n"/>
      <c r="B780" s="97" t="n"/>
      <c r="C780" s="97" t="n"/>
      <c r="D780" s="97" t="n"/>
      <c r="E780" s="95" t="n"/>
      <c r="F780" s="17" t="n"/>
      <c r="G780" s="97" t="n"/>
      <c r="H780" s="97" t="n"/>
      <c r="I780" s="95" t="n"/>
      <c r="J780" s="56" t="n"/>
      <c r="K780" s="57" t="n"/>
      <c r="L780" s="94" t="n"/>
      <c r="M780" s="95" t="n"/>
      <c r="N780" s="95" t="n"/>
      <c r="O780" s="95" t="n"/>
      <c r="P780" s="96" t="n"/>
    </row>
    <row r="781" ht="33" customFormat="1" customHeight="1" s="1">
      <c r="A781" s="53" t="n"/>
      <c r="B781" s="97" t="n"/>
      <c r="C781" s="97" t="n"/>
      <c r="D781" s="97" t="n"/>
      <c r="E781" s="95" t="n"/>
      <c r="F781" s="17" t="n"/>
      <c r="G781" s="97" t="n"/>
      <c r="H781" s="97" t="n"/>
      <c r="I781" s="95" t="n"/>
      <c r="J781" s="56" t="n"/>
      <c r="K781" s="57" t="n"/>
      <c r="L781" s="94" t="n"/>
      <c r="M781" s="95" t="n"/>
      <c r="N781" s="95" t="n"/>
      <c r="O781" s="95" t="n"/>
      <c r="P781" s="96" t="n"/>
    </row>
    <row r="782" ht="33" customFormat="1" customHeight="1" s="1">
      <c r="A782" s="53" t="n"/>
      <c r="B782" s="97" t="n"/>
      <c r="C782" s="97" t="n"/>
      <c r="D782" s="97" t="n"/>
      <c r="E782" s="95" t="n"/>
      <c r="F782" s="17" t="n"/>
      <c r="G782" s="97" t="n"/>
      <c r="H782" s="97" t="n"/>
      <c r="I782" s="95" t="n"/>
      <c r="J782" s="56" t="n"/>
      <c r="K782" s="57" t="n"/>
      <c r="L782" s="94" t="n"/>
      <c r="M782" s="95" t="n"/>
      <c r="N782" s="95" t="n"/>
      <c r="O782" s="95" t="n"/>
      <c r="P782" s="96" t="n"/>
    </row>
    <row r="783" ht="33" customFormat="1" customHeight="1" s="1">
      <c r="A783" s="53" t="n"/>
      <c r="B783" s="97" t="n"/>
      <c r="C783" s="97" t="n"/>
      <c r="D783" s="97" t="n"/>
      <c r="E783" s="95" t="n"/>
      <c r="F783" s="17" t="n"/>
      <c r="G783" s="97" t="n"/>
      <c r="H783" s="97" t="n"/>
      <c r="I783" s="95" t="n"/>
      <c r="J783" s="56" t="n"/>
      <c r="K783" s="57" t="n"/>
      <c r="L783" s="94" t="n"/>
      <c r="M783" s="95" t="n"/>
      <c r="N783" s="95" t="n"/>
      <c r="O783" s="95" t="n"/>
      <c r="P783" s="96" t="n"/>
    </row>
    <row r="784" ht="33" customFormat="1" customHeight="1" s="1">
      <c r="A784" s="53" t="n"/>
      <c r="B784" s="97" t="n"/>
      <c r="C784" s="97" t="n"/>
      <c r="D784" s="97" t="n"/>
      <c r="E784" s="95" t="n"/>
      <c r="F784" s="17" t="n"/>
      <c r="G784" s="97" t="n"/>
      <c r="H784" s="97" t="n"/>
      <c r="I784" s="95" t="n"/>
      <c r="J784" s="56" t="n"/>
      <c r="K784" s="57" t="n"/>
      <c r="L784" s="94" t="n"/>
      <c r="M784" s="95" t="n"/>
      <c r="N784" s="95" t="n"/>
      <c r="O784" s="95" t="n"/>
      <c r="P784" s="96" t="n"/>
    </row>
    <row r="785" ht="33" customFormat="1" customHeight="1" s="1">
      <c r="A785" s="53" t="n"/>
      <c r="B785" s="97" t="n"/>
      <c r="C785" s="97" t="n"/>
      <c r="D785" s="97" t="n"/>
      <c r="E785" s="95" t="n"/>
      <c r="F785" s="17" t="n"/>
      <c r="G785" s="97" t="n"/>
      <c r="H785" s="97" t="n"/>
      <c r="I785" s="95" t="n"/>
      <c r="J785" s="56" t="n"/>
      <c r="K785" s="57" t="n"/>
      <c r="L785" s="94" t="n"/>
      <c r="M785" s="95" t="n"/>
      <c r="N785" s="95" t="n"/>
      <c r="O785" s="95" t="n"/>
      <c r="P785" s="96" t="n"/>
    </row>
    <row r="786" ht="33" customFormat="1" customHeight="1" s="1">
      <c r="A786" s="53" t="n"/>
      <c r="B786" s="97" t="n"/>
      <c r="C786" s="97" t="n"/>
      <c r="D786" s="97" t="n"/>
      <c r="E786" s="95" t="n"/>
      <c r="F786" s="17" t="n"/>
      <c r="G786" s="97" t="n"/>
      <c r="H786" s="97" t="n"/>
      <c r="I786" s="95" t="n"/>
      <c r="J786" s="56" t="n"/>
      <c r="K786" s="57" t="n"/>
      <c r="L786" s="94" t="n"/>
      <c r="M786" s="95" t="n"/>
      <c r="N786" s="95" t="n"/>
      <c r="O786" s="95" t="n"/>
      <c r="P786" s="96" t="n"/>
    </row>
    <row r="787" ht="33" customFormat="1" customHeight="1" s="1">
      <c r="A787" s="53" t="n"/>
      <c r="B787" s="97" t="n"/>
      <c r="C787" s="97" t="n"/>
      <c r="D787" s="97" t="n"/>
      <c r="E787" s="95" t="n"/>
      <c r="F787" s="17" t="n"/>
      <c r="G787" s="97" t="n"/>
      <c r="H787" s="97" t="n"/>
      <c r="I787" s="95" t="n"/>
      <c r="J787" s="56" t="n"/>
      <c r="K787" s="57" t="n"/>
      <c r="L787" s="94" t="n"/>
      <c r="M787" s="95" t="n"/>
      <c r="N787" s="95" t="n"/>
      <c r="O787" s="95" t="n"/>
      <c r="P787" s="96" t="n"/>
    </row>
    <row r="788" ht="33" customFormat="1" customHeight="1" s="1">
      <c r="A788" s="53" t="n"/>
      <c r="B788" s="97" t="n"/>
      <c r="C788" s="97" t="n"/>
      <c r="D788" s="97" t="n"/>
      <c r="E788" s="95" t="n"/>
      <c r="F788" s="17" t="n"/>
      <c r="G788" s="97" t="n"/>
      <c r="H788" s="97" t="n"/>
      <c r="I788" s="95" t="n"/>
      <c r="J788" s="56" t="n"/>
      <c r="K788" s="57" t="n"/>
      <c r="L788" s="94" t="n"/>
      <c r="M788" s="95" t="n"/>
      <c r="N788" s="95" t="n"/>
      <c r="O788" s="95" t="n"/>
      <c r="P788" s="96" t="n"/>
    </row>
    <row r="789" ht="33" customFormat="1" customHeight="1" s="1">
      <c r="A789" s="53" t="n"/>
      <c r="B789" s="97" t="n"/>
      <c r="C789" s="97" t="n"/>
      <c r="D789" s="97" t="n"/>
      <c r="E789" s="95" t="n"/>
      <c r="F789" s="17" t="n"/>
      <c r="G789" s="97" t="n"/>
      <c r="H789" s="97" t="n"/>
      <c r="I789" s="95" t="n"/>
      <c r="J789" s="56" t="n"/>
      <c r="K789" s="57" t="n"/>
      <c r="L789" s="94" t="n"/>
      <c r="M789" s="95" t="n"/>
      <c r="N789" s="95" t="n"/>
      <c r="O789" s="95" t="n"/>
      <c r="P789" s="96" t="n"/>
    </row>
    <row r="790" ht="33" customFormat="1" customHeight="1" s="1">
      <c r="A790" s="53" t="n"/>
      <c r="B790" s="97" t="n"/>
      <c r="C790" s="97" t="n"/>
      <c r="D790" s="97" t="n"/>
      <c r="E790" s="95" t="n"/>
      <c r="F790" s="17" t="n"/>
      <c r="G790" s="97" t="n"/>
      <c r="H790" s="97" t="n"/>
      <c r="I790" s="95" t="n"/>
      <c r="J790" s="56" t="n"/>
      <c r="K790" s="57" t="n"/>
      <c r="L790" s="94" t="n"/>
      <c r="M790" s="95" t="n"/>
      <c r="N790" s="95" t="n"/>
      <c r="O790" s="95" t="n"/>
      <c r="P790" s="96" t="n"/>
    </row>
    <row r="791" ht="33" customFormat="1" customHeight="1" s="1">
      <c r="A791" s="53" t="n"/>
      <c r="B791" s="97" t="n"/>
      <c r="C791" s="97" t="n"/>
      <c r="D791" s="97" t="n"/>
      <c r="E791" s="95" t="n"/>
      <c r="F791" s="17" t="n"/>
      <c r="G791" s="97" t="n"/>
      <c r="H791" s="97" t="n"/>
      <c r="I791" s="95" t="n"/>
      <c r="J791" s="56" t="n"/>
      <c r="K791" s="57" t="n"/>
      <c r="L791" s="94" t="n"/>
      <c r="M791" s="95" t="n"/>
      <c r="N791" s="95" t="n"/>
      <c r="O791" s="95" t="n"/>
      <c r="P791" s="96" t="n"/>
    </row>
    <row r="792" ht="33" customFormat="1" customHeight="1" s="1">
      <c r="A792" s="53" t="n"/>
      <c r="B792" s="97" t="n"/>
      <c r="C792" s="97" t="n"/>
      <c r="D792" s="97" t="n"/>
      <c r="E792" s="95" t="n"/>
      <c r="F792" s="17" t="n"/>
      <c r="G792" s="97" t="n"/>
      <c r="H792" s="97" t="n"/>
      <c r="I792" s="95" t="n"/>
      <c r="J792" s="56" t="n"/>
      <c r="K792" s="57" t="n"/>
      <c r="L792" s="94" t="n"/>
      <c r="M792" s="95" t="n"/>
      <c r="N792" s="95" t="n"/>
      <c r="O792" s="95" t="n"/>
      <c r="P792" s="96" t="n"/>
    </row>
    <row r="793" ht="33" customFormat="1" customHeight="1" s="1">
      <c r="A793" s="53" t="n"/>
      <c r="B793" s="97" t="n"/>
      <c r="C793" s="97" t="n"/>
      <c r="D793" s="97" t="n"/>
      <c r="E793" s="95" t="n"/>
      <c r="F793" s="17" t="n"/>
      <c r="G793" s="97" t="n"/>
      <c r="H793" s="97" t="n"/>
      <c r="I793" s="95" t="n"/>
      <c r="J793" s="56" t="n"/>
      <c r="K793" s="57" t="n"/>
      <c r="L793" s="94" t="n"/>
      <c r="M793" s="95" t="n"/>
      <c r="N793" s="95" t="n"/>
      <c r="O793" s="95" t="n"/>
      <c r="P793" s="96" t="n"/>
    </row>
    <row r="794" ht="33" customFormat="1" customHeight="1" s="1">
      <c r="A794" s="53" t="n"/>
      <c r="B794" s="97" t="n"/>
      <c r="C794" s="97" t="n"/>
      <c r="D794" s="97" t="n"/>
      <c r="E794" s="95" t="n"/>
      <c r="F794" s="17" t="n"/>
      <c r="G794" s="97" t="n"/>
      <c r="H794" s="97" t="n"/>
      <c r="I794" s="95" t="n"/>
      <c r="J794" s="56" t="n"/>
      <c r="K794" s="57" t="n"/>
      <c r="L794" s="94" t="n"/>
      <c r="M794" s="95" t="n"/>
      <c r="N794" s="95" t="n"/>
      <c r="O794" s="95" t="n"/>
      <c r="P794" s="96" t="n"/>
    </row>
    <row r="795" ht="33" customFormat="1" customHeight="1" s="1">
      <c r="A795" s="53" t="n"/>
      <c r="B795" s="97" t="n"/>
      <c r="C795" s="97" t="n"/>
      <c r="D795" s="97" t="n"/>
      <c r="E795" s="95" t="n"/>
      <c r="F795" s="17" t="n"/>
      <c r="G795" s="97" t="n"/>
      <c r="H795" s="97" t="n"/>
      <c r="I795" s="95" t="n"/>
      <c r="J795" s="56" t="n"/>
      <c r="K795" s="57" t="n"/>
      <c r="L795" s="94" t="n"/>
      <c r="M795" s="95" t="n"/>
      <c r="N795" s="95" t="n"/>
      <c r="O795" s="95" t="n"/>
      <c r="P795" s="96" t="n"/>
    </row>
    <row r="796" ht="33" customFormat="1" customHeight="1" s="1">
      <c r="A796" s="53" t="n"/>
      <c r="B796" s="97" t="n"/>
      <c r="C796" s="97" t="n"/>
      <c r="D796" s="97" t="n"/>
      <c r="E796" s="95" t="n"/>
      <c r="F796" s="17" t="n"/>
      <c r="G796" s="97" t="n"/>
      <c r="H796" s="97" t="n"/>
      <c r="I796" s="95" t="n"/>
      <c r="J796" s="56" t="n"/>
      <c r="K796" s="57" t="n"/>
      <c r="L796" s="94" t="n"/>
      <c r="M796" s="95" t="n"/>
      <c r="N796" s="95" t="n"/>
      <c r="O796" s="95" t="n"/>
      <c r="P796" s="96" t="n"/>
    </row>
    <row r="797" ht="33" customFormat="1" customHeight="1" s="1">
      <c r="A797" s="53" t="n"/>
      <c r="B797" s="97" t="n"/>
      <c r="C797" s="97" t="n"/>
      <c r="D797" s="97" t="n"/>
      <c r="E797" s="95" t="n"/>
      <c r="F797" s="17" t="n"/>
      <c r="G797" s="97" t="n"/>
      <c r="H797" s="97" t="n"/>
      <c r="I797" s="95" t="n"/>
      <c r="J797" s="56" t="n"/>
      <c r="K797" s="57" t="n"/>
      <c r="L797" s="94" t="n"/>
      <c r="M797" s="95" t="n"/>
      <c r="N797" s="95" t="n"/>
      <c r="O797" s="95" t="n"/>
      <c r="P797" s="96" t="n"/>
    </row>
    <row r="798" ht="33" customFormat="1" customHeight="1" s="1">
      <c r="A798" s="53" t="n"/>
      <c r="B798" s="97" t="n"/>
      <c r="C798" s="97" t="n"/>
      <c r="D798" s="97" t="n"/>
      <c r="E798" s="95" t="n"/>
      <c r="F798" s="17" t="n"/>
      <c r="G798" s="97" t="n"/>
      <c r="H798" s="97" t="n"/>
      <c r="I798" s="95" t="n"/>
      <c r="J798" s="56" t="n"/>
      <c r="K798" s="57" t="n"/>
      <c r="L798" s="94" t="n"/>
      <c r="M798" s="95" t="n"/>
      <c r="N798" s="95" t="n"/>
      <c r="O798" s="95" t="n"/>
      <c r="P798" s="96" t="n"/>
    </row>
    <row r="799" ht="33" customFormat="1" customHeight="1" s="1">
      <c r="A799" s="53" t="n"/>
      <c r="B799" s="97" t="n"/>
      <c r="C799" s="97" t="n"/>
      <c r="D799" s="97" t="n"/>
      <c r="E799" s="95" t="n"/>
      <c r="F799" s="17" t="n"/>
      <c r="G799" s="97" t="n"/>
      <c r="H799" s="97" t="n"/>
      <c r="I799" s="95" t="n"/>
      <c r="J799" s="56" t="n"/>
      <c r="K799" s="57" t="n"/>
      <c r="L799" s="94" t="n"/>
      <c r="M799" s="95" t="n"/>
      <c r="N799" s="95" t="n"/>
      <c r="O799" s="95" t="n"/>
      <c r="P799" s="96" t="n"/>
    </row>
    <row r="800" ht="33" customFormat="1" customHeight="1" s="1">
      <c r="A800" s="53" t="n"/>
      <c r="B800" s="97" t="n"/>
      <c r="C800" s="97" t="n"/>
      <c r="D800" s="97" t="n"/>
      <c r="E800" s="95" t="n"/>
      <c r="F800" s="17" t="n"/>
      <c r="G800" s="97" t="n"/>
      <c r="H800" s="97" t="n"/>
      <c r="I800" s="95" t="n"/>
      <c r="J800" s="56" t="n"/>
      <c r="K800" s="57" t="n"/>
      <c r="L800" s="94" t="n"/>
      <c r="M800" s="95" t="n"/>
      <c r="N800" s="95" t="n"/>
      <c r="O800" s="95" t="n"/>
      <c r="P800" s="96" t="n"/>
    </row>
    <row r="801" ht="33" customFormat="1" customHeight="1" s="1">
      <c r="A801" s="53" t="n"/>
      <c r="B801" s="97" t="n"/>
      <c r="C801" s="97" t="n"/>
      <c r="D801" s="97" t="n"/>
      <c r="E801" s="95" t="n"/>
      <c r="F801" s="17" t="n"/>
      <c r="G801" s="97" t="n"/>
      <c r="H801" s="97" t="n"/>
      <c r="I801" s="95" t="n"/>
      <c r="J801" s="56" t="n"/>
      <c r="K801" s="57" t="n"/>
      <c r="L801" s="94" t="n"/>
      <c r="M801" s="95" t="n"/>
      <c r="N801" s="95" t="n"/>
      <c r="O801" s="95" t="n"/>
      <c r="P801" s="96" t="n"/>
    </row>
    <row r="802" ht="33" customFormat="1" customHeight="1" s="1">
      <c r="A802" s="53" t="n"/>
      <c r="B802" s="97" t="n"/>
      <c r="C802" s="97" t="n"/>
      <c r="D802" s="97" t="n"/>
      <c r="E802" s="95" t="n"/>
      <c r="F802" s="17" t="n"/>
      <c r="G802" s="97" t="n"/>
      <c r="H802" s="97" t="n"/>
      <c r="I802" s="95" t="n"/>
      <c r="J802" s="56" t="n"/>
      <c r="K802" s="57" t="n"/>
      <c r="L802" s="94" t="n"/>
      <c r="M802" s="95" t="n"/>
      <c r="N802" s="95" t="n"/>
      <c r="O802" s="95" t="n"/>
      <c r="P802" s="96" t="n"/>
    </row>
    <row r="803" ht="33" customFormat="1" customHeight="1" s="1">
      <c r="A803" s="53" t="n"/>
      <c r="B803" s="97" t="n"/>
      <c r="C803" s="97" t="n"/>
      <c r="D803" s="97" t="n"/>
      <c r="E803" s="95" t="n"/>
      <c r="F803" s="17" t="n"/>
      <c r="G803" s="97" t="n"/>
      <c r="H803" s="97" t="n"/>
      <c r="I803" s="95" t="n"/>
      <c r="J803" s="56" t="n"/>
      <c r="K803" s="57" t="n"/>
      <c r="L803" s="94" t="n"/>
      <c r="M803" s="95" t="n"/>
      <c r="N803" s="95" t="n"/>
      <c r="O803" s="95" t="n"/>
      <c r="P803" s="96" t="n"/>
    </row>
    <row r="804" ht="33" customFormat="1" customHeight="1" s="1">
      <c r="A804" s="53" t="n"/>
      <c r="B804" s="97" t="n"/>
      <c r="C804" s="97" t="n"/>
      <c r="D804" s="97" t="n"/>
      <c r="E804" s="95" t="n"/>
      <c r="F804" s="17" t="n"/>
      <c r="G804" s="97" t="n"/>
      <c r="H804" s="97" t="n"/>
      <c r="I804" s="95" t="n"/>
      <c r="J804" s="56" t="n"/>
      <c r="K804" s="57" t="n"/>
      <c r="L804" s="94" t="n"/>
      <c r="M804" s="95" t="n"/>
      <c r="N804" s="95" t="n"/>
      <c r="O804" s="95" t="n"/>
      <c r="P804" s="96" t="n"/>
    </row>
    <row r="805" ht="33" customFormat="1" customHeight="1" s="1">
      <c r="A805" s="53" t="n"/>
      <c r="B805" s="97" t="n"/>
      <c r="C805" s="97" t="n"/>
      <c r="D805" s="97" t="n"/>
      <c r="E805" s="95" t="n"/>
      <c r="F805" s="17" t="n"/>
      <c r="G805" s="97" t="n"/>
      <c r="H805" s="97" t="n"/>
      <c r="I805" s="95" t="n"/>
      <c r="J805" s="56" t="n"/>
      <c r="K805" s="57" t="n"/>
      <c r="L805" s="94" t="n"/>
      <c r="M805" s="95" t="n"/>
      <c r="N805" s="95" t="n"/>
      <c r="O805" s="95" t="n"/>
      <c r="P805" s="96" t="n"/>
    </row>
    <row r="806" ht="33" customFormat="1" customHeight="1" s="1">
      <c r="A806" s="53" t="n"/>
      <c r="B806" s="97" t="n"/>
      <c r="C806" s="97" t="n"/>
      <c r="D806" s="97" t="n"/>
      <c r="E806" s="95" t="n"/>
      <c r="F806" s="17" t="n"/>
      <c r="G806" s="97" t="n"/>
      <c r="H806" s="97" t="n"/>
      <c r="I806" s="95" t="n"/>
      <c r="J806" s="56" t="n"/>
      <c r="K806" s="57" t="n"/>
      <c r="L806" s="94" t="n"/>
      <c r="M806" s="95" t="n"/>
      <c r="N806" s="95" t="n"/>
      <c r="O806" s="95" t="n"/>
      <c r="P806" s="96" t="n"/>
    </row>
    <row r="807" ht="33" customFormat="1" customHeight="1" s="1">
      <c r="A807" s="53" t="n"/>
      <c r="B807" s="97" t="n"/>
      <c r="C807" s="97" t="n"/>
      <c r="D807" s="97" t="n"/>
      <c r="E807" s="95" t="n"/>
      <c r="F807" s="17" t="n"/>
      <c r="G807" s="97" t="n"/>
      <c r="H807" s="97" t="n"/>
      <c r="I807" s="95" t="n"/>
      <c r="J807" s="56" t="n"/>
      <c r="K807" s="57" t="n"/>
      <c r="L807" s="94" t="n"/>
      <c r="M807" s="95" t="n"/>
      <c r="N807" s="95" t="n"/>
      <c r="O807" s="95" t="n"/>
      <c r="P807" s="96" t="n"/>
    </row>
    <row r="808" ht="33" customFormat="1" customHeight="1" s="1">
      <c r="A808" s="53" t="n"/>
      <c r="B808" s="97" t="n"/>
      <c r="C808" s="97" t="n"/>
      <c r="D808" s="97" t="n"/>
      <c r="E808" s="95" t="n"/>
      <c r="F808" s="17" t="n"/>
      <c r="G808" s="97" t="n"/>
      <c r="H808" s="97" t="n"/>
      <c r="I808" s="95" t="n"/>
      <c r="J808" s="56" t="n"/>
      <c r="K808" s="57" t="n"/>
      <c r="L808" s="94" t="n"/>
      <c r="M808" s="95" t="n"/>
      <c r="N808" s="95" t="n"/>
      <c r="O808" s="95" t="n"/>
      <c r="P808" s="96" t="n"/>
    </row>
    <row r="809" ht="33" customFormat="1" customHeight="1" s="1">
      <c r="A809" s="53" t="n"/>
      <c r="B809" s="97" t="n"/>
      <c r="C809" s="97" t="n"/>
      <c r="D809" s="97" t="n"/>
      <c r="E809" s="95" t="n"/>
      <c r="F809" s="17" t="n"/>
      <c r="G809" s="97" t="n"/>
      <c r="H809" s="97" t="n"/>
      <c r="I809" s="95" t="n"/>
      <c r="J809" s="56" t="n"/>
      <c r="K809" s="57" t="n"/>
      <c r="L809" s="94" t="n"/>
      <c r="M809" s="95" t="n"/>
      <c r="N809" s="95" t="n"/>
      <c r="O809" s="95" t="n"/>
      <c r="P809" s="96" t="n"/>
    </row>
    <row r="810" ht="33" customFormat="1" customHeight="1" s="1">
      <c r="A810" s="53" t="n"/>
      <c r="B810" s="97" t="n"/>
      <c r="C810" s="97" t="n"/>
      <c r="D810" s="97" t="n"/>
      <c r="E810" s="95" t="n"/>
      <c r="F810" s="17" t="n"/>
      <c r="G810" s="97" t="n"/>
      <c r="H810" s="97" t="n"/>
      <c r="I810" s="95" t="n"/>
      <c r="J810" s="56" t="n"/>
      <c r="K810" s="57" t="n"/>
      <c r="L810" s="94" t="n"/>
      <c r="M810" s="95" t="n"/>
      <c r="N810" s="95" t="n"/>
      <c r="O810" s="95" t="n"/>
      <c r="P810" s="96" t="n"/>
    </row>
    <row r="811" ht="33" customFormat="1" customHeight="1" s="1">
      <c r="A811" s="53" t="n"/>
      <c r="B811" s="97" t="n"/>
      <c r="C811" s="97" t="n"/>
      <c r="D811" s="97" t="n"/>
      <c r="E811" s="95" t="n"/>
      <c r="F811" s="17" t="n"/>
      <c r="G811" s="97" t="n"/>
      <c r="H811" s="97" t="n"/>
      <c r="I811" s="95" t="n"/>
      <c r="J811" s="56" t="n"/>
      <c r="K811" s="57" t="n"/>
      <c r="L811" s="94" t="n"/>
      <c r="M811" s="95" t="n"/>
      <c r="N811" s="95" t="n"/>
      <c r="O811" s="95" t="n"/>
      <c r="P811" s="96" t="n"/>
    </row>
    <row r="812" ht="33" customFormat="1" customHeight="1" s="1">
      <c r="A812" s="53" t="n"/>
      <c r="B812" s="97" t="n"/>
      <c r="C812" s="97" t="n"/>
      <c r="D812" s="97" t="n"/>
      <c r="E812" s="95" t="n"/>
      <c r="F812" s="17" t="n"/>
      <c r="G812" s="97" t="n"/>
      <c r="H812" s="97" t="n"/>
      <c r="I812" s="95" t="n"/>
      <c r="J812" s="56" t="n"/>
      <c r="K812" s="57" t="n"/>
      <c r="L812" s="94" t="n"/>
      <c r="M812" s="95" t="n"/>
      <c r="N812" s="95" t="n"/>
      <c r="O812" s="95" t="n"/>
      <c r="P812" s="96" t="n"/>
    </row>
    <row r="813" ht="33" customFormat="1" customHeight="1" s="1">
      <c r="A813" s="53" t="n"/>
      <c r="B813" s="97" t="n"/>
      <c r="C813" s="97" t="n"/>
      <c r="D813" s="97" t="n"/>
      <c r="E813" s="95" t="n"/>
      <c r="F813" s="17" t="n"/>
      <c r="G813" s="97" t="n"/>
      <c r="H813" s="97" t="n"/>
      <c r="I813" s="95" t="n"/>
      <c r="J813" s="56" t="n"/>
      <c r="K813" s="57" t="n"/>
      <c r="L813" s="94" t="n"/>
      <c r="M813" s="95" t="n"/>
      <c r="N813" s="95" t="n"/>
      <c r="O813" s="95" t="n"/>
      <c r="P813" s="96" t="n"/>
    </row>
    <row r="814" ht="33" customFormat="1" customHeight="1" s="1">
      <c r="A814" s="53" t="n"/>
      <c r="B814" s="97" t="n"/>
      <c r="C814" s="97" t="n"/>
      <c r="D814" s="97" t="n"/>
      <c r="E814" s="95" t="n"/>
      <c r="F814" s="17" t="n"/>
      <c r="G814" s="97" t="n"/>
      <c r="H814" s="97" t="n"/>
      <c r="I814" s="95" t="n"/>
      <c r="J814" s="56" t="n"/>
      <c r="K814" s="57" t="n"/>
      <c r="L814" s="94" t="n"/>
      <c r="M814" s="95" t="n"/>
      <c r="N814" s="95" t="n"/>
      <c r="O814" s="95" t="n"/>
      <c r="P814" s="96" t="n"/>
    </row>
    <row r="815" ht="33" customFormat="1" customHeight="1" s="1">
      <c r="A815" s="53" t="n"/>
      <c r="B815" s="97" t="n"/>
      <c r="C815" s="97" t="n"/>
      <c r="D815" s="97" t="n"/>
      <c r="E815" s="95" t="n"/>
      <c r="F815" s="17" t="n"/>
      <c r="G815" s="97" t="n"/>
      <c r="H815" s="97" t="n"/>
      <c r="I815" s="95" t="n"/>
      <c r="J815" s="56" t="n"/>
      <c r="K815" s="57" t="n"/>
      <c r="L815" s="94" t="n"/>
      <c r="M815" s="95" t="n"/>
      <c r="N815" s="95" t="n"/>
      <c r="O815" s="95" t="n"/>
      <c r="P815" s="96" t="n"/>
    </row>
    <row r="816" ht="33" customFormat="1" customHeight="1" s="1">
      <c r="A816" s="53" t="n"/>
      <c r="B816" s="97" t="n"/>
      <c r="C816" s="97" t="n"/>
      <c r="D816" s="97" t="n"/>
      <c r="E816" s="95" t="n"/>
      <c r="F816" s="17" t="n"/>
      <c r="G816" s="97" t="n"/>
      <c r="H816" s="97" t="n"/>
      <c r="I816" s="95" t="n"/>
      <c r="J816" s="56" t="n"/>
      <c r="K816" s="57" t="n"/>
      <c r="L816" s="94" t="n"/>
      <c r="M816" s="95" t="n"/>
      <c r="N816" s="95" t="n"/>
      <c r="O816" s="95" t="n"/>
      <c r="P816" s="96" t="n"/>
    </row>
    <row r="817" ht="33" customFormat="1" customHeight="1" s="1">
      <c r="A817" s="53" t="n"/>
      <c r="B817" s="97" t="n"/>
      <c r="C817" s="97" t="n"/>
      <c r="D817" s="97" t="n"/>
      <c r="E817" s="95" t="n"/>
      <c r="F817" s="17" t="n"/>
      <c r="G817" s="97" t="n"/>
      <c r="H817" s="97" t="n"/>
      <c r="I817" s="95" t="n"/>
      <c r="J817" s="56" t="n"/>
      <c r="K817" s="57" t="n"/>
      <c r="L817" s="94" t="n"/>
      <c r="M817" s="95" t="n"/>
      <c r="N817" s="95" t="n"/>
      <c r="O817" s="95" t="n"/>
      <c r="P817" s="96" t="n"/>
    </row>
    <row r="818" ht="33" customFormat="1" customHeight="1" s="1">
      <c r="A818" s="53" t="n"/>
      <c r="B818" s="97" t="n"/>
      <c r="C818" s="97" t="n"/>
      <c r="D818" s="97" t="n"/>
      <c r="E818" s="95" t="n"/>
      <c r="F818" s="17" t="n"/>
      <c r="G818" s="97" t="n"/>
      <c r="H818" s="97" t="n"/>
      <c r="I818" s="95" t="n"/>
      <c r="J818" s="56" t="n"/>
      <c r="K818" s="57" t="n"/>
      <c r="L818" s="94" t="n"/>
      <c r="M818" s="95" t="n"/>
      <c r="N818" s="95" t="n"/>
      <c r="O818" s="95" t="n"/>
      <c r="P818" s="96" t="n"/>
    </row>
    <row r="819" ht="33" customFormat="1" customHeight="1" s="1">
      <c r="A819" s="53" t="n"/>
      <c r="B819" s="97" t="n"/>
      <c r="C819" s="97" t="n"/>
      <c r="D819" s="97" t="n"/>
      <c r="E819" s="95" t="n"/>
      <c r="F819" s="17" t="n"/>
      <c r="G819" s="97" t="n"/>
      <c r="H819" s="97" t="n"/>
      <c r="I819" s="95" t="n"/>
      <c r="J819" s="56" t="n"/>
      <c r="K819" s="57" t="n"/>
      <c r="L819" s="94" t="n"/>
      <c r="M819" s="95" t="n"/>
      <c r="N819" s="95" t="n"/>
      <c r="O819" s="95" t="n"/>
      <c r="P819" s="96" t="n"/>
    </row>
    <row r="820" ht="33" customFormat="1" customHeight="1" s="1">
      <c r="A820" s="53" t="n"/>
      <c r="B820" s="97" t="n"/>
      <c r="C820" s="97" t="n"/>
      <c r="D820" s="97" t="n"/>
      <c r="E820" s="95" t="n"/>
      <c r="F820" s="17" t="n"/>
      <c r="G820" s="97" t="n"/>
      <c r="H820" s="97" t="n"/>
      <c r="I820" s="95" t="n"/>
      <c r="J820" s="56" t="n"/>
      <c r="K820" s="57" t="n"/>
      <c r="L820" s="94" t="n"/>
      <c r="M820" s="95" t="n"/>
      <c r="N820" s="95" t="n"/>
      <c r="O820" s="95" t="n"/>
      <c r="P820" s="96" t="n"/>
    </row>
    <row r="821" ht="33" customFormat="1" customHeight="1" s="1">
      <c r="A821" s="53" t="n"/>
      <c r="B821" s="97" t="n"/>
      <c r="C821" s="97" t="n"/>
      <c r="D821" s="97" t="n"/>
      <c r="E821" s="95" t="n"/>
      <c r="F821" s="17" t="n"/>
      <c r="G821" s="97" t="n"/>
      <c r="H821" s="97" t="n"/>
      <c r="I821" s="95" t="n"/>
      <c r="J821" s="56" t="n"/>
      <c r="K821" s="57" t="n"/>
      <c r="L821" s="94" t="n"/>
      <c r="M821" s="95" t="n"/>
      <c r="N821" s="95" t="n"/>
      <c r="O821" s="95" t="n"/>
      <c r="P821" s="96" t="n"/>
    </row>
    <row r="822" ht="33" customFormat="1" customHeight="1" s="1">
      <c r="A822" s="53" t="n"/>
      <c r="B822" s="97" t="n"/>
      <c r="C822" s="97" t="n"/>
      <c r="D822" s="97" t="n"/>
      <c r="E822" s="95" t="n"/>
      <c r="F822" s="17" t="n"/>
      <c r="G822" s="97" t="n"/>
      <c r="H822" s="97" t="n"/>
      <c r="I822" s="95" t="n"/>
      <c r="J822" s="56" t="n"/>
      <c r="K822" s="57" t="n"/>
      <c r="L822" s="94" t="n"/>
      <c r="M822" s="95" t="n"/>
      <c r="N822" s="95" t="n"/>
      <c r="O822" s="95" t="n"/>
      <c r="P822" s="96" t="n"/>
    </row>
    <row r="823" ht="33" customFormat="1" customHeight="1" s="1">
      <c r="A823" s="53" t="n"/>
      <c r="B823" s="97" t="n"/>
      <c r="C823" s="97" t="n"/>
      <c r="D823" s="97" t="n"/>
      <c r="E823" s="95" t="n"/>
      <c r="F823" s="17" t="n"/>
      <c r="G823" s="97" t="n"/>
      <c r="H823" s="97" t="n"/>
      <c r="I823" s="95" t="n"/>
      <c r="J823" s="56" t="n"/>
      <c r="K823" s="57" t="n"/>
      <c r="L823" s="94" t="n"/>
      <c r="M823" s="95" t="n"/>
      <c r="N823" s="95" t="n"/>
      <c r="O823" s="95" t="n"/>
      <c r="P823" s="96" t="n"/>
    </row>
    <row r="824" ht="33" customFormat="1" customHeight="1" s="1">
      <c r="A824" s="53" t="n"/>
      <c r="B824" s="97" t="n"/>
      <c r="C824" s="97" t="n"/>
      <c r="D824" s="97" t="n"/>
      <c r="E824" s="95" t="n"/>
      <c r="F824" s="17" t="n"/>
      <c r="G824" s="97" t="n"/>
      <c r="H824" s="97" t="n"/>
      <c r="I824" s="95" t="n"/>
      <c r="J824" s="56" t="n"/>
      <c r="K824" s="57" t="n"/>
      <c r="L824" s="94" t="n"/>
      <c r="M824" s="95" t="n"/>
      <c r="N824" s="95" t="n"/>
      <c r="O824" s="95" t="n"/>
      <c r="P824" s="96" t="n"/>
    </row>
    <row r="825" ht="33" customFormat="1" customHeight="1" s="1">
      <c r="A825" s="53" t="n"/>
      <c r="B825" s="97" t="n"/>
      <c r="C825" s="97" t="n"/>
      <c r="D825" s="97" t="n"/>
      <c r="E825" s="95" t="n"/>
      <c r="F825" s="17" t="n"/>
      <c r="G825" s="97" t="n"/>
      <c r="H825" s="97" t="n"/>
      <c r="I825" s="95" t="n"/>
      <c r="J825" s="56" t="n"/>
      <c r="K825" s="57" t="n"/>
      <c r="L825" s="94" t="n"/>
      <c r="M825" s="95" t="n"/>
      <c r="N825" s="95" t="n"/>
      <c r="O825" s="95" t="n"/>
      <c r="P825" s="96" t="n"/>
    </row>
    <row r="826" ht="33" customFormat="1" customHeight="1" s="1">
      <c r="A826" s="53" t="n"/>
      <c r="B826" s="97" t="n"/>
      <c r="C826" s="97" t="n"/>
      <c r="D826" s="97" t="n"/>
      <c r="E826" s="95" t="n"/>
      <c r="F826" s="17" t="n"/>
      <c r="G826" s="97" t="n"/>
      <c r="H826" s="97" t="n"/>
      <c r="I826" s="95" t="n"/>
      <c r="J826" s="56" t="n"/>
      <c r="K826" s="57" t="n"/>
      <c r="L826" s="94" t="n"/>
      <c r="M826" s="95" t="n"/>
      <c r="N826" s="95" t="n"/>
      <c r="O826" s="95" t="n"/>
      <c r="P826" s="96" t="n"/>
    </row>
    <row r="827" ht="33" customFormat="1" customHeight="1" s="1">
      <c r="A827" s="53" t="n"/>
      <c r="B827" s="97" t="n"/>
      <c r="C827" s="97" t="n"/>
      <c r="D827" s="97" t="n"/>
      <c r="E827" s="95" t="n"/>
      <c r="F827" s="17" t="n"/>
      <c r="G827" s="97" t="n"/>
      <c r="H827" s="97" t="n"/>
      <c r="I827" s="95" t="n"/>
      <c r="J827" s="56" t="n"/>
      <c r="K827" s="57" t="n"/>
      <c r="L827" s="94" t="n"/>
      <c r="M827" s="95" t="n"/>
      <c r="N827" s="95" t="n"/>
      <c r="O827" s="95" t="n"/>
      <c r="P827" s="96" t="n"/>
    </row>
    <row r="828" ht="33" customFormat="1" customHeight="1" s="1">
      <c r="A828" s="53" t="n"/>
      <c r="B828" s="97" t="n"/>
      <c r="C828" s="97" t="n"/>
      <c r="D828" s="97" t="n"/>
      <c r="E828" s="95" t="n"/>
      <c r="F828" s="17" t="n"/>
      <c r="G828" s="97" t="n"/>
      <c r="H828" s="97" t="n"/>
      <c r="I828" s="95" t="n"/>
      <c r="J828" s="56" t="n"/>
      <c r="K828" s="57" t="n"/>
      <c r="L828" s="94" t="n"/>
      <c r="M828" s="95" t="n"/>
      <c r="N828" s="95" t="n"/>
      <c r="O828" s="95" t="n"/>
      <c r="P828" s="96" t="n"/>
    </row>
    <row r="829" ht="33" customFormat="1" customHeight="1" s="1">
      <c r="A829" s="53" t="n"/>
      <c r="B829" s="97" t="n"/>
      <c r="C829" s="97" t="n"/>
      <c r="D829" s="97" t="n"/>
      <c r="E829" s="95" t="n"/>
      <c r="F829" s="17" t="n"/>
      <c r="G829" s="97" t="n"/>
      <c r="H829" s="97" t="n"/>
      <c r="I829" s="95" t="n"/>
      <c r="J829" s="56" t="n"/>
      <c r="K829" s="57" t="n"/>
      <c r="L829" s="94" t="n"/>
      <c r="M829" s="95" t="n"/>
      <c r="N829" s="95" t="n"/>
      <c r="O829" s="95" t="n"/>
      <c r="P829" s="96" t="n"/>
    </row>
    <row r="830" ht="33" customFormat="1" customHeight="1" s="1">
      <c r="A830" s="53" t="n"/>
      <c r="B830" s="97" t="n"/>
      <c r="C830" s="97" t="n"/>
      <c r="D830" s="97" t="n"/>
      <c r="E830" s="95" t="n"/>
      <c r="F830" s="17" t="n"/>
      <c r="G830" s="97" t="n"/>
      <c r="H830" s="97" t="n"/>
      <c r="I830" s="95" t="n"/>
      <c r="J830" s="56" t="n"/>
      <c r="K830" s="57" t="n"/>
      <c r="L830" s="94" t="n"/>
      <c r="M830" s="95" t="n"/>
      <c r="N830" s="95" t="n"/>
      <c r="O830" s="95" t="n"/>
      <c r="P830" s="96" t="n"/>
    </row>
    <row r="831" ht="33" customFormat="1" customHeight="1" s="1">
      <c r="A831" s="53" t="n"/>
      <c r="B831" s="97" t="n"/>
      <c r="C831" s="97" t="n"/>
      <c r="D831" s="97" t="n"/>
      <c r="E831" s="95" t="n"/>
      <c r="F831" s="17" t="n"/>
      <c r="G831" s="97" t="n"/>
      <c r="H831" s="97" t="n"/>
      <c r="I831" s="95" t="n"/>
      <c r="J831" s="56" t="n"/>
      <c r="K831" s="57" t="n"/>
      <c r="L831" s="94" t="n"/>
      <c r="M831" s="95" t="n"/>
      <c r="N831" s="95" t="n"/>
      <c r="O831" s="95" t="n"/>
      <c r="P831" s="96" t="n"/>
    </row>
    <row r="832" ht="33" customFormat="1" customHeight="1" s="1">
      <c r="A832" s="53" t="n"/>
      <c r="B832" s="97" t="n"/>
      <c r="C832" s="97" t="n"/>
      <c r="D832" s="97" t="n"/>
      <c r="E832" s="95" t="n"/>
      <c r="F832" s="17" t="n"/>
      <c r="G832" s="97" t="n"/>
      <c r="H832" s="97" t="n"/>
      <c r="I832" s="95" t="n"/>
      <c r="J832" s="56" t="n"/>
      <c r="K832" s="57" t="n"/>
      <c r="L832" s="94" t="n"/>
      <c r="M832" s="95" t="n"/>
      <c r="N832" s="95" t="n"/>
      <c r="O832" s="95" t="n"/>
      <c r="P832" s="96" t="n"/>
    </row>
    <row r="833" ht="33" customFormat="1" customHeight="1" s="1">
      <c r="A833" s="53" t="n"/>
      <c r="B833" s="97" t="n"/>
      <c r="C833" s="97" t="n"/>
      <c r="D833" s="97" t="n"/>
      <c r="E833" s="95" t="n"/>
      <c r="F833" s="17" t="n"/>
      <c r="G833" s="97" t="n"/>
      <c r="H833" s="97" t="n"/>
      <c r="I833" s="95" t="n"/>
      <c r="J833" s="56" t="n"/>
      <c r="K833" s="57" t="n"/>
      <c r="L833" s="94" t="n"/>
      <c r="M833" s="95" t="n"/>
      <c r="N833" s="95" t="n"/>
      <c r="O833" s="95" t="n"/>
      <c r="P833" s="96" t="n"/>
    </row>
    <row r="834" ht="33" customFormat="1" customHeight="1" s="1">
      <c r="A834" s="53" t="n"/>
      <c r="B834" s="97" t="n"/>
      <c r="C834" s="97" t="n"/>
      <c r="D834" s="97" t="n"/>
      <c r="E834" s="95" t="n"/>
      <c r="F834" s="17" t="n"/>
      <c r="G834" s="97" t="n"/>
      <c r="H834" s="97" t="n"/>
      <c r="I834" s="95" t="n"/>
      <c r="J834" s="56" t="n"/>
      <c r="K834" s="57" t="n"/>
      <c r="L834" s="94" t="n"/>
      <c r="M834" s="95" t="n"/>
      <c r="N834" s="95" t="n"/>
      <c r="O834" s="95" t="n"/>
      <c r="P834" s="96" t="n"/>
    </row>
    <row r="835" ht="33" customFormat="1" customHeight="1" s="1">
      <c r="A835" s="53" t="n"/>
      <c r="B835" s="97" t="n"/>
      <c r="C835" s="97" t="n"/>
      <c r="D835" s="97" t="n"/>
      <c r="E835" s="95" t="n"/>
      <c r="F835" s="17" t="n"/>
      <c r="G835" s="97" t="n"/>
      <c r="H835" s="97" t="n"/>
      <c r="I835" s="95" t="n"/>
      <c r="J835" s="56" t="n"/>
      <c r="K835" s="57" t="n"/>
      <c r="L835" s="94" t="n"/>
      <c r="M835" s="95" t="n"/>
      <c r="N835" s="95" t="n"/>
      <c r="O835" s="95" t="n"/>
      <c r="P835" s="96" t="n"/>
    </row>
    <row r="836" ht="33" customFormat="1" customHeight="1" s="1">
      <c r="A836" s="53" t="n"/>
      <c r="B836" s="97" t="n"/>
      <c r="C836" s="97" t="n"/>
      <c r="D836" s="97" t="n"/>
      <c r="E836" s="95" t="n"/>
      <c r="F836" s="17" t="n"/>
      <c r="G836" s="97" t="n"/>
      <c r="H836" s="97" t="n"/>
      <c r="I836" s="95" t="n"/>
      <c r="J836" s="56" t="n"/>
      <c r="K836" s="57" t="n"/>
      <c r="L836" s="94" t="n"/>
      <c r="M836" s="95" t="n"/>
      <c r="N836" s="95" t="n"/>
      <c r="O836" s="95" t="n"/>
      <c r="P836" s="96" t="n"/>
    </row>
    <row r="837" ht="33" customFormat="1" customHeight="1" s="1">
      <c r="A837" s="53" t="n"/>
      <c r="B837" s="97" t="n"/>
      <c r="C837" s="97" t="n"/>
      <c r="D837" s="97" t="n"/>
      <c r="E837" s="95" t="n"/>
      <c r="F837" s="17" t="n"/>
      <c r="G837" s="97" t="n"/>
      <c r="H837" s="97" t="n"/>
      <c r="I837" s="95" t="n"/>
      <c r="J837" s="56" t="n"/>
      <c r="K837" s="57" t="n"/>
      <c r="L837" s="94" t="n"/>
      <c r="M837" s="95" t="n"/>
      <c r="N837" s="95" t="n"/>
      <c r="O837" s="95" t="n"/>
      <c r="P837" s="96" t="n"/>
    </row>
    <row r="838" ht="33" customFormat="1" customHeight="1" s="1">
      <c r="A838" s="53" t="n"/>
      <c r="B838" s="97" t="n"/>
      <c r="C838" s="97" t="n"/>
      <c r="D838" s="97" t="n"/>
      <c r="E838" s="95" t="n"/>
      <c r="F838" s="17" t="n"/>
      <c r="G838" s="97" t="n"/>
      <c r="H838" s="97" t="n"/>
      <c r="I838" s="95" t="n"/>
      <c r="J838" s="56" t="n"/>
      <c r="K838" s="57" t="n"/>
      <c r="L838" s="94" t="n"/>
      <c r="M838" s="95" t="n"/>
      <c r="N838" s="95" t="n"/>
      <c r="O838" s="95" t="n"/>
      <c r="P838" s="96" t="n"/>
    </row>
    <row r="839" ht="33" customFormat="1" customHeight="1" s="1">
      <c r="A839" s="53" t="n"/>
      <c r="B839" s="97" t="n"/>
      <c r="C839" s="97" t="n"/>
      <c r="D839" s="97" t="n"/>
      <c r="E839" s="95" t="n"/>
      <c r="F839" s="17" t="n"/>
      <c r="G839" s="97" t="n"/>
      <c r="H839" s="97" t="n"/>
      <c r="I839" s="95" t="n"/>
      <c r="J839" s="56" t="n"/>
      <c r="K839" s="57" t="n"/>
      <c r="L839" s="94" t="n"/>
      <c r="M839" s="95" t="n"/>
      <c r="N839" s="95" t="n"/>
      <c r="O839" s="95" t="n"/>
      <c r="P839" s="96" t="n"/>
    </row>
    <row r="840" ht="33" customFormat="1" customHeight="1" s="1">
      <c r="A840" s="53" t="n"/>
      <c r="B840" s="97" t="n"/>
      <c r="C840" s="97" t="n"/>
      <c r="D840" s="97" t="n"/>
      <c r="E840" s="95" t="n"/>
      <c r="F840" s="17" t="n"/>
      <c r="G840" s="97" t="n"/>
      <c r="H840" s="97" t="n"/>
      <c r="I840" s="95" t="n"/>
      <c r="J840" s="56" t="n"/>
      <c r="K840" s="57" t="n"/>
      <c r="L840" s="94" t="n"/>
      <c r="M840" s="95" t="n"/>
      <c r="N840" s="95" t="n"/>
      <c r="O840" s="95" t="n"/>
      <c r="P840" s="96" t="n"/>
    </row>
    <row r="841" ht="33" customFormat="1" customHeight="1" s="1">
      <c r="A841" s="53" t="n"/>
      <c r="B841" s="97" t="n"/>
      <c r="C841" s="97" t="n"/>
      <c r="D841" s="97" t="n"/>
      <c r="E841" s="95" t="n"/>
      <c r="F841" s="17" t="n"/>
      <c r="G841" s="97" t="n"/>
      <c r="H841" s="97" t="n"/>
      <c r="I841" s="95" t="n"/>
      <c r="J841" s="56" t="n"/>
      <c r="K841" s="57" t="n"/>
      <c r="L841" s="94" t="n"/>
      <c r="M841" s="95" t="n"/>
      <c r="N841" s="95" t="n"/>
      <c r="O841" s="95" t="n"/>
      <c r="P841" s="96" t="n"/>
    </row>
    <row r="842" ht="33" customFormat="1" customHeight="1" s="1">
      <c r="A842" s="53" t="n"/>
      <c r="B842" s="97" t="n"/>
      <c r="C842" s="97" t="n"/>
      <c r="D842" s="97" t="n"/>
      <c r="E842" s="95" t="n"/>
      <c r="F842" s="17" t="n"/>
      <c r="G842" s="97" t="n"/>
      <c r="H842" s="97" t="n"/>
      <c r="I842" s="95" t="n"/>
      <c r="J842" s="56" t="n"/>
      <c r="K842" s="57" t="n"/>
      <c r="L842" s="94" t="n"/>
      <c r="M842" s="95" t="n"/>
      <c r="N842" s="95" t="n"/>
      <c r="O842" s="95" t="n"/>
      <c r="P842" s="96" t="n"/>
    </row>
    <row r="843" ht="33" customFormat="1" customHeight="1" s="1">
      <c r="A843" s="53" t="n"/>
      <c r="B843" s="97" t="n"/>
      <c r="C843" s="97" t="n"/>
      <c r="D843" s="97" t="n"/>
      <c r="E843" s="95" t="n"/>
      <c r="F843" s="17" t="n"/>
      <c r="G843" s="97" t="n"/>
      <c r="H843" s="97" t="n"/>
      <c r="I843" s="95" t="n"/>
      <c r="J843" s="56" t="n"/>
      <c r="K843" s="57" t="n"/>
      <c r="L843" s="94" t="n"/>
      <c r="M843" s="95" t="n"/>
      <c r="N843" s="95" t="n"/>
      <c r="O843" s="95" t="n"/>
      <c r="P843" s="96" t="n"/>
    </row>
    <row r="844" ht="33" customFormat="1" customHeight="1" s="1">
      <c r="A844" s="53" t="n"/>
      <c r="B844" s="97" t="n"/>
      <c r="C844" s="97" t="n"/>
      <c r="D844" s="97" t="n"/>
      <c r="E844" s="95" t="n"/>
      <c r="F844" s="17" t="n"/>
      <c r="G844" s="97" t="n"/>
      <c r="H844" s="97" t="n"/>
      <c r="I844" s="95" t="n"/>
      <c r="J844" s="56" t="n"/>
      <c r="K844" s="57" t="n"/>
      <c r="L844" s="94" t="n"/>
      <c r="M844" s="95" t="n"/>
      <c r="N844" s="95" t="n"/>
      <c r="O844" s="95" t="n"/>
      <c r="P844" s="96" t="n"/>
    </row>
    <row r="845" ht="33" customFormat="1" customHeight="1" s="1">
      <c r="A845" s="53" t="n"/>
      <c r="B845" s="97" t="n"/>
      <c r="C845" s="97" t="n"/>
      <c r="D845" s="97" t="n"/>
      <c r="E845" s="95" t="n"/>
      <c r="F845" s="17" t="n"/>
      <c r="G845" s="97" t="n"/>
      <c r="H845" s="97" t="n"/>
      <c r="I845" s="95" t="n"/>
      <c r="J845" s="56" t="n"/>
      <c r="K845" s="57" t="n"/>
      <c r="L845" s="94" t="n"/>
      <c r="M845" s="95" t="n"/>
      <c r="N845" s="95" t="n"/>
      <c r="O845" s="95" t="n"/>
      <c r="P845" s="96" t="n"/>
    </row>
    <row r="846" ht="33" customFormat="1" customHeight="1" s="1">
      <c r="A846" s="53" t="n"/>
      <c r="B846" s="97" t="n"/>
      <c r="C846" s="97" t="n"/>
      <c r="D846" s="97" t="n"/>
      <c r="E846" s="95" t="n"/>
      <c r="F846" s="17" t="n"/>
      <c r="G846" s="97" t="n"/>
      <c r="H846" s="97" t="n"/>
      <c r="I846" s="95" t="n"/>
      <c r="J846" s="56" t="n"/>
      <c r="K846" s="57" t="n"/>
      <c r="L846" s="94" t="n"/>
      <c r="M846" s="95" t="n"/>
      <c r="N846" s="95" t="n"/>
      <c r="O846" s="95" t="n"/>
      <c r="P846" s="96" t="n"/>
    </row>
    <row r="847" ht="33" customFormat="1" customHeight="1" s="1">
      <c r="A847" s="53" t="n"/>
      <c r="B847" s="97" t="n"/>
      <c r="C847" s="97" t="n"/>
      <c r="D847" s="97" t="n"/>
      <c r="E847" s="95" t="n"/>
      <c r="F847" s="17" t="n"/>
      <c r="G847" s="97" t="n"/>
      <c r="H847" s="97" t="n"/>
      <c r="I847" s="95" t="n"/>
      <c r="J847" s="56" t="n"/>
      <c r="K847" s="57" t="n"/>
      <c r="L847" s="94" t="n"/>
      <c r="M847" s="95" t="n"/>
      <c r="N847" s="95" t="n"/>
      <c r="O847" s="95" t="n"/>
      <c r="P847" s="96" t="n"/>
    </row>
    <row r="848" ht="33" customFormat="1" customHeight="1" s="1">
      <c r="A848" s="53" t="n"/>
      <c r="B848" s="97" t="n"/>
      <c r="C848" s="97" t="n"/>
      <c r="D848" s="97" t="n"/>
      <c r="E848" s="95" t="n"/>
      <c r="F848" s="17" t="n"/>
      <c r="G848" s="97" t="n"/>
      <c r="H848" s="97" t="n"/>
      <c r="I848" s="95" t="n"/>
      <c r="J848" s="56" t="n"/>
      <c r="K848" s="57" t="n"/>
      <c r="L848" s="94" t="n"/>
      <c r="M848" s="95" t="n"/>
      <c r="N848" s="95" t="n"/>
      <c r="O848" s="95" t="n"/>
      <c r="P848" s="96" t="n"/>
    </row>
    <row r="849" ht="33" customFormat="1" customHeight="1" s="1">
      <c r="A849" s="53" t="n"/>
      <c r="B849" s="97" t="n"/>
      <c r="C849" s="97" t="n"/>
      <c r="D849" s="97" t="n"/>
      <c r="E849" s="95" t="n"/>
      <c r="F849" s="17" t="n"/>
      <c r="G849" s="97" t="n"/>
      <c r="H849" s="97" t="n"/>
      <c r="I849" s="95" t="n"/>
      <c r="J849" s="56" t="n"/>
      <c r="K849" s="57" t="n"/>
      <c r="L849" s="94" t="n"/>
      <c r="M849" s="95" t="n"/>
      <c r="N849" s="95" t="n"/>
      <c r="O849" s="95" t="n"/>
      <c r="P849" s="96" t="n"/>
    </row>
    <row r="850" ht="33" customFormat="1" customHeight="1" s="1">
      <c r="A850" s="53" t="n"/>
      <c r="B850" s="97" t="n"/>
      <c r="C850" s="97" t="n"/>
      <c r="D850" s="97" t="n"/>
      <c r="E850" s="95" t="n"/>
      <c r="F850" s="17" t="n"/>
      <c r="G850" s="97" t="n"/>
      <c r="H850" s="97" t="n"/>
      <c r="I850" s="95" t="n"/>
      <c r="J850" s="56" t="n"/>
      <c r="K850" s="57" t="n"/>
      <c r="L850" s="94" t="n"/>
      <c r="M850" s="95" t="n"/>
      <c r="N850" s="95" t="n"/>
      <c r="O850" s="95" t="n"/>
      <c r="P850" s="96" t="n"/>
    </row>
    <row r="851" ht="33" customFormat="1" customHeight="1" s="1">
      <c r="A851" s="53" t="n"/>
      <c r="B851" s="97" t="n"/>
      <c r="C851" s="97" t="n"/>
      <c r="D851" s="97" t="n"/>
      <c r="E851" s="95" t="n"/>
      <c r="F851" s="17" t="n"/>
      <c r="G851" s="97" t="n"/>
      <c r="H851" s="97" t="n"/>
      <c r="I851" s="95" t="n"/>
      <c r="J851" s="56" t="n"/>
      <c r="K851" s="57" t="n"/>
      <c r="L851" s="94" t="n"/>
      <c r="M851" s="95" t="n"/>
      <c r="N851" s="95" t="n"/>
      <c r="O851" s="95" t="n"/>
      <c r="P851" s="96" t="n"/>
    </row>
    <row r="852" ht="33" customFormat="1" customHeight="1" s="1">
      <c r="A852" s="53" t="n"/>
      <c r="B852" s="97" t="n"/>
      <c r="C852" s="97" t="n"/>
      <c r="D852" s="97" t="n"/>
      <c r="E852" s="95" t="n"/>
      <c r="F852" s="17" t="n"/>
      <c r="G852" s="97" t="n"/>
      <c r="H852" s="97" t="n"/>
      <c r="I852" s="95" t="n"/>
      <c r="J852" s="56" t="n"/>
      <c r="K852" s="57" t="n"/>
      <c r="L852" s="94" t="n"/>
      <c r="M852" s="95" t="n"/>
      <c r="N852" s="95" t="n"/>
      <c r="O852" s="95" t="n"/>
      <c r="P852" s="96" t="n"/>
    </row>
    <row r="853" ht="33" customFormat="1" customHeight="1" s="1">
      <c r="A853" s="53" t="n"/>
      <c r="B853" s="97" t="n"/>
      <c r="C853" s="97" t="n"/>
      <c r="D853" s="97" t="n"/>
      <c r="E853" s="95" t="n"/>
      <c r="F853" s="17" t="n"/>
      <c r="G853" s="97" t="n"/>
      <c r="H853" s="97" t="n"/>
      <c r="I853" s="95" t="n"/>
      <c r="J853" s="56" t="n"/>
      <c r="K853" s="57" t="n"/>
      <c r="L853" s="94" t="n"/>
      <c r="M853" s="95" t="n"/>
      <c r="N853" s="95" t="n"/>
      <c r="O853" s="95" t="n"/>
      <c r="P853" s="96" t="n"/>
    </row>
    <row r="854" ht="33" customFormat="1" customHeight="1" s="1">
      <c r="A854" s="53" t="n"/>
      <c r="B854" s="97" t="n"/>
      <c r="C854" s="97" t="n"/>
      <c r="D854" s="97" t="n"/>
      <c r="E854" s="95" t="n"/>
      <c r="F854" s="17" t="n"/>
      <c r="G854" s="97" t="n"/>
      <c r="H854" s="97" t="n"/>
      <c r="I854" s="95" t="n"/>
      <c r="J854" s="56" t="n"/>
      <c r="K854" s="57" t="n"/>
      <c r="L854" s="94" t="n"/>
      <c r="M854" s="95" t="n"/>
      <c r="N854" s="95" t="n"/>
      <c r="O854" s="95" t="n"/>
      <c r="P854" s="96" t="n"/>
    </row>
    <row r="855" ht="33" customFormat="1" customHeight="1" s="1">
      <c r="A855" s="53" t="n"/>
      <c r="B855" s="97" t="n"/>
      <c r="C855" s="97" t="n"/>
      <c r="D855" s="97" t="n"/>
      <c r="E855" s="95" t="n"/>
      <c r="F855" s="17" t="n"/>
      <c r="G855" s="97" t="n"/>
      <c r="H855" s="97" t="n"/>
      <c r="I855" s="95" t="n"/>
      <c r="J855" s="56" t="n"/>
      <c r="K855" s="57" t="n"/>
      <c r="L855" s="94" t="n"/>
      <c r="M855" s="95" t="n"/>
      <c r="N855" s="95" t="n"/>
      <c r="O855" s="95" t="n"/>
      <c r="P855" s="96" t="n"/>
    </row>
    <row r="856" ht="33" customFormat="1" customHeight="1" s="1">
      <c r="A856" s="53" t="n"/>
      <c r="B856" s="97" t="n"/>
      <c r="C856" s="97" t="n"/>
      <c r="D856" s="97" t="n"/>
      <c r="E856" s="95" t="n"/>
      <c r="F856" s="17" t="n"/>
      <c r="G856" s="97" t="n"/>
      <c r="H856" s="97" t="n"/>
      <c r="I856" s="95" t="n"/>
      <c r="J856" s="56" t="n"/>
      <c r="K856" s="57" t="n"/>
      <c r="L856" s="94" t="n"/>
      <c r="M856" s="95" t="n"/>
      <c r="N856" s="95" t="n"/>
      <c r="O856" s="95" t="n"/>
      <c r="P856" s="96" t="n"/>
    </row>
    <row r="857" ht="33" customFormat="1" customHeight="1" s="1">
      <c r="A857" s="53" t="n"/>
      <c r="B857" s="97" t="n"/>
      <c r="C857" s="97" t="n"/>
      <c r="D857" s="97" t="n"/>
      <c r="E857" s="95" t="n"/>
      <c r="F857" s="17" t="n"/>
      <c r="G857" s="97" t="n"/>
      <c r="H857" s="97" t="n"/>
      <c r="I857" s="95" t="n"/>
      <c r="J857" s="56" t="n"/>
      <c r="K857" s="57" t="n"/>
      <c r="L857" s="94" t="n"/>
      <c r="M857" s="95" t="n"/>
      <c r="N857" s="95" t="n"/>
      <c r="O857" s="95" t="n"/>
      <c r="P857" s="96" t="n"/>
    </row>
    <row r="858" ht="33" customFormat="1" customHeight="1" s="1">
      <c r="A858" s="53" t="n"/>
      <c r="B858" s="97" t="n"/>
      <c r="C858" s="97" t="n"/>
      <c r="D858" s="97" t="n"/>
      <c r="E858" s="95" t="n"/>
      <c r="F858" s="17" t="n"/>
      <c r="G858" s="97" t="n"/>
      <c r="H858" s="97" t="n"/>
      <c r="I858" s="95" t="n"/>
      <c r="J858" s="56" t="n"/>
      <c r="K858" s="57" t="n"/>
      <c r="L858" s="94" t="n"/>
      <c r="M858" s="95" t="n"/>
      <c r="N858" s="95" t="n"/>
      <c r="O858" s="95" t="n"/>
      <c r="P858" s="96" t="n"/>
    </row>
    <row r="859" ht="33" customFormat="1" customHeight="1" s="1">
      <c r="A859" s="53" t="n"/>
      <c r="B859" s="97" t="n"/>
      <c r="C859" s="97" t="n"/>
      <c r="D859" s="97" t="n"/>
      <c r="E859" s="95" t="n"/>
      <c r="F859" s="17" t="n"/>
      <c r="G859" s="97" t="n"/>
      <c r="H859" s="97" t="n"/>
      <c r="I859" s="95" t="n"/>
      <c r="J859" s="56" t="n"/>
      <c r="K859" s="57" t="n"/>
      <c r="L859" s="94" t="n"/>
      <c r="M859" s="95" t="n"/>
      <c r="N859" s="95" t="n"/>
      <c r="O859" s="95" t="n"/>
      <c r="P859" s="96" t="n"/>
    </row>
    <row r="860" ht="33" customFormat="1" customHeight="1" s="1">
      <c r="A860" s="53" t="n"/>
      <c r="B860" s="97" t="n"/>
      <c r="C860" s="97" t="n"/>
      <c r="D860" s="97" t="n"/>
      <c r="E860" s="95" t="n"/>
      <c r="F860" s="17" t="n"/>
      <c r="G860" s="97" t="n"/>
      <c r="H860" s="97" t="n"/>
      <c r="I860" s="95" t="n"/>
      <c r="J860" s="56" t="n"/>
      <c r="K860" s="57" t="n"/>
      <c r="L860" s="94" t="n"/>
      <c r="M860" s="95" t="n"/>
      <c r="N860" s="95" t="n"/>
      <c r="O860" s="95" t="n"/>
      <c r="P860" s="96" t="n"/>
    </row>
    <row r="861" ht="33" customFormat="1" customHeight="1" s="1">
      <c r="A861" s="53" t="n"/>
      <c r="B861" s="97" t="n"/>
      <c r="C861" s="97" t="n"/>
      <c r="D861" s="97" t="n"/>
      <c r="E861" s="95" t="n"/>
      <c r="F861" s="17" t="n"/>
      <c r="G861" s="97" t="n"/>
      <c r="H861" s="97" t="n"/>
      <c r="I861" s="95" t="n"/>
      <c r="J861" s="56" t="n"/>
      <c r="K861" s="57" t="n"/>
      <c r="L861" s="94" t="n"/>
      <c r="M861" s="95" t="n"/>
      <c r="N861" s="95" t="n"/>
      <c r="O861" s="95" t="n"/>
      <c r="P861" s="96" t="n"/>
    </row>
    <row r="862" ht="33" customFormat="1" customHeight="1" s="1">
      <c r="A862" s="53" t="n"/>
      <c r="B862" s="97" t="n"/>
      <c r="C862" s="97" t="n"/>
      <c r="D862" s="97" t="n"/>
      <c r="E862" s="95" t="n"/>
      <c r="F862" s="17" t="n"/>
      <c r="G862" s="97" t="n"/>
      <c r="H862" s="97" t="n"/>
      <c r="I862" s="95" t="n"/>
      <c r="J862" s="56" t="n"/>
      <c r="K862" s="57" t="n"/>
      <c r="L862" s="94" t="n"/>
      <c r="M862" s="95" t="n"/>
      <c r="N862" s="95" t="n"/>
      <c r="O862" s="95" t="n"/>
      <c r="P862" s="96" t="n"/>
    </row>
    <row r="863" ht="33" customFormat="1" customHeight="1" s="1">
      <c r="A863" s="53" t="n"/>
      <c r="B863" s="97" t="n"/>
      <c r="C863" s="97" t="n"/>
      <c r="D863" s="97" t="n"/>
      <c r="E863" s="95" t="n"/>
      <c r="F863" s="17" t="n"/>
      <c r="G863" s="97" t="n"/>
      <c r="H863" s="97" t="n"/>
      <c r="I863" s="95" t="n"/>
      <c r="J863" s="56" t="n"/>
      <c r="K863" s="57" t="n"/>
      <c r="L863" s="94" t="n"/>
      <c r="M863" s="95" t="n"/>
      <c r="N863" s="95" t="n"/>
      <c r="O863" s="95" t="n"/>
      <c r="P863" s="96" t="n"/>
    </row>
    <row r="864" ht="33" customFormat="1" customHeight="1" s="1">
      <c r="A864" s="53" t="n"/>
      <c r="B864" s="97" t="n"/>
      <c r="C864" s="97" t="n"/>
      <c r="D864" s="97" t="n"/>
      <c r="E864" s="95" t="n"/>
      <c r="F864" s="17" t="n"/>
      <c r="G864" s="97" t="n"/>
      <c r="H864" s="97" t="n"/>
      <c r="I864" s="95" t="n"/>
      <c r="J864" s="56" t="n"/>
      <c r="K864" s="57" t="n"/>
      <c r="L864" s="94" t="n"/>
      <c r="M864" s="95" t="n"/>
      <c r="N864" s="95" t="n"/>
      <c r="O864" s="95" t="n"/>
      <c r="P864" s="96" t="n"/>
    </row>
    <row r="865" ht="33" customFormat="1" customHeight="1" s="1">
      <c r="A865" s="53" t="n"/>
      <c r="B865" s="97" t="n"/>
      <c r="C865" s="97" t="n"/>
      <c r="D865" s="97" t="n"/>
      <c r="E865" s="95" t="n"/>
      <c r="F865" s="17" t="n"/>
      <c r="G865" s="97" t="n"/>
      <c r="H865" s="97" t="n"/>
      <c r="I865" s="95" t="n"/>
      <c r="J865" s="56" t="n"/>
      <c r="K865" s="57" t="n"/>
      <c r="L865" s="94" t="n"/>
      <c r="M865" s="95" t="n"/>
      <c r="N865" s="95" t="n"/>
      <c r="O865" s="95" t="n"/>
      <c r="P865" s="96" t="n"/>
    </row>
    <row r="866" ht="33" customFormat="1" customHeight="1" s="1">
      <c r="A866" s="53" t="n"/>
      <c r="B866" s="97" t="n"/>
      <c r="C866" s="97" t="n"/>
      <c r="D866" s="97" t="n"/>
      <c r="E866" s="95" t="n"/>
      <c r="F866" s="17" t="n"/>
      <c r="G866" s="97" t="n"/>
      <c r="H866" s="97" t="n"/>
      <c r="I866" s="95" t="n"/>
      <c r="J866" s="56" t="n"/>
      <c r="K866" s="57" t="n"/>
      <c r="L866" s="94" t="n"/>
      <c r="M866" s="95" t="n"/>
      <c r="N866" s="95" t="n"/>
      <c r="O866" s="95" t="n"/>
      <c r="P866" s="96" t="n"/>
    </row>
    <row r="867" ht="33" customFormat="1" customHeight="1" s="1">
      <c r="A867" s="53" t="n"/>
      <c r="B867" s="97" t="n"/>
      <c r="C867" s="97" t="n"/>
      <c r="D867" s="97" t="n"/>
      <c r="E867" s="95" t="n"/>
      <c r="F867" s="17" t="n"/>
      <c r="G867" s="97" t="n"/>
      <c r="H867" s="97" t="n"/>
      <c r="I867" s="95" t="n"/>
      <c r="J867" s="56" t="n"/>
      <c r="K867" s="57" t="n"/>
      <c r="L867" s="94" t="n"/>
      <c r="M867" s="95" t="n"/>
      <c r="N867" s="95" t="n"/>
      <c r="O867" s="95" t="n"/>
      <c r="P867" s="96" t="n"/>
    </row>
    <row r="868" ht="33" customFormat="1" customHeight="1" s="1">
      <c r="A868" s="53" t="n"/>
      <c r="B868" s="97" t="n"/>
      <c r="C868" s="97" t="n"/>
      <c r="D868" s="97" t="n"/>
      <c r="E868" s="95" t="n"/>
      <c r="F868" s="17" t="n"/>
      <c r="G868" s="97" t="n"/>
      <c r="H868" s="97" t="n"/>
      <c r="I868" s="95" t="n"/>
      <c r="J868" s="56" t="n"/>
      <c r="K868" s="57" t="n"/>
      <c r="L868" s="94" t="n"/>
      <c r="M868" s="95" t="n"/>
      <c r="N868" s="95" t="n"/>
      <c r="O868" s="95" t="n"/>
      <c r="P868" s="96" t="n"/>
    </row>
    <row r="869" ht="33" customFormat="1" customHeight="1" s="1">
      <c r="A869" s="53" t="n"/>
      <c r="B869" s="97" t="n"/>
      <c r="C869" s="97" t="n"/>
      <c r="D869" s="97" t="n"/>
      <c r="E869" s="95" t="n"/>
      <c r="F869" s="17" t="n"/>
      <c r="G869" s="97" t="n"/>
      <c r="H869" s="97" t="n"/>
      <c r="I869" s="95" t="n"/>
      <c r="J869" s="56" t="n"/>
      <c r="K869" s="57" t="n"/>
      <c r="L869" s="94" t="n"/>
      <c r="M869" s="95" t="n"/>
      <c r="N869" s="95" t="n"/>
      <c r="O869" s="95" t="n"/>
      <c r="P869" s="96" t="n"/>
    </row>
    <row r="870" ht="33" customFormat="1" customHeight="1" s="1">
      <c r="A870" s="53" t="n"/>
      <c r="B870" s="97" t="n"/>
      <c r="C870" s="97" t="n"/>
      <c r="D870" s="97" t="n"/>
      <c r="E870" s="95" t="n"/>
      <c r="F870" s="17" t="n"/>
      <c r="G870" s="97" t="n"/>
      <c r="H870" s="97" t="n"/>
      <c r="I870" s="95" t="n"/>
      <c r="J870" s="56" t="n"/>
      <c r="K870" s="57" t="n"/>
      <c r="L870" s="94" t="n"/>
      <c r="M870" s="95" t="n"/>
      <c r="N870" s="95" t="n"/>
      <c r="O870" s="95" t="n"/>
      <c r="P870" s="96" t="n"/>
    </row>
    <row r="871" ht="33" customFormat="1" customHeight="1" s="1">
      <c r="A871" s="53" t="n"/>
      <c r="B871" s="97" t="n"/>
      <c r="C871" s="97" t="n"/>
      <c r="D871" s="97" t="n"/>
      <c r="E871" s="95" t="n"/>
      <c r="F871" s="17" t="n"/>
      <c r="G871" s="97" t="n"/>
      <c r="H871" s="97" t="n"/>
      <c r="I871" s="95" t="n"/>
      <c r="J871" s="56" t="n"/>
      <c r="K871" s="57" t="n"/>
      <c r="L871" s="94" t="n"/>
      <c r="M871" s="95" t="n"/>
      <c r="N871" s="95" t="n"/>
      <c r="O871" s="95" t="n"/>
      <c r="P871" s="96" t="n"/>
    </row>
    <row r="872" ht="33" customFormat="1" customHeight="1" s="1">
      <c r="A872" s="53" t="n"/>
      <c r="B872" s="97" t="n"/>
      <c r="C872" s="97" t="n"/>
      <c r="D872" s="97" t="n"/>
      <c r="E872" s="95" t="n"/>
      <c r="F872" s="17" t="n"/>
      <c r="G872" s="97" t="n"/>
      <c r="H872" s="97" t="n"/>
      <c r="I872" s="95" t="n"/>
      <c r="J872" s="56" t="n"/>
      <c r="K872" s="57" t="n"/>
      <c r="L872" s="94" t="n"/>
      <c r="M872" s="95" t="n"/>
      <c r="N872" s="95" t="n"/>
      <c r="O872" s="95" t="n"/>
      <c r="P872" s="96" t="n"/>
    </row>
    <row r="873" ht="33" customFormat="1" customHeight="1" s="1">
      <c r="A873" s="53" t="n"/>
      <c r="B873" s="97" t="n"/>
      <c r="C873" s="97" t="n"/>
      <c r="D873" s="97" t="n"/>
      <c r="E873" s="95" t="n"/>
      <c r="F873" s="17" t="n"/>
      <c r="G873" s="97" t="n"/>
      <c r="H873" s="97" t="n"/>
      <c r="I873" s="95" t="n"/>
      <c r="J873" s="56" t="n"/>
      <c r="K873" s="57" t="n"/>
      <c r="L873" s="94" t="n"/>
      <c r="M873" s="95" t="n"/>
      <c r="N873" s="95" t="n"/>
      <c r="O873" s="95" t="n"/>
      <c r="P873" s="96" t="n"/>
    </row>
  </sheetData>
  <autoFilter ref="A1:K12"/>
  <pageMargins left="0.7" right="0.7" top="0.75" bottom="0.75" header="0.511811023622047" footer="0.511811023622047"/>
  <pageSetup orientation="portrait"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Preferred Customer</dc:creator>
  <dc:language>en-US</dc:language>
  <dcterms:created xsi:type="dcterms:W3CDTF">2003-07-29T00:46:27Z</dcterms:created>
  <dcterms:modified xsi:type="dcterms:W3CDTF">2025-11-11T21:04:57Z</dcterms:modified>
  <cp:lastModifiedBy>null null</cp:lastModifiedBy>
  <cp:revision>1</cp:revision>
  <cp:lastPrinted>2024-06-06T04:45:48Z</cp:lastPrinted>
</cp:coreProperties>
</file>